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b74d578bbeeb88/1-NTU-Tonga/DoE/Petroleum/Emergency-response/"/>
    </mc:Choice>
  </mc:AlternateContent>
  <xr:revisionPtr revIDLastSave="24" documentId="8_{96A0ADF9-3296-43B4-A645-97E493B26CCE}" xr6:coauthVersionLast="47" xr6:coauthVersionMax="47" xr10:uidLastSave="{4BD30FDF-9FD2-4F8A-B256-895164620912}"/>
  <bookViews>
    <workbookView xWindow="-109" yWindow="-109" windowWidth="23040" windowHeight="13762" xr2:uid="{2AC2BF31-DC10-493D-8083-760637064FEB}"/>
  </bookViews>
  <sheets>
    <sheet name="Tongatapu" sheetId="1" r:id="rId1"/>
    <sheet name="VAVA'U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10" i="2" l="1"/>
  <c r="AB110" i="2"/>
  <c r="AA110" i="2"/>
  <c r="Z110" i="2"/>
  <c r="AC109" i="2"/>
  <c r="AB109" i="2"/>
  <c r="AA109" i="2"/>
  <c r="Z109" i="2"/>
  <c r="AC108" i="2"/>
  <c r="AB108" i="2"/>
  <c r="AA108" i="2"/>
  <c r="Z108" i="2"/>
  <c r="AC107" i="2"/>
  <c r="AB107" i="2"/>
  <c r="AA107" i="2"/>
  <c r="Z107" i="2"/>
  <c r="AC106" i="2"/>
  <c r="AB106" i="2"/>
  <c r="AA106" i="2"/>
  <c r="Z106" i="2"/>
  <c r="AC105" i="2"/>
  <c r="AB105" i="2"/>
  <c r="AA105" i="2"/>
  <c r="Z105" i="2"/>
  <c r="AC104" i="2"/>
  <c r="AB104" i="2"/>
  <c r="AA104" i="2"/>
  <c r="Z104" i="2"/>
  <c r="AC103" i="2"/>
  <c r="AB103" i="2"/>
  <c r="AA103" i="2"/>
  <c r="Z103" i="2"/>
  <c r="AC102" i="2"/>
  <c r="AB102" i="2"/>
  <c r="AA102" i="2"/>
  <c r="Z102" i="2"/>
  <c r="AC101" i="2"/>
  <c r="AB101" i="2"/>
  <c r="AA101" i="2"/>
  <c r="Z101" i="2"/>
  <c r="AC100" i="2"/>
  <c r="AB100" i="2"/>
  <c r="AA100" i="2"/>
  <c r="Z100" i="2"/>
  <c r="AC99" i="2"/>
  <c r="AB99" i="2"/>
  <c r="AA99" i="2"/>
  <c r="Z99" i="2"/>
  <c r="AC98" i="2"/>
  <c r="AB98" i="2"/>
  <c r="AA98" i="2"/>
  <c r="Z98" i="2"/>
  <c r="AC97" i="2"/>
  <c r="AB97" i="2"/>
  <c r="AA97" i="2"/>
  <c r="Z97" i="2"/>
  <c r="AC96" i="2"/>
  <c r="AB96" i="2"/>
  <c r="AA96" i="2"/>
  <c r="Z96" i="2"/>
  <c r="AC95" i="2"/>
  <c r="AB95" i="2"/>
  <c r="AA95" i="2"/>
  <c r="Z95" i="2"/>
  <c r="AC94" i="2"/>
  <c r="AB94" i="2"/>
  <c r="AA94" i="2"/>
  <c r="Z94" i="2"/>
  <c r="AC93" i="2"/>
  <c r="AB93" i="2"/>
  <c r="AA93" i="2"/>
  <c r="Z93" i="2"/>
  <c r="AC92" i="2"/>
  <c r="AB92" i="2"/>
  <c r="AA92" i="2"/>
  <c r="Z92" i="2"/>
  <c r="AC91" i="2"/>
  <c r="AB91" i="2"/>
  <c r="AA91" i="2"/>
  <c r="Z91" i="2"/>
  <c r="AC90" i="2"/>
  <c r="AB90" i="2"/>
  <c r="AA90" i="2"/>
  <c r="Z90" i="2"/>
  <c r="AC89" i="2"/>
  <c r="AB89" i="2"/>
  <c r="AA89" i="2"/>
  <c r="Z89" i="2"/>
  <c r="AC88" i="2"/>
  <c r="AB88" i="2"/>
  <c r="AA88" i="2"/>
  <c r="Z88" i="2"/>
  <c r="AC87" i="2"/>
  <c r="AB87" i="2"/>
  <c r="AA87" i="2"/>
  <c r="Z87" i="2"/>
  <c r="AC86" i="2"/>
  <c r="AB86" i="2"/>
  <c r="AA86" i="2"/>
  <c r="Z86" i="2"/>
  <c r="AC85" i="2"/>
  <c r="AB85" i="2"/>
  <c r="AA85" i="2"/>
  <c r="Z85" i="2"/>
  <c r="AC84" i="2"/>
  <c r="AB84" i="2"/>
  <c r="AA84" i="2"/>
  <c r="Z84" i="2"/>
  <c r="AC83" i="2"/>
  <c r="AB83" i="2"/>
  <c r="AA83" i="2"/>
  <c r="Z83" i="2"/>
  <c r="AC82" i="2"/>
  <c r="AB82" i="2"/>
  <c r="AA82" i="2"/>
  <c r="Z82" i="2"/>
  <c r="AC81" i="2"/>
  <c r="AB81" i="2"/>
  <c r="AA81" i="2"/>
  <c r="Z81" i="2"/>
  <c r="AC80" i="2"/>
  <c r="AB80" i="2"/>
  <c r="AA80" i="2"/>
  <c r="Z80" i="2"/>
  <c r="AC79" i="2"/>
  <c r="AB79" i="2"/>
  <c r="AA79" i="2"/>
  <c r="Z79" i="2"/>
  <c r="AC78" i="2"/>
  <c r="AB78" i="2"/>
  <c r="AA78" i="2"/>
  <c r="Z78" i="2"/>
  <c r="AC77" i="2"/>
  <c r="AB77" i="2"/>
  <c r="AA77" i="2"/>
  <c r="Z77" i="2"/>
  <c r="AC76" i="2"/>
  <c r="AB76" i="2"/>
  <c r="AA76" i="2"/>
  <c r="Z76" i="2"/>
  <c r="AC75" i="2"/>
  <c r="AB75" i="2"/>
  <c r="AA75" i="2"/>
  <c r="Z75" i="2"/>
  <c r="AC74" i="2"/>
  <c r="AB74" i="2"/>
  <c r="AA74" i="2"/>
  <c r="Z74" i="2"/>
  <c r="AC73" i="2"/>
  <c r="AB73" i="2"/>
  <c r="AA73" i="2"/>
  <c r="Z73" i="2"/>
  <c r="AC72" i="2"/>
  <c r="AB72" i="2"/>
  <c r="AA72" i="2"/>
  <c r="Z72" i="2"/>
  <c r="AC71" i="2"/>
  <c r="AB71" i="2"/>
  <c r="AA71" i="2"/>
  <c r="Z71" i="2"/>
  <c r="AC70" i="2"/>
  <c r="AB70" i="2"/>
  <c r="AA70" i="2"/>
  <c r="Z70" i="2"/>
  <c r="AC69" i="2"/>
  <c r="AB69" i="2"/>
  <c r="AA69" i="2"/>
  <c r="Z69" i="2"/>
  <c r="AC68" i="2"/>
  <c r="AB68" i="2"/>
  <c r="AA68" i="2"/>
  <c r="Z68" i="2"/>
  <c r="AC67" i="2"/>
  <c r="AB67" i="2"/>
  <c r="AA67" i="2"/>
  <c r="Z67" i="2"/>
  <c r="AC66" i="2"/>
  <c r="AB66" i="2"/>
  <c r="AA66" i="2"/>
  <c r="Z66" i="2"/>
  <c r="AC65" i="2"/>
  <c r="AB65" i="2"/>
  <c r="AA65" i="2"/>
  <c r="Z65" i="2"/>
  <c r="AC64" i="2"/>
  <c r="AB64" i="2"/>
  <c r="AA64" i="2"/>
  <c r="Z64" i="2"/>
  <c r="AC63" i="2"/>
  <c r="AB63" i="2"/>
  <c r="AA63" i="2"/>
  <c r="Z63" i="2"/>
  <c r="AC62" i="2"/>
  <c r="AB62" i="2"/>
  <c r="AA62" i="2"/>
  <c r="Z62" i="2"/>
  <c r="AC61" i="2"/>
  <c r="AB61" i="2"/>
  <c r="AA61" i="2"/>
  <c r="Z61" i="2"/>
  <c r="AC60" i="2"/>
  <c r="AB60" i="2"/>
  <c r="AA60" i="2"/>
  <c r="Z60" i="2"/>
  <c r="AC59" i="2"/>
  <c r="AB59" i="2"/>
  <c r="AA59" i="2"/>
  <c r="Z59" i="2"/>
  <c r="AC58" i="2"/>
  <c r="AB58" i="2"/>
  <c r="AA58" i="2"/>
  <c r="Z58" i="2"/>
  <c r="AC57" i="2"/>
  <c r="AB57" i="2"/>
  <c r="AA57" i="2"/>
  <c r="Z57" i="2"/>
  <c r="AC56" i="2"/>
  <c r="AB56" i="2"/>
  <c r="AA56" i="2"/>
  <c r="Z56" i="2"/>
  <c r="AC55" i="2"/>
  <c r="AB55" i="2"/>
  <c r="AA55" i="2"/>
  <c r="Z55" i="2"/>
  <c r="AC54" i="2"/>
  <c r="AB54" i="2"/>
  <c r="AA54" i="2"/>
  <c r="Z54" i="2"/>
  <c r="AC53" i="2"/>
  <c r="AB53" i="2"/>
  <c r="AA53" i="2"/>
  <c r="Z53" i="2"/>
  <c r="AC52" i="2"/>
  <c r="AB52" i="2"/>
  <c r="AA52" i="2"/>
  <c r="Z52" i="2"/>
  <c r="AC51" i="2"/>
  <c r="AB51" i="2"/>
  <c r="AA51" i="2"/>
  <c r="Z51" i="2"/>
  <c r="AC50" i="2"/>
  <c r="AB50" i="2"/>
  <c r="AA50" i="2"/>
  <c r="Z50" i="2"/>
  <c r="AC49" i="2"/>
  <c r="AB49" i="2"/>
  <c r="AA49" i="2"/>
  <c r="Z49" i="2"/>
  <c r="AC48" i="2"/>
  <c r="AB48" i="2"/>
  <c r="AA48" i="2"/>
  <c r="Z48" i="2"/>
  <c r="AC47" i="2"/>
  <c r="AB47" i="2"/>
  <c r="AA47" i="2"/>
  <c r="Z47" i="2"/>
  <c r="AC46" i="2"/>
  <c r="AB46" i="2"/>
  <c r="AA46" i="2"/>
  <c r="Z46" i="2"/>
  <c r="AC45" i="2"/>
  <c r="AB45" i="2"/>
  <c r="AA45" i="2"/>
  <c r="Z45" i="2"/>
  <c r="AC44" i="2"/>
  <c r="AB44" i="2"/>
  <c r="AA44" i="2"/>
  <c r="Z44" i="2"/>
  <c r="AC43" i="2"/>
  <c r="AB43" i="2"/>
  <c r="AA43" i="2"/>
  <c r="Z43" i="2"/>
  <c r="AC42" i="2"/>
  <c r="AB42" i="2"/>
  <c r="AA42" i="2"/>
  <c r="Z42" i="2"/>
  <c r="AC41" i="2"/>
  <c r="AB41" i="2"/>
  <c r="AA41" i="2"/>
  <c r="Z41" i="2"/>
  <c r="AC40" i="2"/>
  <c r="AB40" i="2"/>
  <c r="AA40" i="2"/>
  <c r="Z40" i="2"/>
  <c r="AC39" i="2"/>
  <c r="AB39" i="2"/>
  <c r="AA39" i="2"/>
  <c r="Z39" i="2"/>
  <c r="AC38" i="2"/>
  <c r="AB38" i="2"/>
  <c r="AA38" i="2"/>
  <c r="Z38" i="2"/>
  <c r="AC37" i="2"/>
  <c r="AB37" i="2"/>
  <c r="AA37" i="2"/>
  <c r="Z37" i="2"/>
  <c r="AC36" i="2"/>
  <c r="AB36" i="2"/>
  <c r="AA36" i="2"/>
  <c r="Z36" i="2"/>
  <c r="AC35" i="2"/>
  <c r="AB35" i="2"/>
  <c r="AA35" i="2"/>
  <c r="Z35" i="2"/>
  <c r="AC34" i="2"/>
  <c r="AB34" i="2"/>
  <c r="AA34" i="2"/>
  <c r="Z34" i="2"/>
  <c r="AC33" i="2"/>
  <c r="AB33" i="2"/>
  <c r="AA33" i="2"/>
  <c r="Z33" i="2"/>
  <c r="AC32" i="2"/>
  <c r="AB32" i="2"/>
  <c r="AA32" i="2"/>
  <c r="Z32" i="2"/>
  <c r="AC31" i="2"/>
  <c r="AB31" i="2"/>
  <c r="AA31" i="2"/>
  <c r="Z31" i="2"/>
  <c r="AC30" i="2"/>
  <c r="AB30" i="2"/>
  <c r="AA30" i="2"/>
  <c r="Z30" i="2"/>
  <c r="AC29" i="2"/>
  <c r="AB29" i="2"/>
  <c r="AA29" i="2"/>
  <c r="Z29" i="2"/>
  <c r="AC28" i="2"/>
  <c r="AB28" i="2"/>
  <c r="AA28" i="2"/>
  <c r="Z28" i="2"/>
  <c r="AC27" i="2"/>
  <c r="AB27" i="2"/>
  <c r="AA27" i="2"/>
  <c r="Z27" i="2"/>
  <c r="AC26" i="2"/>
  <c r="AB26" i="2"/>
  <c r="AA26" i="2"/>
  <c r="Z26" i="2"/>
  <c r="AC25" i="2"/>
  <c r="AB25" i="2"/>
  <c r="AA25" i="2"/>
  <c r="Z25" i="2"/>
  <c r="P25" i="2" a="1"/>
  <c r="P25" i="2" s="1"/>
  <c r="O25" i="2"/>
  <c r="N25" i="2" a="1"/>
  <c r="N25" i="2" s="1"/>
  <c r="M25" i="2"/>
  <c r="AC24" i="2"/>
  <c r="AB24" i="2"/>
  <c r="AA24" i="2"/>
  <c r="Z24" i="2"/>
  <c r="P24" i="2" a="1"/>
  <c r="P24" i="2" s="1"/>
  <c r="O24" i="2"/>
  <c r="N24" i="2" a="1"/>
  <c r="N24" i="2" s="1"/>
  <c r="M24" i="2"/>
  <c r="AC23" i="2"/>
  <c r="AB23" i="2"/>
  <c r="AA23" i="2"/>
  <c r="Z23" i="2"/>
  <c r="P23" i="2" a="1"/>
  <c r="P23" i="2" s="1"/>
  <c r="O23" i="2"/>
  <c r="N23" i="2" a="1"/>
  <c r="N23" i="2" s="1"/>
  <c r="M23" i="2"/>
  <c r="AC22" i="2"/>
  <c r="AB22" i="2"/>
  <c r="AA22" i="2"/>
  <c r="Z22" i="2"/>
  <c r="P22" i="2" a="1"/>
  <c r="P22" i="2" s="1"/>
  <c r="O22" i="2"/>
  <c r="N22" i="2" a="1"/>
  <c r="N22" i="2" s="1"/>
  <c r="Q22" i="2" s="1"/>
  <c r="M22" i="2"/>
  <c r="D22" i="2"/>
  <c r="C22" i="2"/>
  <c r="AC21" i="2"/>
  <c r="AB21" i="2"/>
  <c r="AA21" i="2"/>
  <c r="Z21" i="2"/>
  <c r="P21" i="2" a="1"/>
  <c r="P21" i="2" s="1"/>
  <c r="O21" i="2"/>
  <c r="N21" i="2" a="1"/>
  <c r="N21" i="2" s="1"/>
  <c r="M21" i="2"/>
  <c r="AC20" i="2"/>
  <c r="AB20" i="2"/>
  <c r="AA20" i="2"/>
  <c r="Z20" i="2"/>
  <c r="P20" i="2" a="1"/>
  <c r="P20" i="2" s="1"/>
  <c r="O20" i="2"/>
  <c r="N20" i="2" a="1"/>
  <c r="N20" i="2" s="1"/>
  <c r="Q20" i="2" s="1"/>
  <c r="M20" i="2"/>
  <c r="AC19" i="2"/>
  <c r="AB19" i="2"/>
  <c r="AA19" i="2"/>
  <c r="Z19" i="2"/>
  <c r="P19" i="2" a="1"/>
  <c r="P19" i="2" s="1"/>
  <c r="O19" i="2"/>
  <c r="N19" i="2"/>
  <c r="N19" i="2" a="1"/>
  <c r="M19" i="2"/>
  <c r="AC18" i="2"/>
  <c r="AB18" i="2"/>
  <c r="AA18" i="2"/>
  <c r="Z18" i="2"/>
  <c r="P18" i="2" a="1"/>
  <c r="P18" i="2" s="1"/>
  <c r="O18" i="2"/>
  <c r="N18" i="2" a="1"/>
  <c r="N18" i="2" s="1"/>
  <c r="M18" i="2"/>
  <c r="AC17" i="2"/>
  <c r="AB17" i="2"/>
  <c r="AA17" i="2"/>
  <c r="Z17" i="2"/>
  <c r="P17" i="2" a="1"/>
  <c r="P17" i="2" s="1"/>
  <c r="O17" i="2"/>
  <c r="N17" i="2" a="1"/>
  <c r="N17" i="2" s="1"/>
  <c r="Q17" i="2" s="1"/>
  <c r="M17" i="2"/>
  <c r="AC16" i="2"/>
  <c r="AB16" i="2"/>
  <c r="AA16" i="2"/>
  <c r="Z16" i="2"/>
  <c r="P16" i="2" a="1"/>
  <c r="P16" i="2" s="1"/>
  <c r="O16" i="2"/>
  <c r="N16" i="2" a="1"/>
  <c r="N16" i="2" s="1"/>
  <c r="Q16" i="2" s="1"/>
  <c r="M16" i="2"/>
  <c r="AC15" i="2"/>
  <c r="AB15" i="2"/>
  <c r="AA15" i="2"/>
  <c r="Z15" i="2"/>
  <c r="P15" i="2" a="1"/>
  <c r="P15" i="2" s="1"/>
  <c r="O15" i="2"/>
  <c r="N15" i="2"/>
  <c r="Q15" i="2" s="1"/>
  <c r="N15" i="2" a="1"/>
  <c r="M15" i="2"/>
  <c r="AC14" i="2"/>
  <c r="AB14" i="2"/>
  <c r="AA14" i="2"/>
  <c r="Z14" i="2"/>
  <c r="P14" i="2" a="1"/>
  <c r="P14" i="2" s="1"/>
  <c r="O14" i="2"/>
  <c r="N14" i="2" a="1"/>
  <c r="N14" i="2" s="1"/>
  <c r="M14" i="2"/>
  <c r="AC13" i="2"/>
  <c r="AB13" i="2"/>
  <c r="AA13" i="2"/>
  <c r="Z13" i="2"/>
  <c r="P13" i="2" a="1"/>
  <c r="P13" i="2" s="1"/>
  <c r="O13" i="2"/>
  <c r="N13" i="2" a="1"/>
  <c r="N13" i="2" s="1"/>
  <c r="M13" i="2"/>
  <c r="AC12" i="2"/>
  <c r="AB12" i="2"/>
  <c r="AA12" i="2"/>
  <c r="Z12" i="2"/>
  <c r="P12" i="2" a="1"/>
  <c r="P12" i="2" s="1"/>
  <c r="O12" i="2"/>
  <c r="N12" i="2" a="1"/>
  <c r="N12" i="2" s="1"/>
  <c r="M12" i="2"/>
  <c r="AC11" i="2"/>
  <c r="AB11" i="2"/>
  <c r="AA11" i="2"/>
  <c r="Z11" i="2"/>
  <c r="P11" i="2" a="1"/>
  <c r="P11" i="2" s="1"/>
  <c r="O11" i="2"/>
  <c r="N11" i="2" a="1"/>
  <c r="N11" i="2" s="1"/>
  <c r="Q11" i="2" s="1"/>
  <c r="M11" i="2"/>
  <c r="AC10" i="2"/>
  <c r="AB10" i="2"/>
  <c r="AA10" i="2"/>
  <c r="Z10" i="2"/>
  <c r="P10" i="2" a="1"/>
  <c r="P10" i="2" s="1"/>
  <c r="Q10" i="2" s="1"/>
  <c r="O10" i="2"/>
  <c r="N10" i="2"/>
  <c r="N10" i="2" a="1"/>
  <c r="M10" i="2"/>
  <c r="AC9" i="2"/>
  <c r="AB9" i="2"/>
  <c r="AA9" i="2"/>
  <c r="Z9" i="2"/>
  <c r="P9" i="2" a="1"/>
  <c r="P9" i="2" s="1"/>
  <c r="O9" i="2"/>
  <c r="N9" i="2" a="1"/>
  <c r="N9" i="2" s="1"/>
  <c r="Q9" i="2" s="1"/>
  <c r="M9" i="2"/>
  <c r="AC8" i="2"/>
  <c r="AB8" i="2"/>
  <c r="AA8" i="2"/>
  <c r="Z8" i="2"/>
  <c r="P8" i="2" a="1"/>
  <c r="P8" i="2" s="1"/>
  <c r="O8" i="2"/>
  <c r="N8" i="2" a="1"/>
  <c r="N8" i="2" s="1"/>
  <c r="Q8" i="2" s="1"/>
  <c r="M8" i="2"/>
  <c r="AC7" i="2"/>
  <c r="AB7" i="2"/>
  <c r="AA7" i="2"/>
  <c r="Z7" i="2"/>
  <c r="P7" i="2" a="1"/>
  <c r="P7" i="2" s="1"/>
  <c r="O7" i="2"/>
  <c r="N7" i="2" a="1"/>
  <c r="N7" i="2" s="1"/>
  <c r="M7" i="2"/>
  <c r="AC6" i="2"/>
  <c r="AB6" i="2"/>
  <c r="AA6" i="2"/>
  <c r="Z6" i="2"/>
  <c r="P6" i="2" a="1"/>
  <c r="P6" i="2" s="1"/>
  <c r="O6" i="2"/>
  <c r="N6" i="2" a="1"/>
  <c r="N6" i="2" s="1"/>
  <c r="M6" i="2"/>
  <c r="G6" i="2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AC5" i="2"/>
  <c r="AB5" i="2"/>
  <c r="AA5" i="2"/>
  <c r="Z5" i="2"/>
  <c r="P5" i="2" a="1"/>
  <c r="P5" i="2" s="1"/>
  <c r="O5" i="2"/>
  <c r="N5" i="2" a="1"/>
  <c r="N5" i="2" s="1"/>
  <c r="M5" i="2"/>
  <c r="AJ40" i="1"/>
  <c r="AI40" i="1"/>
  <c r="AH40" i="1"/>
  <c r="AG40" i="1"/>
  <c r="AF40" i="1"/>
  <c r="AE40" i="1"/>
  <c r="AJ39" i="1"/>
  <c r="AI39" i="1"/>
  <c r="AH39" i="1"/>
  <c r="AG39" i="1"/>
  <c r="AF39" i="1"/>
  <c r="AE39" i="1"/>
  <c r="AJ38" i="1"/>
  <c r="AI38" i="1"/>
  <c r="AH38" i="1"/>
  <c r="AG38" i="1"/>
  <c r="AF38" i="1"/>
  <c r="AE38" i="1"/>
  <c r="AJ37" i="1"/>
  <c r="AI37" i="1"/>
  <c r="AH37" i="1"/>
  <c r="AG37" i="1"/>
  <c r="AF37" i="1"/>
  <c r="AE37" i="1"/>
  <c r="AJ36" i="1"/>
  <c r="AI36" i="1"/>
  <c r="AH36" i="1"/>
  <c r="AG36" i="1"/>
  <c r="AF36" i="1"/>
  <c r="AE36" i="1"/>
  <c r="AJ35" i="1"/>
  <c r="AI35" i="1"/>
  <c r="AH35" i="1"/>
  <c r="AG35" i="1"/>
  <c r="AF35" i="1"/>
  <c r="AE35" i="1"/>
  <c r="AJ34" i="1"/>
  <c r="AI34" i="1"/>
  <c r="AH34" i="1"/>
  <c r="AG34" i="1"/>
  <c r="AF34" i="1"/>
  <c r="AE34" i="1"/>
  <c r="AJ33" i="1"/>
  <c r="AI33" i="1"/>
  <c r="AH33" i="1"/>
  <c r="AG33" i="1"/>
  <c r="AF33" i="1"/>
  <c r="AE33" i="1"/>
  <c r="AJ32" i="1"/>
  <c r="AI32" i="1"/>
  <c r="AH32" i="1"/>
  <c r="AG32" i="1"/>
  <c r="AF32" i="1"/>
  <c r="AE32" i="1"/>
  <c r="AJ31" i="1"/>
  <c r="AI31" i="1"/>
  <c r="AH31" i="1"/>
  <c r="AG31" i="1"/>
  <c r="AF31" i="1"/>
  <c r="AE31" i="1"/>
  <c r="AJ30" i="1"/>
  <c r="AI30" i="1"/>
  <c r="AH30" i="1"/>
  <c r="AG30" i="1"/>
  <c r="AF30" i="1"/>
  <c r="AE30" i="1"/>
  <c r="AJ29" i="1"/>
  <c r="AI29" i="1"/>
  <c r="AH29" i="1"/>
  <c r="AG29" i="1"/>
  <c r="AF29" i="1"/>
  <c r="AE29" i="1"/>
  <c r="U29" i="1" a="1"/>
  <c r="U29" i="1" s="1"/>
  <c r="T29" i="1"/>
  <c r="S29" i="1" a="1"/>
  <c r="S29" i="1" s="1"/>
  <c r="R29" i="1"/>
  <c r="Q29" i="1" a="1"/>
  <c r="Q29" i="1" s="1"/>
  <c r="V29" i="1" s="1"/>
  <c r="P29" i="1"/>
  <c r="AJ28" i="1"/>
  <c r="AI28" i="1"/>
  <c r="AH28" i="1"/>
  <c r="AG28" i="1"/>
  <c r="AF28" i="1"/>
  <c r="AE28" i="1"/>
  <c r="U28" i="1" a="1"/>
  <c r="U28" i="1" s="1"/>
  <c r="T28" i="1"/>
  <c r="S28" i="1" a="1"/>
  <c r="S28" i="1" s="1"/>
  <c r="R28" i="1"/>
  <c r="Q28" i="1" a="1"/>
  <c r="Q28" i="1" s="1"/>
  <c r="P28" i="1"/>
  <c r="AJ27" i="1"/>
  <c r="AI27" i="1"/>
  <c r="AH27" i="1"/>
  <c r="AG27" i="1"/>
  <c r="AF27" i="1"/>
  <c r="AE27" i="1"/>
  <c r="U27" i="1" a="1"/>
  <c r="U27" i="1" s="1"/>
  <c r="T27" i="1"/>
  <c r="S27" i="1" a="1"/>
  <c r="S27" i="1" s="1"/>
  <c r="R27" i="1"/>
  <c r="Q27" i="1" a="1"/>
  <c r="Q27" i="1" s="1"/>
  <c r="P27" i="1"/>
  <c r="E27" i="1"/>
  <c r="D27" i="1"/>
  <c r="C27" i="1"/>
  <c r="AJ26" i="1"/>
  <c r="AI26" i="1"/>
  <c r="AH26" i="1"/>
  <c r="AG26" i="1"/>
  <c r="AF26" i="1"/>
  <c r="AE26" i="1"/>
  <c r="U26" i="1" a="1"/>
  <c r="U26" i="1" s="1"/>
  <c r="T26" i="1"/>
  <c r="S26" i="1" a="1"/>
  <c r="S26" i="1" s="1"/>
  <c r="R26" i="1"/>
  <c r="Q26" i="1" a="1"/>
  <c r="Q26" i="1" s="1"/>
  <c r="P26" i="1"/>
  <c r="AJ25" i="1"/>
  <c r="AI25" i="1"/>
  <c r="AH25" i="1"/>
  <c r="AG25" i="1"/>
  <c r="AF25" i="1"/>
  <c r="AE25" i="1"/>
  <c r="U25" i="1" a="1"/>
  <c r="U25" i="1" s="1"/>
  <c r="T25" i="1"/>
  <c r="S25" i="1" a="1"/>
  <c r="S25" i="1" s="1"/>
  <c r="R25" i="1"/>
  <c r="Q25" i="1"/>
  <c r="Q25" i="1" a="1"/>
  <c r="P25" i="1"/>
  <c r="AJ24" i="1"/>
  <c r="AI24" i="1"/>
  <c r="AH24" i="1"/>
  <c r="AG24" i="1"/>
  <c r="AF24" i="1"/>
  <c r="AE24" i="1"/>
  <c r="U24" i="1" a="1"/>
  <c r="U24" i="1" s="1"/>
  <c r="T24" i="1"/>
  <c r="S24" i="1" a="1"/>
  <c r="S24" i="1" s="1"/>
  <c r="R24" i="1"/>
  <c r="Q24" i="1" a="1"/>
  <c r="Q24" i="1" s="1"/>
  <c r="P24" i="1"/>
  <c r="AJ23" i="1"/>
  <c r="AI23" i="1"/>
  <c r="AH23" i="1"/>
  <c r="AG23" i="1"/>
  <c r="AF23" i="1"/>
  <c r="AE23" i="1"/>
  <c r="U23" i="1" a="1"/>
  <c r="U23" i="1" s="1"/>
  <c r="T23" i="1"/>
  <c r="S23" i="1" a="1"/>
  <c r="S23" i="1" s="1"/>
  <c r="R23" i="1"/>
  <c r="Q23" i="1" a="1"/>
  <c r="Q23" i="1" s="1"/>
  <c r="P23" i="1"/>
  <c r="AJ22" i="1"/>
  <c r="AI22" i="1"/>
  <c r="AH22" i="1"/>
  <c r="AG22" i="1"/>
  <c r="AF22" i="1"/>
  <c r="AE22" i="1"/>
  <c r="U22" i="1" a="1"/>
  <c r="U22" i="1" s="1"/>
  <c r="T22" i="1"/>
  <c r="S22" i="1" a="1"/>
  <c r="S22" i="1" s="1"/>
  <c r="R22" i="1"/>
  <c r="Q22" i="1" a="1"/>
  <c r="Q22" i="1" s="1"/>
  <c r="P22" i="1"/>
  <c r="AJ21" i="1"/>
  <c r="AI21" i="1"/>
  <c r="AH21" i="1"/>
  <c r="AG21" i="1"/>
  <c r="AF21" i="1"/>
  <c r="AE21" i="1"/>
  <c r="U21" i="1" a="1"/>
  <c r="U21" i="1" s="1"/>
  <c r="T21" i="1"/>
  <c r="S21" i="1" a="1"/>
  <c r="S21" i="1" s="1"/>
  <c r="R21" i="1"/>
  <c r="Q21" i="1" a="1"/>
  <c r="Q21" i="1" s="1"/>
  <c r="P21" i="1"/>
  <c r="AJ20" i="1"/>
  <c r="AI20" i="1"/>
  <c r="AH20" i="1"/>
  <c r="AG20" i="1"/>
  <c r="AF20" i="1"/>
  <c r="AE20" i="1"/>
  <c r="U20" i="1" a="1"/>
  <c r="U20" i="1" s="1"/>
  <c r="T20" i="1"/>
  <c r="S20" i="1" a="1"/>
  <c r="S20" i="1" s="1"/>
  <c r="R20" i="1"/>
  <c r="Q20" i="1" a="1"/>
  <c r="Q20" i="1" s="1"/>
  <c r="V20" i="1" s="1"/>
  <c r="P20" i="1"/>
  <c r="AJ19" i="1"/>
  <c r="AI19" i="1"/>
  <c r="AH19" i="1"/>
  <c r="AG19" i="1"/>
  <c r="AF19" i="1"/>
  <c r="AE19" i="1"/>
  <c r="U19" i="1" a="1"/>
  <c r="U19" i="1" s="1"/>
  <c r="T19" i="1"/>
  <c r="S19" i="1" a="1"/>
  <c r="S19" i="1" s="1"/>
  <c r="R19" i="1"/>
  <c r="Q19" i="1" a="1"/>
  <c r="Q19" i="1" s="1"/>
  <c r="P19" i="1"/>
  <c r="AJ18" i="1"/>
  <c r="AI18" i="1"/>
  <c r="AH18" i="1"/>
  <c r="AG18" i="1"/>
  <c r="AF18" i="1"/>
  <c r="AE18" i="1"/>
  <c r="U18" i="1" a="1"/>
  <c r="U18" i="1" s="1"/>
  <c r="T18" i="1"/>
  <c r="S18" i="1" a="1"/>
  <c r="S18" i="1" s="1"/>
  <c r="R18" i="1"/>
  <c r="Q18" i="1" a="1"/>
  <c r="Q18" i="1" s="1"/>
  <c r="P18" i="1"/>
  <c r="AJ17" i="1"/>
  <c r="AI17" i="1"/>
  <c r="AH17" i="1"/>
  <c r="AG17" i="1"/>
  <c r="AF17" i="1"/>
  <c r="AE17" i="1"/>
  <c r="U17" i="1" a="1"/>
  <c r="U17" i="1" s="1"/>
  <c r="T17" i="1"/>
  <c r="S17" i="1" a="1"/>
  <c r="S17" i="1" s="1"/>
  <c r="R17" i="1"/>
  <c r="Q17" i="1" a="1"/>
  <c r="Q17" i="1" s="1"/>
  <c r="P17" i="1"/>
  <c r="AJ16" i="1"/>
  <c r="AI16" i="1"/>
  <c r="AH16" i="1"/>
  <c r="AG16" i="1"/>
  <c r="AF16" i="1"/>
  <c r="AE16" i="1"/>
  <c r="U16" i="1" a="1"/>
  <c r="U16" i="1" s="1"/>
  <c r="T16" i="1"/>
  <c r="S16" i="1" a="1"/>
  <c r="S16" i="1" s="1"/>
  <c r="R16" i="1"/>
  <c r="Q16" i="1" a="1"/>
  <c r="Q16" i="1" s="1"/>
  <c r="P16" i="1"/>
  <c r="AJ15" i="1"/>
  <c r="AI15" i="1"/>
  <c r="AH15" i="1"/>
  <c r="AG15" i="1"/>
  <c r="AF15" i="1"/>
  <c r="AE15" i="1"/>
  <c r="U15" i="1" a="1"/>
  <c r="U15" i="1" s="1"/>
  <c r="T15" i="1"/>
  <c r="S15" i="1" a="1"/>
  <c r="S15" i="1" s="1"/>
  <c r="R15" i="1"/>
  <c r="Q15" i="1" a="1"/>
  <c r="Q15" i="1" s="1"/>
  <c r="P15" i="1"/>
  <c r="AJ14" i="1"/>
  <c r="AI14" i="1"/>
  <c r="AH14" i="1"/>
  <c r="AG14" i="1"/>
  <c r="AF14" i="1"/>
  <c r="AE14" i="1"/>
  <c r="U14" i="1" a="1"/>
  <c r="U14" i="1" s="1"/>
  <c r="T14" i="1"/>
  <c r="S14" i="1" a="1"/>
  <c r="S14" i="1" s="1"/>
  <c r="R14" i="1"/>
  <c r="Q14" i="1" a="1"/>
  <c r="Q14" i="1" s="1"/>
  <c r="P14" i="1"/>
  <c r="AJ13" i="1"/>
  <c r="AI13" i="1"/>
  <c r="AH13" i="1"/>
  <c r="AG13" i="1"/>
  <c r="AF13" i="1"/>
  <c r="AE13" i="1"/>
  <c r="U13" i="1" a="1"/>
  <c r="U13" i="1" s="1"/>
  <c r="T13" i="1"/>
  <c r="S13" i="1" a="1"/>
  <c r="S13" i="1" s="1"/>
  <c r="R13" i="1"/>
  <c r="Q13" i="1" a="1"/>
  <c r="Q13" i="1" s="1"/>
  <c r="P13" i="1"/>
  <c r="AJ12" i="1"/>
  <c r="AI12" i="1"/>
  <c r="AH12" i="1"/>
  <c r="AG12" i="1"/>
  <c r="AF12" i="1"/>
  <c r="AE12" i="1"/>
  <c r="U12" i="1" a="1"/>
  <c r="U12" i="1" s="1"/>
  <c r="T12" i="1"/>
  <c r="S12" i="1" a="1"/>
  <c r="S12" i="1" s="1"/>
  <c r="R12" i="1"/>
  <c r="Q12" i="1" a="1"/>
  <c r="Q12" i="1" s="1"/>
  <c r="P12" i="1"/>
  <c r="AJ11" i="1"/>
  <c r="AI11" i="1"/>
  <c r="AH11" i="1"/>
  <c r="AG11" i="1"/>
  <c r="AF11" i="1"/>
  <c r="AE11" i="1"/>
  <c r="U11" i="1" a="1"/>
  <c r="U11" i="1" s="1"/>
  <c r="T11" i="1"/>
  <c r="S11" i="1" a="1"/>
  <c r="S11" i="1" s="1"/>
  <c r="R11" i="1"/>
  <c r="Q11" i="1" a="1"/>
  <c r="Q11" i="1" s="1"/>
  <c r="P11" i="1"/>
  <c r="AJ10" i="1"/>
  <c r="AI10" i="1"/>
  <c r="AH10" i="1"/>
  <c r="AG10" i="1"/>
  <c r="AF10" i="1"/>
  <c r="AE10" i="1"/>
  <c r="U10" i="1" a="1"/>
  <c r="U10" i="1" s="1"/>
  <c r="T10" i="1"/>
  <c r="S10" i="1" a="1"/>
  <c r="S10" i="1" s="1"/>
  <c r="R10" i="1"/>
  <c r="Q10" i="1" a="1"/>
  <c r="Q10" i="1" s="1"/>
  <c r="P10" i="1"/>
  <c r="H10" i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AJ9" i="1"/>
  <c r="AI9" i="1"/>
  <c r="AH9" i="1"/>
  <c r="AG9" i="1"/>
  <c r="AF9" i="1"/>
  <c r="AE9" i="1"/>
  <c r="U9" i="1" a="1"/>
  <c r="U9" i="1" s="1"/>
  <c r="T9" i="1"/>
  <c r="S9" i="1" a="1"/>
  <c r="S9" i="1" s="1"/>
  <c r="R9" i="1"/>
  <c r="Q9" i="1" a="1"/>
  <c r="Q9" i="1" s="1"/>
  <c r="P9" i="1"/>
  <c r="Q21" i="2" l="1"/>
  <c r="Q14" i="2"/>
  <c r="Q18" i="2"/>
  <c r="Q23" i="2"/>
  <c r="Q13" i="2"/>
  <c r="Q5" i="2"/>
  <c r="Q19" i="2"/>
  <c r="Q7" i="2"/>
  <c r="Q12" i="2"/>
  <c r="O26" i="2"/>
  <c r="P26" i="2" s="1" a="1"/>
  <c r="P26" i="2" s="1"/>
  <c r="M26" i="2"/>
  <c r="N26" i="2" s="1" a="1"/>
  <c r="N26" i="2" s="1"/>
  <c r="G27" i="2"/>
  <c r="Q6" i="2"/>
  <c r="Q25" i="2"/>
  <c r="Q24" i="2"/>
  <c r="V27" i="1"/>
  <c r="V15" i="1"/>
  <c r="V28" i="1"/>
  <c r="V14" i="1"/>
  <c r="V13" i="1"/>
  <c r="V10" i="1"/>
  <c r="V24" i="1"/>
  <c r="V26" i="1"/>
  <c r="V16" i="1"/>
  <c r="V19" i="1"/>
  <c r="V18" i="1"/>
  <c r="V12" i="1"/>
  <c r="V21" i="1"/>
  <c r="H31" i="1"/>
  <c r="P30" i="1"/>
  <c r="Q30" i="1" s="1" a="1"/>
  <c r="Q30" i="1" s="1"/>
  <c r="T30" i="1"/>
  <c r="U30" i="1" s="1" a="1"/>
  <c r="U30" i="1" s="1"/>
  <c r="R30" i="1"/>
  <c r="S30" i="1" s="1" a="1"/>
  <c r="S30" i="1" s="1"/>
  <c r="V9" i="1"/>
  <c r="V22" i="1"/>
  <c r="V11" i="1"/>
  <c r="V17" i="1"/>
  <c r="V23" i="1"/>
  <c r="V25" i="1"/>
  <c r="Q26" i="2" l="1"/>
  <c r="O27" i="2"/>
  <c r="P27" i="2" s="1" a="1"/>
  <c r="P27" i="2" s="1"/>
  <c r="G28" i="2"/>
  <c r="M27" i="2"/>
  <c r="N27" i="2" s="1" a="1"/>
  <c r="N27" i="2" s="1"/>
  <c r="V30" i="1"/>
  <c r="T31" i="1"/>
  <c r="U31" i="1" s="1" a="1"/>
  <c r="U31" i="1" s="1"/>
  <c r="R31" i="1"/>
  <c r="S31" i="1" s="1" a="1"/>
  <c r="S31" i="1" s="1"/>
  <c r="H32" i="1"/>
  <c r="P31" i="1"/>
  <c r="Q31" i="1" s="1" a="1"/>
  <c r="Q31" i="1" s="1"/>
  <c r="Q27" i="2" l="1"/>
  <c r="G29" i="2"/>
  <c r="O28" i="2"/>
  <c r="P28" i="2" s="1" a="1"/>
  <c r="P28" i="2" s="1"/>
  <c r="M28" i="2"/>
  <c r="N28" i="2" s="1" a="1"/>
  <c r="N28" i="2" s="1"/>
  <c r="Q28" i="2" s="1"/>
  <c r="V31" i="1"/>
  <c r="R32" i="1"/>
  <c r="S32" i="1" s="1" a="1"/>
  <c r="S32" i="1" s="1"/>
  <c r="H33" i="1"/>
  <c r="P32" i="1"/>
  <c r="Q32" i="1" s="1" a="1"/>
  <c r="Q32" i="1" s="1"/>
  <c r="T32" i="1"/>
  <c r="U32" i="1" s="1" a="1"/>
  <c r="U32" i="1" s="1"/>
  <c r="M29" i="2" l="1"/>
  <c r="N29" i="2" s="1" a="1"/>
  <c r="N29" i="2" s="1"/>
  <c r="G30" i="2"/>
  <c r="O29" i="2"/>
  <c r="P29" i="2" s="1" a="1"/>
  <c r="P29" i="2" s="1"/>
  <c r="V32" i="1"/>
  <c r="T33" i="1"/>
  <c r="U33" i="1" s="1" a="1"/>
  <c r="U33" i="1" s="1"/>
  <c r="H34" i="1"/>
  <c r="P33" i="1"/>
  <c r="Q33" i="1" s="1" a="1"/>
  <c r="Q33" i="1" s="1"/>
  <c r="R33" i="1"/>
  <c r="S33" i="1" s="1" a="1"/>
  <c r="S33" i="1" s="1"/>
  <c r="O30" i="2" l="1"/>
  <c r="P30" i="2" s="1" a="1"/>
  <c r="P30" i="2" s="1"/>
  <c r="M30" i="2"/>
  <c r="N30" i="2" s="1" a="1"/>
  <c r="N30" i="2" s="1"/>
  <c r="Q30" i="2" s="1"/>
  <c r="G31" i="2"/>
  <c r="Q29" i="2"/>
  <c r="V33" i="1"/>
  <c r="H35" i="1"/>
  <c r="P34" i="1"/>
  <c r="Q34" i="1" s="1" a="1"/>
  <c r="Q34" i="1" s="1"/>
  <c r="R34" i="1"/>
  <c r="S34" i="1" s="1" a="1"/>
  <c r="S34" i="1" s="1"/>
  <c r="T34" i="1"/>
  <c r="U34" i="1" s="1" a="1"/>
  <c r="U34" i="1" s="1"/>
  <c r="O31" i="2" l="1"/>
  <c r="P31" i="2" s="1" a="1"/>
  <c r="P31" i="2" s="1"/>
  <c r="G32" i="2"/>
  <c r="M31" i="2"/>
  <c r="N31" i="2" s="1" a="1"/>
  <c r="N31" i="2" s="1"/>
  <c r="Q31" i="2" s="1"/>
  <c r="V34" i="1"/>
  <c r="H36" i="1"/>
  <c r="P35" i="1"/>
  <c r="Q35" i="1" s="1" a="1"/>
  <c r="Q35" i="1" s="1"/>
  <c r="R35" i="1"/>
  <c r="S35" i="1" s="1" a="1"/>
  <c r="S35" i="1" s="1"/>
  <c r="T35" i="1"/>
  <c r="U35" i="1" s="1" a="1"/>
  <c r="U35" i="1" s="1"/>
  <c r="G33" i="2" l="1"/>
  <c r="M32" i="2"/>
  <c r="N32" i="2" s="1" a="1"/>
  <c r="N32" i="2" s="1"/>
  <c r="O32" i="2"/>
  <c r="P32" i="2" s="1" a="1"/>
  <c r="P32" i="2" s="1"/>
  <c r="V35" i="1"/>
  <c r="R36" i="1"/>
  <c r="S36" i="1" s="1" a="1"/>
  <c r="S36" i="1" s="1"/>
  <c r="H37" i="1"/>
  <c r="P36" i="1"/>
  <c r="Q36" i="1" s="1" a="1"/>
  <c r="Q36" i="1" s="1"/>
  <c r="T36" i="1"/>
  <c r="U36" i="1" s="1" a="1"/>
  <c r="U36" i="1" s="1"/>
  <c r="Q32" i="2" l="1"/>
  <c r="M33" i="2"/>
  <c r="N33" i="2" s="1" a="1"/>
  <c r="N33" i="2" s="1"/>
  <c r="G34" i="2"/>
  <c r="O33" i="2"/>
  <c r="P33" i="2" s="1" a="1"/>
  <c r="P33" i="2" s="1"/>
  <c r="V36" i="1"/>
  <c r="H38" i="1"/>
  <c r="P37" i="1"/>
  <c r="Q37" i="1" s="1" a="1"/>
  <c r="Q37" i="1" s="1"/>
  <c r="R37" i="1"/>
  <c r="S37" i="1" s="1" a="1"/>
  <c r="S37" i="1" s="1"/>
  <c r="T37" i="1"/>
  <c r="U37" i="1" s="1" a="1"/>
  <c r="U37" i="1" s="1"/>
  <c r="Q33" i="2" l="1"/>
  <c r="O34" i="2"/>
  <c r="P34" i="2" s="1" a="1"/>
  <c r="P34" i="2" s="1"/>
  <c r="M34" i="2"/>
  <c r="N34" i="2" s="1" a="1"/>
  <c r="N34" i="2" s="1"/>
  <c r="Q34" i="2" s="1"/>
  <c r="G35" i="2"/>
  <c r="V37" i="1"/>
  <c r="H39" i="1"/>
  <c r="P38" i="1"/>
  <c r="Q38" i="1" s="1" a="1"/>
  <c r="Q38" i="1" s="1"/>
  <c r="T38" i="1"/>
  <c r="U38" i="1" s="1" a="1"/>
  <c r="U38" i="1" s="1"/>
  <c r="R38" i="1"/>
  <c r="S38" i="1" s="1" a="1"/>
  <c r="S38" i="1" s="1"/>
  <c r="G36" i="2" l="1"/>
  <c r="M35" i="2"/>
  <c r="N35" i="2" s="1" a="1"/>
  <c r="N35" i="2" s="1"/>
  <c r="O35" i="2"/>
  <c r="P35" i="2" s="1" a="1"/>
  <c r="P35" i="2" s="1"/>
  <c r="V38" i="1"/>
  <c r="H40" i="1"/>
  <c r="P39" i="1"/>
  <c r="Q39" i="1" s="1" a="1"/>
  <c r="Q39" i="1" s="1"/>
  <c r="T39" i="1"/>
  <c r="U39" i="1" s="1" a="1"/>
  <c r="U39" i="1" s="1"/>
  <c r="R39" i="1"/>
  <c r="S39" i="1" s="1" a="1"/>
  <c r="S39" i="1" s="1"/>
  <c r="Q35" i="2" l="1"/>
  <c r="M36" i="2"/>
  <c r="N36" i="2" s="1" a="1"/>
  <c r="N36" i="2" s="1"/>
  <c r="G37" i="2"/>
  <c r="O36" i="2"/>
  <c r="P36" i="2" s="1" a="1"/>
  <c r="P36" i="2" s="1"/>
  <c r="V39" i="1"/>
  <c r="T40" i="1"/>
  <c r="U40" i="1" s="1" a="1"/>
  <c r="U40" i="1" s="1"/>
  <c r="R40" i="1"/>
  <c r="S40" i="1" s="1" a="1"/>
  <c r="S40" i="1" s="1"/>
  <c r="P40" i="1"/>
  <c r="Q40" i="1" s="1" a="1"/>
  <c r="Q40" i="1" s="1"/>
  <c r="O37" i="2" l="1"/>
  <c r="P37" i="2" s="1" a="1"/>
  <c r="P37" i="2" s="1"/>
  <c r="M37" i="2"/>
  <c r="N37" i="2" s="1" a="1"/>
  <c r="N37" i="2" s="1"/>
  <c r="G38" i="2"/>
  <c r="Q36" i="2"/>
  <c r="V40" i="1"/>
  <c r="D18" i="1" s="1" a="1"/>
  <c r="D18" i="1" s="1"/>
  <c r="Q37" i="2" l="1"/>
  <c r="G39" i="2"/>
  <c r="O38" i="2"/>
  <c r="P38" i="2" s="1" a="1"/>
  <c r="P38" i="2" s="1"/>
  <c r="M38" i="2"/>
  <c r="N38" i="2" s="1" a="1"/>
  <c r="N38" i="2" s="1"/>
  <c r="Q38" i="2" l="1"/>
  <c r="M39" i="2"/>
  <c r="N39" i="2" s="1" a="1"/>
  <c r="N39" i="2" s="1"/>
  <c r="Q39" i="2" s="1"/>
  <c r="G40" i="2"/>
  <c r="O39" i="2"/>
  <c r="P39" i="2" s="1" a="1"/>
  <c r="P39" i="2" s="1"/>
  <c r="O40" i="2" l="1"/>
  <c r="P40" i="2" s="1" a="1"/>
  <c r="P40" i="2" s="1"/>
  <c r="M40" i="2"/>
  <c r="N40" i="2" s="1" a="1"/>
  <c r="N40" i="2" s="1"/>
  <c r="G41" i="2"/>
  <c r="Q40" i="2" l="1"/>
  <c r="G42" i="2"/>
  <c r="O41" i="2"/>
  <c r="P41" i="2" s="1" a="1"/>
  <c r="P41" i="2" s="1"/>
  <c r="M41" i="2"/>
  <c r="N41" i="2" s="1" a="1"/>
  <c r="N41" i="2" s="1"/>
  <c r="Q41" i="2" s="1"/>
  <c r="M42" i="2" l="1"/>
  <c r="N42" i="2" s="1" a="1"/>
  <c r="N42" i="2" s="1"/>
  <c r="Q42" i="2" s="1"/>
  <c r="O42" i="2"/>
  <c r="P42" i="2" s="1" a="1"/>
  <c r="P42" i="2" s="1"/>
  <c r="G43" i="2"/>
  <c r="O43" i="2" l="1"/>
  <c r="P43" i="2" s="1" a="1"/>
  <c r="P43" i="2" s="1"/>
  <c r="M43" i="2"/>
  <c r="N43" i="2" s="1" a="1"/>
  <c r="N43" i="2" s="1"/>
  <c r="G44" i="2"/>
  <c r="Q43" i="2" l="1"/>
  <c r="O44" i="2"/>
  <c r="P44" i="2" s="1" a="1"/>
  <c r="P44" i="2" s="1"/>
  <c r="M44" i="2"/>
  <c r="N44" i="2" s="1" a="1"/>
  <c r="N44" i="2" s="1"/>
  <c r="Q44" i="2" s="1"/>
  <c r="G45" i="2"/>
  <c r="G46" i="2" l="1"/>
  <c r="O45" i="2"/>
  <c r="P45" i="2" s="1" a="1"/>
  <c r="P45" i="2" s="1"/>
  <c r="M45" i="2"/>
  <c r="N45" i="2" s="1" a="1"/>
  <c r="N45" i="2" s="1"/>
  <c r="Q45" i="2" l="1"/>
  <c r="O46" i="2"/>
  <c r="P46" i="2" s="1" a="1"/>
  <c r="P46" i="2" s="1"/>
  <c r="M46" i="2"/>
  <c r="N46" i="2" s="1" a="1"/>
  <c r="N46" i="2" s="1"/>
  <c r="G47" i="2"/>
  <c r="Q46" i="2" l="1"/>
  <c r="O47" i="2"/>
  <c r="P47" i="2" s="1" a="1"/>
  <c r="P47" i="2" s="1"/>
  <c r="G48" i="2"/>
  <c r="M47" i="2"/>
  <c r="N47" i="2" s="1" a="1"/>
  <c r="N47" i="2" s="1"/>
  <c r="Q47" i="2" s="1"/>
  <c r="G49" i="2" l="1"/>
  <c r="O48" i="2"/>
  <c r="P48" i="2" s="1" a="1"/>
  <c r="P48" i="2" s="1"/>
  <c r="M48" i="2"/>
  <c r="N48" i="2" s="1" a="1"/>
  <c r="N48" i="2" s="1"/>
  <c r="Q48" i="2" l="1"/>
  <c r="M49" i="2"/>
  <c r="N49" i="2" s="1" a="1"/>
  <c r="N49" i="2" s="1"/>
  <c r="O49" i="2"/>
  <c r="P49" i="2" s="1" a="1"/>
  <c r="P49" i="2" s="1"/>
  <c r="G50" i="2"/>
  <c r="G51" i="2" l="1"/>
  <c r="O50" i="2"/>
  <c r="P50" i="2" s="1" a="1"/>
  <c r="P50" i="2" s="1"/>
  <c r="M50" i="2"/>
  <c r="N50" i="2" s="1" a="1"/>
  <c r="N50" i="2" s="1"/>
  <c r="Q50" i="2" s="1"/>
  <c r="Q49" i="2"/>
  <c r="G52" i="2" l="1"/>
  <c r="M51" i="2"/>
  <c r="N51" i="2" s="1" a="1"/>
  <c r="N51" i="2" s="1"/>
  <c r="O51" i="2"/>
  <c r="P51" i="2" s="1" a="1"/>
  <c r="P51" i="2" s="1"/>
  <c r="Q51" i="2" l="1"/>
  <c r="M52" i="2"/>
  <c r="N52" i="2" s="1" a="1"/>
  <c r="N52" i="2" s="1"/>
  <c r="O52" i="2"/>
  <c r="P52" i="2" s="1" a="1"/>
  <c r="P52" i="2" s="1"/>
  <c r="G53" i="2"/>
  <c r="Q52" i="2" l="1"/>
  <c r="M53" i="2"/>
  <c r="N53" i="2" s="1" a="1"/>
  <c r="N53" i="2" s="1"/>
  <c r="G54" i="2"/>
  <c r="O53" i="2"/>
  <c r="P53" i="2" s="1" a="1"/>
  <c r="P53" i="2" s="1"/>
  <c r="M54" i="2" l="1"/>
  <c r="N54" i="2" s="1" a="1"/>
  <c r="N54" i="2" s="1"/>
  <c r="G55" i="2"/>
  <c r="O54" i="2"/>
  <c r="P54" i="2" s="1" a="1"/>
  <c r="P54" i="2" s="1"/>
  <c r="Q53" i="2"/>
  <c r="O55" i="2" l="1"/>
  <c r="P55" i="2" s="1" a="1"/>
  <c r="P55" i="2" s="1"/>
  <c r="M55" i="2"/>
  <c r="N55" i="2" s="1" a="1"/>
  <c r="N55" i="2" s="1"/>
  <c r="G56" i="2"/>
  <c r="Q54" i="2"/>
  <c r="Q55" i="2" l="1"/>
  <c r="G57" i="2"/>
  <c r="O56" i="2"/>
  <c r="P56" i="2" s="1" a="1"/>
  <c r="P56" i="2" s="1"/>
  <c r="M56" i="2"/>
  <c r="N56" i="2" s="1" a="1"/>
  <c r="N56" i="2" s="1"/>
  <c r="Q56" i="2" s="1"/>
  <c r="M57" i="2" l="1"/>
  <c r="N57" i="2" s="1" a="1"/>
  <c r="N57" i="2" s="1"/>
  <c r="G58" i="2"/>
  <c r="O57" i="2"/>
  <c r="P57" i="2" s="1" a="1"/>
  <c r="P57" i="2" s="1"/>
  <c r="O58" i="2" l="1"/>
  <c r="P58" i="2" s="1" a="1"/>
  <c r="P58" i="2" s="1"/>
  <c r="M58" i="2"/>
  <c r="N58" i="2" s="1" a="1"/>
  <c r="N58" i="2" s="1"/>
  <c r="Q58" i="2" s="1"/>
  <c r="G59" i="2"/>
  <c r="Q57" i="2"/>
  <c r="G60" i="2" l="1"/>
  <c r="M59" i="2"/>
  <c r="N59" i="2" s="1" a="1"/>
  <c r="N59" i="2" s="1"/>
  <c r="Q59" i="2" s="1"/>
  <c r="O59" i="2"/>
  <c r="P59" i="2" s="1" a="1"/>
  <c r="P59" i="2" s="1"/>
  <c r="G61" i="2" l="1"/>
  <c r="M60" i="2"/>
  <c r="N60" i="2" s="1" a="1"/>
  <c r="N60" i="2" s="1"/>
  <c r="O60" i="2"/>
  <c r="P60" i="2" s="1" a="1"/>
  <c r="P60" i="2" s="1"/>
  <c r="Q60" i="2" l="1"/>
  <c r="M61" i="2"/>
  <c r="N61" i="2" s="1" a="1"/>
  <c r="N61" i="2" s="1"/>
  <c r="O61" i="2"/>
  <c r="P61" i="2" s="1" a="1"/>
  <c r="P61" i="2" s="1"/>
  <c r="G62" i="2"/>
  <c r="Q61" i="2" l="1"/>
  <c r="G63" i="2"/>
  <c r="O62" i="2"/>
  <c r="P62" i="2" s="1" a="1"/>
  <c r="P62" i="2" s="1"/>
  <c r="M62" i="2"/>
  <c r="N62" i="2" s="1" a="1"/>
  <c r="N62" i="2" s="1"/>
  <c r="Q62" i="2" s="1"/>
  <c r="M63" i="2" l="1"/>
  <c r="N63" i="2" s="1" a="1"/>
  <c r="N63" i="2" s="1"/>
  <c r="G64" i="2"/>
  <c r="O63" i="2"/>
  <c r="P63" i="2" s="1" a="1"/>
  <c r="P63" i="2" s="1"/>
  <c r="O64" i="2" l="1"/>
  <c r="P64" i="2" s="1" a="1"/>
  <c r="P64" i="2" s="1"/>
  <c r="G65" i="2"/>
  <c r="M64" i="2"/>
  <c r="N64" i="2" s="1" a="1"/>
  <c r="N64" i="2" s="1"/>
  <c r="Q63" i="2"/>
  <c r="Q64" i="2" l="1"/>
  <c r="M65" i="2"/>
  <c r="N65" i="2" s="1" a="1"/>
  <c r="N65" i="2" s="1"/>
  <c r="G66" i="2"/>
  <c r="O65" i="2"/>
  <c r="P65" i="2" s="1" a="1"/>
  <c r="P65" i="2" s="1"/>
  <c r="Q65" i="2" l="1"/>
  <c r="M66" i="2"/>
  <c r="N66" i="2" s="1" a="1"/>
  <c r="N66" i="2" s="1"/>
  <c r="G67" i="2"/>
  <c r="O66" i="2"/>
  <c r="P66" i="2" s="1" a="1"/>
  <c r="P66" i="2" s="1"/>
  <c r="Q66" i="2" l="1"/>
  <c r="O67" i="2"/>
  <c r="P67" i="2" s="1" a="1"/>
  <c r="P67" i="2" s="1"/>
  <c r="M67" i="2"/>
  <c r="N67" i="2" s="1" a="1"/>
  <c r="N67" i="2" s="1"/>
  <c r="G68" i="2"/>
  <c r="Q67" i="2" l="1"/>
  <c r="G69" i="2"/>
  <c r="M68" i="2"/>
  <c r="N68" i="2" s="1" a="1"/>
  <c r="N68" i="2" s="1"/>
  <c r="O68" i="2"/>
  <c r="P68" i="2" s="1" a="1"/>
  <c r="P68" i="2" s="1"/>
  <c r="Q68" i="2" l="1"/>
  <c r="M69" i="2"/>
  <c r="N69" i="2" s="1" a="1"/>
  <c r="N69" i="2" s="1"/>
  <c r="O69" i="2"/>
  <c r="P69" i="2" s="1" a="1"/>
  <c r="P69" i="2" s="1"/>
  <c r="G70" i="2"/>
  <c r="Q69" i="2" l="1"/>
  <c r="O70" i="2"/>
  <c r="P70" i="2" s="1" a="1"/>
  <c r="P70" i="2" s="1"/>
  <c r="G71" i="2"/>
  <c r="M70" i="2"/>
  <c r="N70" i="2" s="1" a="1"/>
  <c r="N70" i="2" s="1"/>
  <c r="Q70" i="2" s="1"/>
  <c r="G72" i="2" l="1"/>
  <c r="O71" i="2"/>
  <c r="P71" i="2" s="1" a="1"/>
  <c r="P71" i="2" s="1"/>
  <c r="M71" i="2"/>
  <c r="N71" i="2" s="1" a="1"/>
  <c r="N71" i="2" s="1"/>
  <c r="Q71" i="2" s="1"/>
  <c r="M72" i="2" l="1"/>
  <c r="N72" i="2" s="1" a="1"/>
  <c r="N72" i="2" s="1"/>
  <c r="O72" i="2"/>
  <c r="P72" i="2" s="1" a="1"/>
  <c r="P72" i="2" s="1"/>
  <c r="G73" i="2"/>
  <c r="M73" i="2" l="1"/>
  <c r="N73" i="2" s="1" a="1"/>
  <c r="N73" i="2" s="1"/>
  <c r="G74" i="2"/>
  <c r="O73" i="2"/>
  <c r="P73" i="2" s="1" a="1"/>
  <c r="P73" i="2" s="1"/>
  <c r="Q72" i="2"/>
  <c r="Q73" i="2" l="1"/>
  <c r="M74" i="2"/>
  <c r="N74" i="2" s="1" a="1"/>
  <c r="N74" i="2" s="1"/>
  <c r="G75" i="2"/>
  <c r="O74" i="2"/>
  <c r="P74" i="2" s="1" a="1"/>
  <c r="P74" i="2" s="1"/>
  <c r="Q74" i="2" l="1"/>
  <c r="O75" i="2"/>
  <c r="P75" i="2" s="1" a="1"/>
  <c r="P75" i="2" s="1"/>
  <c r="M75" i="2"/>
  <c r="N75" i="2" s="1" a="1"/>
  <c r="N75" i="2" s="1"/>
  <c r="G76" i="2"/>
  <c r="M76" i="2" l="1"/>
  <c r="N76" i="2" s="1" a="1"/>
  <c r="N76" i="2" s="1"/>
  <c r="G77" i="2"/>
  <c r="O76" i="2"/>
  <c r="P76" i="2" s="1" a="1"/>
  <c r="P76" i="2" s="1"/>
  <c r="Q75" i="2"/>
  <c r="Q76" i="2" l="1"/>
  <c r="M77" i="2"/>
  <c r="N77" i="2" s="1" a="1"/>
  <c r="N77" i="2" s="1"/>
  <c r="G78" i="2"/>
  <c r="O77" i="2"/>
  <c r="P77" i="2" s="1" a="1"/>
  <c r="P77" i="2" s="1"/>
  <c r="Q77" i="2" l="1"/>
  <c r="O78" i="2"/>
  <c r="P78" i="2" s="1" a="1"/>
  <c r="P78" i="2" s="1"/>
  <c r="M78" i="2"/>
  <c r="N78" i="2" s="1" a="1"/>
  <c r="N78" i="2" s="1"/>
  <c r="Q78" i="2" s="1"/>
  <c r="G79" i="2"/>
  <c r="G80" i="2" l="1"/>
  <c r="O79" i="2"/>
  <c r="P79" i="2" s="1" a="1"/>
  <c r="P79" i="2" s="1"/>
  <c r="M79" i="2"/>
  <c r="N79" i="2" s="1" a="1"/>
  <c r="N79" i="2" s="1"/>
  <c r="Q79" i="2" s="1"/>
  <c r="M80" i="2" l="1"/>
  <c r="N80" i="2" s="1" a="1"/>
  <c r="N80" i="2" s="1"/>
  <c r="O80" i="2"/>
  <c r="P80" i="2" s="1" a="1"/>
  <c r="P80" i="2" s="1"/>
  <c r="G81" i="2"/>
  <c r="M81" i="2" l="1"/>
  <c r="N81" i="2" s="1" a="1"/>
  <c r="N81" i="2" s="1"/>
  <c r="G82" i="2"/>
  <c r="O81" i="2"/>
  <c r="P81" i="2" s="1" a="1"/>
  <c r="P81" i="2" s="1"/>
  <c r="Q80" i="2"/>
  <c r="Q81" i="2" l="1"/>
  <c r="M82" i="2"/>
  <c r="N82" i="2" s="1" a="1"/>
  <c r="N82" i="2" s="1"/>
  <c r="G83" i="2"/>
  <c r="O82" i="2"/>
  <c r="P82" i="2" s="1" a="1"/>
  <c r="P82" i="2" s="1"/>
  <c r="O83" i="2" l="1"/>
  <c r="P83" i="2" s="1" a="1"/>
  <c r="P83" i="2" s="1"/>
  <c r="M83" i="2"/>
  <c r="N83" i="2" s="1" a="1"/>
  <c r="N83" i="2" s="1"/>
  <c r="Q83" i="2" s="1"/>
  <c r="G84" i="2"/>
  <c r="Q82" i="2"/>
  <c r="M84" i="2" l="1"/>
  <c r="N84" i="2" s="1" a="1"/>
  <c r="N84" i="2" s="1"/>
  <c r="G85" i="2"/>
  <c r="O84" i="2"/>
  <c r="P84" i="2" s="1" a="1"/>
  <c r="P84" i="2" s="1"/>
  <c r="Q84" i="2" l="1"/>
  <c r="M85" i="2"/>
  <c r="N85" i="2" s="1" a="1"/>
  <c r="N85" i="2" s="1"/>
  <c r="O85" i="2"/>
  <c r="P85" i="2" s="1" a="1"/>
  <c r="P85" i="2" s="1"/>
  <c r="G86" i="2"/>
  <c r="O86" i="2" l="1"/>
  <c r="P86" i="2" s="1" a="1"/>
  <c r="P86" i="2" s="1"/>
  <c r="G87" i="2"/>
  <c r="M86" i="2"/>
  <c r="N86" i="2" s="1" a="1"/>
  <c r="N86" i="2" s="1"/>
  <c r="Q86" i="2" s="1"/>
  <c r="Q85" i="2"/>
  <c r="G88" i="2" l="1"/>
  <c r="O87" i="2"/>
  <c r="P87" i="2" s="1" a="1"/>
  <c r="P87" i="2" s="1"/>
  <c r="M87" i="2"/>
  <c r="N87" i="2" s="1" a="1"/>
  <c r="N87" i="2" s="1"/>
  <c r="Q87" i="2" s="1"/>
  <c r="M88" i="2" l="1"/>
  <c r="N88" i="2" s="1" a="1"/>
  <c r="N88" i="2" s="1"/>
  <c r="O88" i="2"/>
  <c r="P88" i="2" s="1" a="1"/>
  <c r="P88" i="2" s="1"/>
  <c r="G89" i="2"/>
  <c r="M89" i="2" l="1"/>
  <c r="N89" i="2" s="1" a="1"/>
  <c r="N89" i="2" s="1"/>
  <c r="G90" i="2"/>
  <c r="O89" i="2"/>
  <c r="P89" i="2" s="1" a="1"/>
  <c r="P89" i="2" s="1"/>
  <c r="Q88" i="2"/>
  <c r="M90" i="2" l="1"/>
  <c r="N90" i="2" s="1" a="1"/>
  <c r="N90" i="2" s="1"/>
  <c r="G91" i="2"/>
  <c r="O90" i="2"/>
  <c r="P90" i="2" s="1" a="1"/>
  <c r="P90" i="2" s="1"/>
  <c r="Q89" i="2"/>
  <c r="Q90" i="2" l="1"/>
  <c r="O91" i="2"/>
  <c r="P91" i="2" s="1" a="1"/>
  <c r="P91" i="2" s="1"/>
  <c r="M91" i="2"/>
  <c r="N91" i="2" s="1" a="1"/>
  <c r="N91" i="2" s="1"/>
  <c r="Q91" i="2" s="1"/>
  <c r="G92" i="2"/>
  <c r="M92" i="2" l="1"/>
  <c r="N92" i="2" s="1" a="1"/>
  <c r="N92" i="2" s="1"/>
  <c r="G93" i="2"/>
  <c r="O92" i="2"/>
  <c r="P92" i="2" s="1" a="1"/>
  <c r="P92" i="2" s="1"/>
  <c r="Q92" i="2" l="1"/>
  <c r="M93" i="2"/>
  <c r="N93" i="2" s="1" a="1"/>
  <c r="N93" i="2" s="1"/>
  <c r="G94" i="2"/>
  <c r="O93" i="2"/>
  <c r="P93" i="2" s="1" a="1"/>
  <c r="P93" i="2" s="1"/>
  <c r="Q93" i="2" l="1"/>
  <c r="O94" i="2"/>
  <c r="P94" i="2" s="1" a="1"/>
  <c r="P94" i="2" s="1"/>
  <c r="M94" i="2"/>
  <c r="N94" i="2" s="1" a="1"/>
  <c r="N94" i="2" s="1"/>
  <c r="G95" i="2"/>
  <c r="Q94" i="2" l="1"/>
  <c r="G96" i="2"/>
  <c r="M95" i="2"/>
  <c r="N95" i="2" s="1" a="1"/>
  <c r="N95" i="2" s="1"/>
  <c r="O95" i="2"/>
  <c r="P95" i="2" s="1" a="1"/>
  <c r="P95" i="2" s="1"/>
  <c r="Q95" i="2" l="1"/>
  <c r="M96" i="2"/>
  <c r="N96" i="2" s="1" a="1"/>
  <c r="N96" i="2" s="1"/>
  <c r="O96" i="2"/>
  <c r="P96" i="2" s="1" a="1"/>
  <c r="P96" i="2" s="1"/>
  <c r="G97" i="2"/>
  <c r="M97" i="2" l="1"/>
  <c r="N97" i="2" s="1" a="1"/>
  <c r="N97" i="2" s="1"/>
  <c r="G98" i="2"/>
  <c r="O97" i="2"/>
  <c r="P97" i="2" s="1" a="1"/>
  <c r="P97" i="2" s="1"/>
  <c r="Q96" i="2"/>
  <c r="M98" i="2" l="1"/>
  <c r="N98" i="2" s="1" a="1"/>
  <c r="N98" i="2" s="1"/>
  <c r="G99" i="2"/>
  <c r="O98" i="2"/>
  <c r="P98" i="2" s="1" a="1"/>
  <c r="P98" i="2" s="1"/>
  <c r="Q97" i="2"/>
  <c r="O99" i="2" l="1"/>
  <c r="P99" i="2" s="1" a="1"/>
  <c r="P99" i="2" s="1"/>
  <c r="M99" i="2"/>
  <c r="N99" i="2" s="1" a="1"/>
  <c r="N99" i="2" s="1"/>
  <c r="Q99" i="2" s="1"/>
  <c r="G100" i="2"/>
  <c r="Q98" i="2"/>
  <c r="M100" i="2" l="1"/>
  <c r="N100" i="2" s="1" a="1"/>
  <c r="N100" i="2" s="1"/>
  <c r="G101" i="2"/>
  <c r="O100" i="2"/>
  <c r="P100" i="2" s="1" a="1"/>
  <c r="P100" i="2" s="1"/>
  <c r="Q100" i="2" l="1"/>
  <c r="M101" i="2"/>
  <c r="N101" i="2" s="1" a="1"/>
  <c r="N101" i="2" s="1"/>
  <c r="O101" i="2"/>
  <c r="P101" i="2" s="1" a="1"/>
  <c r="P101" i="2" s="1"/>
  <c r="G102" i="2"/>
  <c r="O102" i="2" l="1"/>
  <c r="P102" i="2" s="1" a="1"/>
  <c r="P102" i="2" s="1"/>
  <c r="M102" i="2"/>
  <c r="N102" i="2" s="1" a="1"/>
  <c r="N102" i="2" s="1"/>
  <c r="Q102" i="2" s="1"/>
  <c r="G103" i="2"/>
  <c r="Q101" i="2"/>
  <c r="G104" i="2" l="1"/>
  <c r="O103" i="2"/>
  <c r="P103" i="2" s="1" a="1"/>
  <c r="P103" i="2" s="1"/>
  <c r="M103" i="2"/>
  <c r="N103" i="2" s="1" a="1"/>
  <c r="N103" i="2" s="1"/>
  <c r="Q103" i="2" s="1"/>
  <c r="M104" i="2" l="1"/>
  <c r="N104" i="2" s="1" a="1"/>
  <c r="N104" i="2" s="1"/>
  <c r="Q104" i="2" s="1"/>
  <c r="O104" i="2"/>
  <c r="P104" i="2" s="1" a="1"/>
  <c r="P104" i="2" s="1"/>
  <c r="G105" i="2"/>
  <c r="M105" i="2" l="1"/>
  <c r="N105" i="2" s="1" a="1"/>
  <c r="N105" i="2" s="1"/>
  <c r="G106" i="2"/>
  <c r="O105" i="2"/>
  <c r="P105" i="2" s="1" a="1"/>
  <c r="P105" i="2" s="1"/>
  <c r="M106" i="2" l="1"/>
  <c r="N106" i="2" s="1" a="1"/>
  <c r="N106" i="2" s="1"/>
  <c r="G107" i="2"/>
  <c r="O106" i="2"/>
  <c r="P106" i="2" s="1" a="1"/>
  <c r="P106" i="2" s="1"/>
  <c r="Q105" i="2"/>
  <c r="O107" i="2" l="1"/>
  <c r="P107" i="2" s="1" a="1"/>
  <c r="P107" i="2" s="1"/>
  <c r="M107" i="2"/>
  <c r="N107" i="2" s="1" a="1"/>
  <c r="N107" i="2" s="1"/>
  <c r="Q107" i="2" s="1"/>
  <c r="G108" i="2"/>
  <c r="Q106" i="2"/>
  <c r="M108" i="2" l="1"/>
  <c r="N108" i="2" s="1" a="1"/>
  <c r="N108" i="2" s="1"/>
  <c r="G109" i="2"/>
  <c r="O108" i="2"/>
  <c r="P108" i="2" s="1" a="1"/>
  <c r="P108" i="2" s="1"/>
  <c r="M109" i="2" l="1"/>
  <c r="N109" i="2" s="1" a="1"/>
  <c r="N109" i="2" s="1"/>
  <c r="G110" i="2"/>
  <c r="O109" i="2"/>
  <c r="P109" i="2" s="1" a="1"/>
  <c r="P109" i="2" s="1"/>
  <c r="Q108" i="2"/>
  <c r="O110" i="2" l="1"/>
  <c r="P110" i="2" s="1" a="1"/>
  <c r="P110" i="2" s="1"/>
  <c r="M110" i="2"/>
  <c r="N110" i="2" s="1" a="1"/>
  <c r="N110" i="2" s="1"/>
  <c r="Q110" i="2" s="1"/>
  <c r="D14" i="2" s="1" a="1"/>
  <c r="D14" i="2" s="1"/>
  <c r="Q10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<sst xmlns="http://schemas.openxmlformats.org/spreadsheetml/2006/main" count="88" uniqueCount="32">
  <si>
    <t>Update as required</t>
  </si>
  <si>
    <t>Date</t>
  </si>
  <si>
    <t>Petrol (litres)</t>
  </si>
  <si>
    <t>Diesel (litres)</t>
  </si>
  <si>
    <t>Kerosene (litres)</t>
  </si>
  <si>
    <t>Next resupply 1</t>
  </si>
  <si>
    <t>Next resupply 2</t>
  </si>
  <si>
    <t>Next resupply 3</t>
  </si>
  <si>
    <t>Next resupply 4</t>
  </si>
  <si>
    <t>Next resupply 5</t>
  </si>
  <si>
    <t>Tongatapu</t>
  </si>
  <si>
    <t>Terminal Info</t>
  </si>
  <si>
    <t>Petrol</t>
  </si>
  <si>
    <t>Diesel</t>
  </si>
  <si>
    <t>Safe fill capacity</t>
  </si>
  <si>
    <t>(litres)</t>
  </si>
  <si>
    <t>Unpumpable tank capacity</t>
  </si>
  <si>
    <t>Pumpable tank capacity</t>
  </si>
  <si>
    <t>ACTUAL</t>
  </si>
  <si>
    <t>FORECAST</t>
  </si>
  <si>
    <t>Closing Stock</t>
  </si>
  <si>
    <t>Offtake</t>
  </si>
  <si>
    <t>Forecast delivery</t>
  </si>
  <si>
    <t>Jet A1- Kerosene (litres)</t>
  </si>
  <si>
    <t>Jet A1 - Kerosene (litres)</t>
  </si>
  <si>
    <t>Fuel Storage for Company 2</t>
  </si>
  <si>
    <t>Jet A1 - Kerosene</t>
  </si>
  <si>
    <t>VAVA'U</t>
  </si>
  <si>
    <t>Min</t>
  </si>
  <si>
    <t>Max</t>
  </si>
  <si>
    <t>Vava'u</t>
  </si>
  <si>
    <t xml:space="preserve">Daily stock report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</si>
</sst>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 ;\-#,##0\ "/>
    <numFmt numFmtId="165" formatCode="ddd\ dd\ mmm"/>
    <numFmt numFmtId="166" formatCode="ddd\ dd\ mmm\ \'yy"/>
  </numFmts>
  <fonts count="11" x14ac:knownFonts="1">
    <font>
      <sz val="10"/>
      <color theme="1"/>
      <name val="Calibri"/>
      <family val="2"/>
    </font>
    <font>
      <sz val="16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indexed="9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theme="0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left" vertical="center"/>
    </xf>
    <xf numFmtId="165" fontId="2" fillId="0" borderId="1" xfId="0" applyNumberFormat="1" applyFont="1" applyBorder="1" applyAlignment="1">
      <alignment horizontal="center" vertical="center"/>
    </xf>
    <xf numFmtId="164" fontId="0" fillId="2" borderId="2" xfId="0" applyNumberFormat="1" applyFill="1" applyBorder="1" applyAlignment="1" applyProtection="1">
      <alignment horizontal="right" vertical="center"/>
      <protection locked="0"/>
    </xf>
    <xf numFmtId="164" fontId="0" fillId="0" borderId="0" xfId="0" applyNumberFormat="1" applyAlignment="1">
      <alignment horizontal="right" vertical="center"/>
    </xf>
    <xf numFmtId="164" fontId="0" fillId="0" borderId="2" xfId="0" applyNumberFormat="1" applyBorder="1" applyAlignment="1">
      <alignment horizontal="right" vertical="center"/>
    </xf>
    <xf numFmtId="164" fontId="0" fillId="0" borderId="0" xfId="0" applyNumberFormat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4" fontId="5" fillId="3" borderId="3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164" fontId="0" fillId="2" borderId="1" xfId="0" applyNumberFormat="1" applyFill="1" applyBorder="1" applyAlignment="1" applyProtection="1">
      <alignment horizontal="right" vertical="center"/>
      <protection locked="0"/>
    </xf>
    <xf numFmtId="166" fontId="0" fillId="2" borderId="2" xfId="0" applyNumberFormat="1" applyFill="1" applyBorder="1" applyAlignment="1" applyProtection="1">
      <alignment horizontal="center" vertical="center"/>
      <protection locked="0"/>
    </xf>
    <xf numFmtId="3" fontId="0" fillId="2" borderId="2" xfId="0" applyNumberForma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166" fontId="0" fillId="2" borderId="1" xfId="0" applyNumberFormat="1" applyFill="1" applyBorder="1" applyAlignment="1" applyProtection="1">
      <alignment horizontal="center" vertical="center"/>
      <protection locked="0"/>
    </xf>
    <xf numFmtId="164" fontId="0" fillId="4" borderId="6" xfId="0" applyNumberFormat="1" applyFill="1" applyBorder="1" applyAlignment="1">
      <alignment horizontal="right" vertical="center"/>
    </xf>
    <xf numFmtId="164" fontId="0" fillId="4" borderId="7" xfId="0" applyNumberFormat="1" applyFill="1" applyBorder="1" applyAlignment="1">
      <alignment horizontal="center" vertical="center"/>
    </xf>
    <xf numFmtId="164" fontId="0" fillId="4" borderId="7" xfId="0" applyNumberFormat="1" applyFill="1" applyBorder="1" applyAlignment="1">
      <alignment horizontal="right" vertical="center"/>
    </xf>
    <xf numFmtId="164" fontId="6" fillId="4" borderId="8" xfId="0" applyNumberFormat="1" applyFont="1" applyFill="1" applyBorder="1" applyAlignment="1">
      <alignment horizontal="left" vertical="center"/>
    </xf>
    <xf numFmtId="164" fontId="0" fillId="4" borderId="9" xfId="0" applyNumberFormat="1" applyFill="1" applyBorder="1" applyAlignment="1">
      <alignment horizontal="right" vertical="center"/>
    </xf>
    <xf numFmtId="164" fontId="0" fillId="4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right" vertical="center"/>
    </xf>
    <xf numFmtId="164" fontId="6" fillId="4" borderId="0" xfId="0" applyNumberFormat="1" applyFont="1" applyFill="1" applyAlignment="1">
      <alignment horizontal="right" vertical="center"/>
    </xf>
    <xf numFmtId="164" fontId="0" fillId="4" borderId="10" xfId="0" applyNumberFormat="1" applyFill="1" applyBorder="1" applyAlignment="1">
      <alignment horizontal="left" vertical="center"/>
    </xf>
    <xf numFmtId="164" fontId="0" fillId="4" borderId="9" xfId="0" applyNumberFormat="1" applyFill="1" applyBorder="1" applyAlignment="1">
      <alignment horizontal="left" vertical="center"/>
    </xf>
    <xf numFmtId="164" fontId="6" fillId="4" borderId="10" xfId="0" applyNumberFormat="1" applyFont="1" applyFill="1" applyBorder="1" applyAlignment="1">
      <alignment horizontal="left" vertical="center"/>
    </xf>
    <xf numFmtId="164" fontId="0" fillId="4" borderId="11" xfId="0" applyNumberFormat="1" applyFill="1" applyBorder="1" applyAlignment="1">
      <alignment horizontal="left" vertical="center"/>
    </xf>
    <xf numFmtId="164" fontId="6" fillId="4" borderId="12" xfId="0" applyNumberFormat="1" applyFont="1" applyFill="1" applyBorder="1" applyAlignment="1">
      <alignment horizontal="right" vertical="center"/>
    </xf>
    <xf numFmtId="164" fontId="0" fillId="4" borderId="12" xfId="0" applyNumberFormat="1" applyFill="1" applyBorder="1" applyAlignment="1">
      <alignment horizontal="right" vertical="center"/>
    </xf>
    <xf numFmtId="164" fontId="6" fillId="4" borderId="13" xfId="0" applyNumberFormat="1" applyFont="1" applyFill="1" applyBorder="1" applyAlignment="1">
      <alignment horizontal="left" vertical="center"/>
    </xf>
    <xf numFmtId="164" fontId="6" fillId="0" borderId="0" xfId="0" applyNumberFormat="1" applyFont="1" applyAlignment="1">
      <alignment horizontal="right" vertical="center"/>
    </xf>
    <xf numFmtId="164" fontId="0" fillId="0" borderId="0" xfId="0" applyNumberFormat="1" applyAlignment="1">
      <alignment horizontal="center" vertical="center"/>
    </xf>
    <xf numFmtId="164" fontId="5" fillId="3" borderId="17" xfId="0" applyNumberFormat="1" applyFont="1" applyFill="1" applyBorder="1" applyAlignment="1">
      <alignment horizontal="center" vertical="center"/>
    </xf>
    <xf numFmtId="164" fontId="5" fillId="3" borderId="18" xfId="0" applyNumberFormat="1" applyFont="1" applyFill="1" applyBorder="1" applyAlignment="1">
      <alignment horizontal="center" vertical="center"/>
    </xf>
    <xf numFmtId="164" fontId="5" fillId="3" borderId="19" xfId="0" applyNumberFormat="1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 applyProtection="1">
      <alignment horizontal="right" vertical="center"/>
      <protection locked="0"/>
    </xf>
    <xf numFmtId="164" fontId="6" fillId="2" borderId="1" xfId="0" applyNumberFormat="1" applyFont="1" applyFill="1" applyBorder="1" applyAlignment="1" applyProtection="1">
      <alignment horizontal="right" vertical="center"/>
      <protection locked="0"/>
    </xf>
    <xf numFmtId="164" fontId="7" fillId="2" borderId="1" xfId="0" applyNumberFormat="1" applyFont="1" applyFill="1" applyBorder="1" applyAlignment="1" applyProtection="1">
      <alignment horizontal="right" vertical="center"/>
      <protection locked="0"/>
    </xf>
    <xf numFmtId="164" fontId="0" fillId="0" borderId="1" xfId="0" applyNumberFormat="1" applyBorder="1" applyAlignment="1">
      <alignment horizontal="right" vertical="center"/>
    </xf>
    <xf numFmtId="164" fontId="8" fillId="0" borderId="0" xfId="0" applyNumberFormat="1" applyFont="1" applyAlignment="1">
      <alignment horizontal="left" vertical="center"/>
    </xf>
    <xf numFmtId="164" fontId="5" fillId="3" borderId="17" xfId="0" applyNumberFormat="1" applyFont="1" applyFill="1" applyBorder="1" applyAlignment="1">
      <alignment horizontal="center" vertical="center" wrapText="1"/>
    </xf>
    <xf numFmtId="164" fontId="5" fillId="3" borderId="18" xfId="0" applyNumberFormat="1" applyFont="1" applyFill="1" applyBorder="1" applyAlignment="1">
      <alignment horizontal="center" vertical="center" wrapText="1"/>
    </xf>
    <xf numFmtId="164" fontId="5" fillId="3" borderId="19" xfId="0" applyNumberFormat="1" applyFont="1" applyFill="1" applyBorder="1" applyAlignment="1">
      <alignment horizontal="center" vertical="center" wrapText="1"/>
    </xf>
    <xf numFmtId="164" fontId="9" fillId="0" borderId="12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164" fontId="5" fillId="3" borderId="14" xfId="0" applyNumberFormat="1" applyFont="1" applyFill="1" applyBorder="1" applyAlignment="1">
      <alignment horizontal="center" vertical="center"/>
    </xf>
    <xf numFmtId="164" fontId="5" fillId="3" borderId="15" xfId="0" applyNumberFormat="1" applyFont="1" applyFill="1" applyBorder="1" applyAlignment="1">
      <alignment horizontal="center" vertical="center"/>
    </xf>
    <xf numFmtId="164" fontId="5" fillId="3" borderId="16" xfId="0" applyNumberFormat="1" applyFont="1" applyFill="1" applyBorder="1" applyAlignment="1">
      <alignment horizontal="center" vertical="center"/>
    </xf>
    <xf numFmtId="164" fontId="9" fillId="0" borderId="0" xfId="0" applyNumberFormat="1" applyFont="1" applyAlignment="1">
      <alignment horizontal="left" vertical="center"/>
    </xf>
    <xf numFmtId="164" fontId="9" fillId="5" borderId="20" xfId="0" applyNumberFormat="1" applyFont="1" applyFill="1" applyBorder="1" applyAlignment="1">
      <alignment horizontal="center" vertical="center"/>
    </xf>
    <xf numFmtId="164" fontId="9" fillId="5" borderId="21" xfId="0" applyNumberFormat="1" applyFont="1" applyFill="1" applyBorder="1" applyAlignment="1">
      <alignment horizontal="center" vertical="center"/>
    </xf>
    <xf numFmtId="164" fontId="5" fillId="3" borderId="22" xfId="0" applyNumberFormat="1" applyFont="1" applyFill="1" applyBorder="1" applyAlignment="1">
      <alignment horizontal="center" vertical="center"/>
    </xf>
    <xf numFmtId="164" fontId="5" fillId="3" borderId="23" xfId="0" applyNumberFormat="1" applyFont="1" applyFill="1" applyBorder="1" applyAlignment="1">
      <alignment horizontal="center" vertical="center"/>
    </xf>
    <xf numFmtId="164" fontId="5" fillId="3" borderId="24" xfId="0" applyNumberFormat="1" applyFont="1" applyFill="1" applyBorder="1" applyAlignment="1">
      <alignment horizontal="center" vertical="center"/>
    </xf>
    <xf numFmtId="164" fontId="5" fillId="3" borderId="25" xfId="0" applyNumberFormat="1" applyFont="1" applyFill="1" applyBorder="1" applyAlignment="1">
      <alignment horizontal="center" vertical="center"/>
    </xf>
    <xf numFmtId="164" fontId="5" fillId="3" borderId="26" xfId="0" applyNumberFormat="1" applyFont="1" applyFill="1" applyBorder="1" applyAlignment="1">
      <alignment horizontal="center" vertical="center" wrapText="1"/>
    </xf>
    <xf numFmtId="164" fontId="5" fillId="3" borderId="27" xfId="0" applyNumberFormat="1" applyFont="1" applyFill="1" applyBorder="1" applyAlignment="1">
      <alignment horizontal="center" vertical="center"/>
    </xf>
    <xf numFmtId="164" fontId="5" fillId="3" borderId="27" xfId="0" applyNumberFormat="1" applyFont="1" applyFill="1" applyBorder="1" applyAlignment="1">
      <alignment horizontal="center" vertical="center" wrapText="1"/>
    </xf>
    <xf numFmtId="164" fontId="5" fillId="3" borderId="28" xfId="0" applyNumberFormat="1" applyFont="1" applyFill="1" applyBorder="1" applyAlignment="1">
      <alignment horizontal="center" vertical="center"/>
    </xf>
    <xf numFmtId="164" fontId="5" fillId="3" borderId="26" xfId="0" applyNumberFormat="1" applyFont="1" applyFill="1" applyBorder="1" applyAlignment="1">
      <alignment horizontal="center" vertical="center"/>
    </xf>
    <xf numFmtId="164" fontId="9" fillId="6" borderId="20" xfId="0" applyNumberFormat="1" applyFont="1" applyFill="1" applyBorder="1" applyAlignment="1">
      <alignment horizontal="center" vertical="center"/>
    </xf>
    <xf numFmtId="164" fontId="9" fillId="6" borderId="2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NZ"/>
              <a:t>Petrol Stocks</a:t>
            </a:r>
          </a:p>
        </c:rich>
      </c:tx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21806649168853"/>
          <c:y val="0.17777777777777778"/>
          <c:w val="0.77826224846894143"/>
          <c:h val="0.69181977252843385"/>
        </c:manualLayout>
      </c:layout>
      <c:lineChart>
        <c:grouping val="standard"/>
        <c:varyColors val="0"/>
        <c:ser>
          <c:idx val="1"/>
          <c:order val="0"/>
          <c:tx>
            <c:v>Petrol Stock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'[1]TONGATAPU Daily Stock Report'!$H$4:$H$109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'[1]TONGATAPU Daily Stock Report'!$Q$4:$Q$109</c:f>
              <c:numCache>
                <c:formatCode>#,##0_ ;\-#,##0\ </c:formatCode>
                <c:ptCount val="106"/>
                <c:pt idx="0">
                  <c:v>760533</c:v>
                </c:pt>
                <c:pt idx="1">
                  <c:v>690540</c:v>
                </c:pt>
                <c:pt idx="2">
                  <c:v>615514</c:v>
                </c:pt>
                <c:pt idx="3">
                  <c:v>500273</c:v>
                </c:pt>
                <c:pt idx="4">
                  <c:v>500273</c:v>
                </c:pt>
                <c:pt idx="5">
                  <c:v>500273</c:v>
                </c:pt>
                <c:pt idx="6">
                  <c:v>400940</c:v>
                </c:pt>
                <c:pt idx="7">
                  <c:v>341003</c:v>
                </c:pt>
                <c:pt idx="8">
                  <c:v>289512</c:v>
                </c:pt>
                <c:pt idx="9">
                  <c:v>226543</c:v>
                </c:pt>
                <c:pt idx="10">
                  <c:v>965601</c:v>
                </c:pt>
                <c:pt idx="11">
                  <c:v>965601</c:v>
                </c:pt>
                <c:pt idx="12">
                  <c:v>965601</c:v>
                </c:pt>
                <c:pt idx="13">
                  <c:v>794190</c:v>
                </c:pt>
                <c:pt idx="14">
                  <c:v>634730</c:v>
                </c:pt>
                <c:pt idx="15">
                  <c:v>628492</c:v>
                </c:pt>
                <c:pt idx="16">
                  <c:v>500125</c:v>
                </c:pt>
                <c:pt idx="17">
                  <c:v>500125</c:v>
                </c:pt>
                <c:pt idx="18">
                  <c:v>500125</c:v>
                </c:pt>
                <c:pt idx="19">
                  <c:v>500125</c:v>
                </c:pt>
                <c:pt idx="20">
                  <c:v>500125</c:v>
                </c:pt>
                <c:pt idx="21">
                  <c:v>458525</c:v>
                </c:pt>
                <c:pt idx="22">
                  <c:v>416925</c:v>
                </c:pt>
                <c:pt idx="23">
                  <c:v>375325</c:v>
                </c:pt>
                <c:pt idx="24">
                  <c:v>333725</c:v>
                </c:pt>
                <c:pt idx="25">
                  <c:v>292125</c:v>
                </c:pt>
                <c:pt idx="26">
                  <c:v>250525</c:v>
                </c:pt>
                <c:pt idx="27">
                  <c:v>208925</c:v>
                </c:pt>
                <c:pt idx="28">
                  <c:v>167325</c:v>
                </c:pt>
                <c:pt idx="29">
                  <c:v>125725</c:v>
                </c:pt>
                <c:pt idx="30">
                  <c:v>84125</c:v>
                </c:pt>
                <c:pt idx="31">
                  <c:v>42525</c:v>
                </c:pt>
                <c:pt idx="32">
                  <c:v>925</c:v>
                </c:pt>
                <c:pt idx="33">
                  <c:v>-40675</c:v>
                </c:pt>
                <c:pt idx="34">
                  <c:v>-82275</c:v>
                </c:pt>
                <c:pt idx="35">
                  <c:v>-123875</c:v>
                </c:pt>
                <c:pt idx="36">
                  <c:v>-165475</c:v>
                </c:pt>
                <c:pt idx="37">
                  <c:v>-207075</c:v>
                </c:pt>
                <c:pt idx="38">
                  <c:v>-248675</c:v>
                </c:pt>
                <c:pt idx="39">
                  <c:v>-290275</c:v>
                </c:pt>
                <c:pt idx="40">
                  <c:v>-331875</c:v>
                </c:pt>
                <c:pt idx="41">
                  <c:v>-373475</c:v>
                </c:pt>
                <c:pt idx="42">
                  <c:v>-415075</c:v>
                </c:pt>
                <c:pt idx="43">
                  <c:v>-456675</c:v>
                </c:pt>
                <c:pt idx="44">
                  <c:v>-498275</c:v>
                </c:pt>
                <c:pt idx="45">
                  <c:v>-539875</c:v>
                </c:pt>
                <c:pt idx="46">
                  <c:v>-581475</c:v>
                </c:pt>
                <c:pt idx="47">
                  <c:v>-623075</c:v>
                </c:pt>
                <c:pt idx="48">
                  <c:v>-664675</c:v>
                </c:pt>
                <c:pt idx="49">
                  <c:v>-706275</c:v>
                </c:pt>
                <c:pt idx="50">
                  <c:v>-747875</c:v>
                </c:pt>
                <c:pt idx="51">
                  <c:v>-789475</c:v>
                </c:pt>
                <c:pt idx="52">
                  <c:v>-831075</c:v>
                </c:pt>
                <c:pt idx="53">
                  <c:v>-872675</c:v>
                </c:pt>
                <c:pt idx="54">
                  <c:v>-914275</c:v>
                </c:pt>
                <c:pt idx="55">
                  <c:v>-955875</c:v>
                </c:pt>
                <c:pt idx="56">
                  <c:v>-997475</c:v>
                </c:pt>
                <c:pt idx="57">
                  <c:v>-1039075</c:v>
                </c:pt>
                <c:pt idx="58">
                  <c:v>-1080675</c:v>
                </c:pt>
                <c:pt idx="59">
                  <c:v>-1122275</c:v>
                </c:pt>
                <c:pt idx="60">
                  <c:v>-1163875</c:v>
                </c:pt>
                <c:pt idx="61">
                  <c:v>-1205475</c:v>
                </c:pt>
                <c:pt idx="62">
                  <c:v>-1247075</c:v>
                </c:pt>
                <c:pt idx="63">
                  <c:v>-1288675</c:v>
                </c:pt>
                <c:pt idx="64">
                  <c:v>-1330275</c:v>
                </c:pt>
                <c:pt idx="65">
                  <c:v>-1371875</c:v>
                </c:pt>
                <c:pt idx="66">
                  <c:v>-1413475</c:v>
                </c:pt>
                <c:pt idx="67">
                  <c:v>-1455075</c:v>
                </c:pt>
                <c:pt idx="68">
                  <c:v>-1496675</c:v>
                </c:pt>
                <c:pt idx="69">
                  <c:v>-1538275</c:v>
                </c:pt>
                <c:pt idx="70">
                  <c:v>-1579875</c:v>
                </c:pt>
                <c:pt idx="71">
                  <c:v>-1621475</c:v>
                </c:pt>
                <c:pt idx="72">
                  <c:v>-1663075</c:v>
                </c:pt>
                <c:pt idx="73">
                  <c:v>-1704675</c:v>
                </c:pt>
                <c:pt idx="74">
                  <c:v>-1746275</c:v>
                </c:pt>
                <c:pt idx="75">
                  <c:v>-1787875</c:v>
                </c:pt>
                <c:pt idx="76">
                  <c:v>-1829475</c:v>
                </c:pt>
                <c:pt idx="77">
                  <c:v>-1871075</c:v>
                </c:pt>
                <c:pt idx="78">
                  <c:v>-1912675</c:v>
                </c:pt>
                <c:pt idx="79">
                  <c:v>-1954275</c:v>
                </c:pt>
                <c:pt idx="80">
                  <c:v>-1995875</c:v>
                </c:pt>
                <c:pt idx="81">
                  <c:v>-2037475</c:v>
                </c:pt>
                <c:pt idx="82">
                  <c:v>-2079075</c:v>
                </c:pt>
                <c:pt idx="83">
                  <c:v>-2120675</c:v>
                </c:pt>
                <c:pt idx="84">
                  <c:v>-2162275</c:v>
                </c:pt>
                <c:pt idx="85">
                  <c:v>-2203875</c:v>
                </c:pt>
                <c:pt idx="86">
                  <c:v>-2245475</c:v>
                </c:pt>
                <c:pt idx="87">
                  <c:v>-2287075</c:v>
                </c:pt>
                <c:pt idx="88">
                  <c:v>-2328675</c:v>
                </c:pt>
                <c:pt idx="89">
                  <c:v>-2370275</c:v>
                </c:pt>
                <c:pt idx="90">
                  <c:v>-2411875</c:v>
                </c:pt>
                <c:pt idx="91">
                  <c:v>-2453475</c:v>
                </c:pt>
                <c:pt idx="92">
                  <c:v>-2495075</c:v>
                </c:pt>
                <c:pt idx="93">
                  <c:v>-2536675</c:v>
                </c:pt>
                <c:pt idx="94">
                  <c:v>-2578275</c:v>
                </c:pt>
                <c:pt idx="95">
                  <c:v>-2619875</c:v>
                </c:pt>
                <c:pt idx="96">
                  <c:v>-2661475</c:v>
                </c:pt>
                <c:pt idx="97">
                  <c:v>-2703075</c:v>
                </c:pt>
                <c:pt idx="98">
                  <c:v>-2744675</c:v>
                </c:pt>
                <c:pt idx="99">
                  <c:v>-2786275</c:v>
                </c:pt>
                <c:pt idx="100">
                  <c:v>-2827875</c:v>
                </c:pt>
                <c:pt idx="101">
                  <c:v>-2869475</c:v>
                </c:pt>
                <c:pt idx="102">
                  <c:v>-2911075</c:v>
                </c:pt>
                <c:pt idx="103">
                  <c:v>-2952675</c:v>
                </c:pt>
                <c:pt idx="104">
                  <c:v>-2994275</c:v>
                </c:pt>
                <c:pt idx="105">
                  <c:v>-3035875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4-4E68-A2A5-EE7D266869B3}"/>
            </c:ext>
          </c:extLst>
        </c:ser>
        <c:ser>
          <c:idx val="0"/>
          <c:order val="1"/>
          <c:tx>
            <c:v>Min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'[1]TONGATAPU Daily Stock Report'!$H$4:$H$109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'[1]TONGATAPU Daily Stock Report'!$AE$4:$AE$109</c:f>
              <c:numCache>
                <c:formatCode>#,##0_ ;\-#,##0\ </c:formatCode>
                <c:ptCount val="106"/>
                <c:pt idx="0">
                  <c:v>47000</c:v>
                </c:pt>
                <c:pt idx="1">
                  <c:v>47000</c:v>
                </c:pt>
                <c:pt idx="2">
                  <c:v>47000</c:v>
                </c:pt>
                <c:pt idx="3">
                  <c:v>47000</c:v>
                </c:pt>
                <c:pt idx="4">
                  <c:v>47000</c:v>
                </c:pt>
                <c:pt idx="5">
                  <c:v>47000</c:v>
                </c:pt>
                <c:pt idx="6">
                  <c:v>47000</c:v>
                </c:pt>
                <c:pt idx="7">
                  <c:v>47000</c:v>
                </c:pt>
                <c:pt idx="8">
                  <c:v>47000</c:v>
                </c:pt>
                <c:pt idx="9">
                  <c:v>47000</c:v>
                </c:pt>
                <c:pt idx="10">
                  <c:v>47000</c:v>
                </c:pt>
                <c:pt idx="11">
                  <c:v>47000</c:v>
                </c:pt>
                <c:pt idx="12">
                  <c:v>47000</c:v>
                </c:pt>
                <c:pt idx="13">
                  <c:v>47000</c:v>
                </c:pt>
                <c:pt idx="14">
                  <c:v>47000</c:v>
                </c:pt>
                <c:pt idx="15">
                  <c:v>47000</c:v>
                </c:pt>
                <c:pt idx="16">
                  <c:v>47000</c:v>
                </c:pt>
                <c:pt idx="17">
                  <c:v>47000</c:v>
                </c:pt>
                <c:pt idx="18">
                  <c:v>47000</c:v>
                </c:pt>
                <c:pt idx="19">
                  <c:v>47000</c:v>
                </c:pt>
                <c:pt idx="20">
                  <c:v>47000</c:v>
                </c:pt>
                <c:pt idx="21">
                  <c:v>47000</c:v>
                </c:pt>
                <c:pt idx="22">
                  <c:v>47000</c:v>
                </c:pt>
                <c:pt idx="23">
                  <c:v>47000</c:v>
                </c:pt>
                <c:pt idx="24">
                  <c:v>47000</c:v>
                </c:pt>
                <c:pt idx="25">
                  <c:v>47000</c:v>
                </c:pt>
                <c:pt idx="26">
                  <c:v>47000</c:v>
                </c:pt>
                <c:pt idx="27">
                  <c:v>47000</c:v>
                </c:pt>
                <c:pt idx="28">
                  <c:v>47000</c:v>
                </c:pt>
                <c:pt idx="29">
                  <c:v>47000</c:v>
                </c:pt>
                <c:pt idx="30">
                  <c:v>47000</c:v>
                </c:pt>
                <c:pt idx="31">
                  <c:v>47000</c:v>
                </c:pt>
                <c:pt idx="32">
                  <c:v>47000</c:v>
                </c:pt>
                <c:pt idx="33">
                  <c:v>47000</c:v>
                </c:pt>
                <c:pt idx="34">
                  <c:v>47000</c:v>
                </c:pt>
                <c:pt idx="35">
                  <c:v>47000</c:v>
                </c:pt>
                <c:pt idx="36">
                  <c:v>47000</c:v>
                </c:pt>
                <c:pt idx="37">
                  <c:v>47000</c:v>
                </c:pt>
                <c:pt idx="38">
                  <c:v>47000</c:v>
                </c:pt>
                <c:pt idx="39">
                  <c:v>47000</c:v>
                </c:pt>
                <c:pt idx="40">
                  <c:v>47000</c:v>
                </c:pt>
                <c:pt idx="41">
                  <c:v>47000</c:v>
                </c:pt>
                <c:pt idx="42">
                  <c:v>47000</c:v>
                </c:pt>
                <c:pt idx="43">
                  <c:v>47000</c:v>
                </c:pt>
                <c:pt idx="44">
                  <c:v>47000</c:v>
                </c:pt>
                <c:pt idx="45">
                  <c:v>47000</c:v>
                </c:pt>
                <c:pt idx="46">
                  <c:v>47000</c:v>
                </c:pt>
                <c:pt idx="47">
                  <c:v>47000</c:v>
                </c:pt>
                <c:pt idx="48">
                  <c:v>47000</c:v>
                </c:pt>
                <c:pt idx="49">
                  <c:v>47000</c:v>
                </c:pt>
                <c:pt idx="50">
                  <c:v>47000</c:v>
                </c:pt>
                <c:pt idx="51">
                  <c:v>47000</c:v>
                </c:pt>
                <c:pt idx="52">
                  <c:v>47000</c:v>
                </c:pt>
                <c:pt idx="53">
                  <c:v>47000</c:v>
                </c:pt>
                <c:pt idx="54">
                  <c:v>47000</c:v>
                </c:pt>
                <c:pt idx="55">
                  <c:v>47000</c:v>
                </c:pt>
                <c:pt idx="56">
                  <c:v>47000</c:v>
                </c:pt>
                <c:pt idx="57">
                  <c:v>47000</c:v>
                </c:pt>
                <c:pt idx="58">
                  <c:v>47000</c:v>
                </c:pt>
                <c:pt idx="59">
                  <c:v>47000</c:v>
                </c:pt>
                <c:pt idx="60">
                  <c:v>47000</c:v>
                </c:pt>
                <c:pt idx="61">
                  <c:v>47000</c:v>
                </c:pt>
                <c:pt idx="62">
                  <c:v>47000</c:v>
                </c:pt>
                <c:pt idx="63">
                  <c:v>47000</c:v>
                </c:pt>
                <c:pt idx="64">
                  <c:v>47000</c:v>
                </c:pt>
                <c:pt idx="65">
                  <c:v>47000</c:v>
                </c:pt>
                <c:pt idx="66">
                  <c:v>47000</c:v>
                </c:pt>
                <c:pt idx="67">
                  <c:v>47000</c:v>
                </c:pt>
                <c:pt idx="68">
                  <c:v>47000</c:v>
                </c:pt>
                <c:pt idx="69">
                  <c:v>47000</c:v>
                </c:pt>
                <c:pt idx="70">
                  <c:v>47000</c:v>
                </c:pt>
                <c:pt idx="71">
                  <c:v>47000</c:v>
                </c:pt>
                <c:pt idx="72">
                  <c:v>47000</c:v>
                </c:pt>
                <c:pt idx="73">
                  <c:v>47000</c:v>
                </c:pt>
                <c:pt idx="74">
                  <c:v>47000</c:v>
                </c:pt>
                <c:pt idx="75">
                  <c:v>47000</c:v>
                </c:pt>
                <c:pt idx="76">
                  <c:v>47000</c:v>
                </c:pt>
                <c:pt idx="77">
                  <c:v>47000</c:v>
                </c:pt>
                <c:pt idx="78">
                  <c:v>47000</c:v>
                </c:pt>
                <c:pt idx="79">
                  <c:v>47000</c:v>
                </c:pt>
                <c:pt idx="80">
                  <c:v>47000</c:v>
                </c:pt>
                <c:pt idx="81">
                  <c:v>47000</c:v>
                </c:pt>
                <c:pt idx="82">
                  <c:v>47000</c:v>
                </c:pt>
                <c:pt idx="83">
                  <c:v>47000</c:v>
                </c:pt>
                <c:pt idx="84">
                  <c:v>47000</c:v>
                </c:pt>
                <c:pt idx="85">
                  <c:v>47000</c:v>
                </c:pt>
                <c:pt idx="86">
                  <c:v>47000</c:v>
                </c:pt>
                <c:pt idx="87">
                  <c:v>47000</c:v>
                </c:pt>
                <c:pt idx="88">
                  <c:v>47000</c:v>
                </c:pt>
                <c:pt idx="89">
                  <c:v>47000</c:v>
                </c:pt>
                <c:pt idx="90">
                  <c:v>47000</c:v>
                </c:pt>
                <c:pt idx="91">
                  <c:v>47000</c:v>
                </c:pt>
                <c:pt idx="92">
                  <c:v>47000</c:v>
                </c:pt>
                <c:pt idx="93">
                  <c:v>47000</c:v>
                </c:pt>
                <c:pt idx="94">
                  <c:v>47000</c:v>
                </c:pt>
                <c:pt idx="95">
                  <c:v>47000</c:v>
                </c:pt>
                <c:pt idx="96">
                  <c:v>47000</c:v>
                </c:pt>
                <c:pt idx="97">
                  <c:v>47000</c:v>
                </c:pt>
                <c:pt idx="98">
                  <c:v>47000</c:v>
                </c:pt>
                <c:pt idx="99">
                  <c:v>47000</c:v>
                </c:pt>
                <c:pt idx="100">
                  <c:v>47000</c:v>
                </c:pt>
                <c:pt idx="101">
                  <c:v>47000</c:v>
                </c:pt>
                <c:pt idx="102">
                  <c:v>47000</c:v>
                </c:pt>
                <c:pt idx="103">
                  <c:v>47000</c:v>
                </c:pt>
                <c:pt idx="104">
                  <c:v>47000</c:v>
                </c:pt>
                <c:pt idx="105">
                  <c:v>47000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34-4E68-A2A5-EE7D266869B3}"/>
            </c:ext>
          </c:extLst>
        </c:ser>
        <c:ser>
          <c:idx val="2"/>
          <c:order val="2"/>
          <c:tx>
            <c:v>Max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'[1]TONGATAPU Daily Stock Report'!$H$4:$H$109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'[1]TONGATAPU Daily Stock Report'!$AF$4:$AF$109</c:f>
              <c:numCache>
                <c:formatCode>#,##0_ ;\-#,##0\ </c:formatCode>
                <c:ptCount val="106"/>
                <c:pt idx="0">
                  <c:v>1223106</c:v>
                </c:pt>
                <c:pt idx="1">
                  <c:v>1223106</c:v>
                </c:pt>
                <c:pt idx="2">
                  <c:v>1223106</c:v>
                </c:pt>
                <c:pt idx="3">
                  <c:v>1223106</c:v>
                </c:pt>
                <c:pt idx="4">
                  <c:v>1223106</c:v>
                </c:pt>
                <c:pt idx="5">
                  <c:v>1223106</c:v>
                </c:pt>
                <c:pt idx="6">
                  <c:v>1223106</c:v>
                </c:pt>
                <c:pt idx="7">
                  <c:v>1223106</c:v>
                </c:pt>
                <c:pt idx="8">
                  <c:v>1223106</c:v>
                </c:pt>
                <c:pt idx="9">
                  <c:v>1223106</c:v>
                </c:pt>
                <c:pt idx="10">
                  <c:v>1223106</c:v>
                </c:pt>
                <c:pt idx="11">
                  <c:v>1223106</c:v>
                </c:pt>
                <c:pt idx="12">
                  <c:v>1223106</c:v>
                </c:pt>
                <c:pt idx="13">
                  <c:v>1223106</c:v>
                </c:pt>
                <c:pt idx="14">
                  <c:v>1223106</c:v>
                </c:pt>
                <c:pt idx="15">
                  <c:v>1223106</c:v>
                </c:pt>
                <c:pt idx="16">
                  <c:v>1223106</c:v>
                </c:pt>
                <c:pt idx="17">
                  <c:v>1223106</c:v>
                </c:pt>
                <c:pt idx="18">
                  <c:v>1223106</c:v>
                </c:pt>
                <c:pt idx="19">
                  <c:v>1223106</c:v>
                </c:pt>
                <c:pt idx="20">
                  <c:v>1223106</c:v>
                </c:pt>
                <c:pt idx="21">
                  <c:v>1223106</c:v>
                </c:pt>
                <c:pt idx="22">
                  <c:v>1223106</c:v>
                </c:pt>
                <c:pt idx="23">
                  <c:v>1223106</c:v>
                </c:pt>
                <c:pt idx="24">
                  <c:v>1223106</c:v>
                </c:pt>
                <c:pt idx="25">
                  <c:v>1223106</c:v>
                </c:pt>
                <c:pt idx="26">
                  <c:v>1223106</c:v>
                </c:pt>
                <c:pt idx="27">
                  <c:v>1223106</c:v>
                </c:pt>
                <c:pt idx="28">
                  <c:v>1223106</c:v>
                </c:pt>
                <c:pt idx="29">
                  <c:v>1223106</c:v>
                </c:pt>
                <c:pt idx="30">
                  <c:v>1223106</c:v>
                </c:pt>
                <c:pt idx="31">
                  <c:v>1223106</c:v>
                </c:pt>
                <c:pt idx="32">
                  <c:v>1223106</c:v>
                </c:pt>
                <c:pt idx="33">
                  <c:v>1223106</c:v>
                </c:pt>
                <c:pt idx="34">
                  <c:v>1223106</c:v>
                </c:pt>
                <c:pt idx="35">
                  <c:v>1223106</c:v>
                </c:pt>
                <c:pt idx="36">
                  <c:v>1223106</c:v>
                </c:pt>
                <c:pt idx="37">
                  <c:v>1223106</c:v>
                </c:pt>
                <c:pt idx="38">
                  <c:v>1223106</c:v>
                </c:pt>
                <c:pt idx="39">
                  <c:v>1223106</c:v>
                </c:pt>
                <c:pt idx="40">
                  <c:v>1223106</c:v>
                </c:pt>
                <c:pt idx="41">
                  <c:v>1223106</c:v>
                </c:pt>
                <c:pt idx="42">
                  <c:v>1223106</c:v>
                </c:pt>
                <c:pt idx="43">
                  <c:v>1223106</c:v>
                </c:pt>
                <c:pt idx="44">
                  <c:v>1223106</c:v>
                </c:pt>
                <c:pt idx="45">
                  <c:v>1223106</c:v>
                </c:pt>
                <c:pt idx="46">
                  <c:v>1223106</c:v>
                </c:pt>
                <c:pt idx="47">
                  <c:v>1223106</c:v>
                </c:pt>
                <c:pt idx="48">
                  <c:v>1223106</c:v>
                </c:pt>
                <c:pt idx="49">
                  <c:v>1223106</c:v>
                </c:pt>
                <c:pt idx="50">
                  <c:v>1223106</c:v>
                </c:pt>
                <c:pt idx="51">
                  <c:v>1223106</c:v>
                </c:pt>
                <c:pt idx="52">
                  <c:v>1223106</c:v>
                </c:pt>
                <c:pt idx="53">
                  <c:v>1223106</c:v>
                </c:pt>
                <c:pt idx="54">
                  <c:v>1223106</c:v>
                </c:pt>
                <c:pt idx="55">
                  <c:v>1223106</c:v>
                </c:pt>
                <c:pt idx="56">
                  <c:v>1223106</c:v>
                </c:pt>
                <c:pt idx="57">
                  <c:v>1223106</c:v>
                </c:pt>
                <c:pt idx="58">
                  <c:v>1223106</c:v>
                </c:pt>
                <c:pt idx="59">
                  <c:v>1223106</c:v>
                </c:pt>
                <c:pt idx="60">
                  <c:v>1223106</c:v>
                </c:pt>
                <c:pt idx="61">
                  <c:v>1223106</c:v>
                </c:pt>
                <c:pt idx="62">
                  <c:v>1223106</c:v>
                </c:pt>
                <c:pt idx="63">
                  <c:v>1223106</c:v>
                </c:pt>
                <c:pt idx="64">
                  <c:v>1223106</c:v>
                </c:pt>
                <c:pt idx="65">
                  <c:v>1223106</c:v>
                </c:pt>
                <c:pt idx="66">
                  <c:v>1223106</c:v>
                </c:pt>
                <c:pt idx="67">
                  <c:v>1223106</c:v>
                </c:pt>
                <c:pt idx="68">
                  <c:v>1223106</c:v>
                </c:pt>
                <c:pt idx="69">
                  <c:v>1223106</c:v>
                </c:pt>
                <c:pt idx="70">
                  <c:v>1223106</c:v>
                </c:pt>
                <c:pt idx="71">
                  <c:v>1223106</c:v>
                </c:pt>
                <c:pt idx="72">
                  <c:v>1223106</c:v>
                </c:pt>
                <c:pt idx="73">
                  <c:v>1223106</c:v>
                </c:pt>
                <c:pt idx="74">
                  <c:v>1223106</c:v>
                </c:pt>
                <c:pt idx="75">
                  <c:v>1223106</c:v>
                </c:pt>
                <c:pt idx="76">
                  <c:v>1223106</c:v>
                </c:pt>
                <c:pt idx="77">
                  <c:v>1223106</c:v>
                </c:pt>
                <c:pt idx="78">
                  <c:v>1223106</c:v>
                </c:pt>
                <c:pt idx="79">
                  <c:v>1223106</c:v>
                </c:pt>
                <c:pt idx="80">
                  <c:v>1223106</c:v>
                </c:pt>
                <c:pt idx="81">
                  <c:v>1223106</c:v>
                </c:pt>
                <c:pt idx="82">
                  <c:v>1223106</c:v>
                </c:pt>
                <c:pt idx="83">
                  <c:v>1223106</c:v>
                </c:pt>
                <c:pt idx="84">
                  <c:v>1223106</c:v>
                </c:pt>
                <c:pt idx="85">
                  <c:v>1223106</c:v>
                </c:pt>
                <c:pt idx="86">
                  <c:v>1223106</c:v>
                </c:pt>
                <c:pt idx="87">
                  <c:v>1223106</c:v>
                </c:pt>
                <c:pt idx="88">
                  <c:v>1223106</c:v>
                </c:pt>
                <c:pt idx="89">
                  <c:v>1223106</c:v>
                </c:pt>
                <c:pt idx="90">
                  <c:v>1223106</c:v>
                </c:pt>
                <c:pt idx="91">
                  <c:v>1223106</c:v>
                </c:pt>
                <c:pt idx="92">
                  <c:v>1223106</c:v>
                </c:pt>
                <c:pt idx="93">
                  <c:v>1223106</c:v>
                </c:pt>
                <c:pt idx="94">
                  <c:v>1223106</c:v>
                </c:pt>
                <c:pt idx="95">
                  <c:v>1223106</c:v>
                </c:pt>
                <c:pt idx="96">
                  <c:v>1223106</c:v>
                </c:pt>
                <c:pt idx="97">
                  <c:v>1223106</c:v>
                </c:pt>
                <c:pt idx="98">
                  <c:v>1223106</c:v>
                </c:pt>
                <c:pt idx="99">
                  <c:v>1223106</c:v>
                </c:pt>
                <c:pt idx="100">
                  <c:v>1223106</c:v>
                </c:pt>
                <c:pt idx="101">
                  <c:v>1223106</c:v>
                </c:pt>
                <c:pt idx="102">
                  <c:v>1223106</c:v>
                </c:pt>
                <c:pt idx="103">
                  <c:v>1223106</c:v>
                </c:pt>
                <c:pt idx="104">
                  <c:v>1223106</c:v>
                </c:pt>
                <c:pt idx="105">
                  <c:v>1223106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34-4E68-A2A5-EE7D26686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500176"/>
        <c:axId val="1720502096"/>
      </c:lineChart>
      <c:dateAx>
        <c:axId val="1720500176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2096"/>
        <c:crosses val="autoZero"/>
        <c:auto val="1"/>
        <c:lblOffset val="100"/>
        <c:baseTimeUnit val="days"/>
      </c:dateAx>
      <c:valAx>
        <c:axId val="1720502096"/>
        <c:scaling>
          <c:orientation val="minMax"/>
          <c:max val="1400000"/>
          <c:min val="-100000"/>
        </c:scaling>
        <c:delete val="0"/>
        <c:axPos val="l"/>
        <c:majorGridlines>
          <c:spPr>
            <a:ln w="3175" cap="flat" cmpd="sng" algn="ctr">
              <a:solidFill>
                <a:srgbClr val="808080"/>
              </a:solidFill>
              <a:prstDash val="sysDash"/>
              <a:round/>
            </a:ln>
            <a:effectLst/>
          </c:spPr>
        </c:majorGridlines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0176"/>
        <c:crosses val="autoZero"/>
        <c:crossBetween val="between"/>
      </c:valAx>
      <c:spPr>
        <a:solidFill>
          <a:sysClr val="window" lastClr="FFFFFF">
            <a:lumMod val="95000"/>
          </a:sys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>
          <a:lumMod val="15000"/>
          <a:lumOff val="85000"/>
        </a:sysClr>
      </a:solidFill>
      <a:round/>
    </a:ln>
    <a:effectLst/>
  </c:spPr>
  <c:txPr>
    <a:bodyPr/>
    <a:lstStyle/>
    <a:p>
      <a:pPr>
        <a:defRPr sz="1400" b="0" i="0">
          <a:latin typeface="Arial"/>
          <a:ea typeface="Arial"/>
          <a:cs typeface="Arial"/>
        </a:defRPr>
      </a:pPr>
      <a:endParaRPr lang="en-US"/>
    </a:p>
  </c:txPr>
  <c:printSettings>
    <c:headerFooter/>
    <c:pageMargins b="1.1811023622047201" l="0.39370078740157499" r="0.39370078740157499" t="1.1811023622047201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NZ"/>
              <a:t>Diesel Stocks</a:t>
            </a:r>
          </a:p>
        </c:rich>
      </c:tx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21806649168853"/>
          <c:y val="0.17777777777777778"/>
          <c:w val="0.77826224846894143"/>
          <c:h val="0.69181977252843385"/>
        </c:manualLayout>
      </c:layout>
      <c:lineChart>
        <c:grouping val="standard"/>
        <c:varyColors val="0"/>
        <c:ser>
          <c:idx val="3"/>
          <c:order val="0"/>
          <c:tx>
            <c:v>Diesel Stock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'[1]TONGATAPU Daily Stock Report'!$H$4:$H$109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'[1]TONGATAPU Daily Stock Report'!$S$4:$S$109</c:f>
              <c:numCache>
                <c:formatCode>#,##0_ ;\-#,##0\ </c:formatCode>
                <c:ptCount val="106"/>
                <c:pt idx="0">
                  <c:v>634040</c:v>
                </c:pt>
                <c:pt idx="1">
                  <c:v>578425</c:v>
                </c:pt>
                <c:pt idx="2">
                  <c:v>491946</c:v>
                </c:pt>
                <c:pt idx="3">
                  <c:v>424838</c:v>
                </c:pt>
                <c:pt idx="4">
                  <c:v>424838</c:v>
                </c:pt>
                <c:pt idx="5">
                  <c:v>424838</c:v>
                </c:pt>
                <c:pt idx="6">
                  <c:v>376262</c:v>
                </c:pt>
                <c:pt idx="7">
                  <c:v>348535</c:v>
                </c:pt>
                <c:pt idx="8">
                  <c:v>318704</c:v>
                </c:pt>
                <c:pt idx="9">
                  <c:v>281351</c:v>
                </c:pt>
                <c:pt idx="10">
                  <c:v>639390</c:v>
                </c:pt>
                <c:pt idx="11">
                  <c:v>639390</c:v>
                </c:pt>
                <c:pt idx="12">
                  <c:v>639390</c:v>
                </c:pt>
                <c:pt idx="13">
                  <c:v>515573</c:v>
                </c:pt>
                <c:pt idx="14">
                  <c:v>358173</c:v>
                </c:pt>
                <c:pt idx="15">
                  <c:v>348251</c:v>
                </c:pt>
                <c:pt idx="16">
                  <c:v>313734</c:v>
                </c:pt>
                <c:pt idx="17">
                  <c:v>313734</c:v>
                </c:pt>
                <c:pt idx="18">
                  <c:v>313734</c:v>
                </c:pt>
                <c:pt idx="19">
                  <c:v>313734</c:v>
                </c:pt>
                <c:pt idx="20">
                  <c:v>313734</c:v>
                </c:pt>
                <c:pt idx="21">
                  <c:v>284919.71428571426</c:v>
                </c:pt>
                <c:pt idx="22">
                  <c:v>256105.42857142855</c:v>
                </c:pt>
                <c:pt idx="23">
                  <c:v>227291.14285714284</c:v>
                </c:pt>
                <c:pt idx="24">
                  <c:v>198476.85714285713</c:v>
                </c:pt>
                <c:pt idx="25">
                  <c:v>169662.57142857142</c:v>
                </c:pt>
                <c:pt idx="26">
                  <c:v>140848.28571428571</c:v>
                </c:pt>
                <c:pt idx="27">
                  <c:v>112034</c:v>
                </c:pt>
                <c:pt idx="28">
                  <c:v>83219.71428571429</c:v>
                </c:pt>
                <c:pt idx="29">
                  <c:v>54405.42857142858</c:v>
                </c:pt>
                <c:pt idx="30">
                  <c:v>25591.142857142866</c:v>
                </c:pt>
                <c:pt idx="31">
                  <c:v>-3223.1428571428478</c:v>
                </c:pt>
                <c:pt idx="32">
                  <c:v>-32037.428571428562</c:v>
                </c:pt>
                <c:pt idx="33">
                  <c:v>-60851.714285714275</c:v>
                </c:pt>
                <c:pt idx="34">
                  <c:v>-89665.999999999985</c:v>
                </c:pt>
                <c:pt idx="35">
                  <c:v>-118480.2857142857</c:v>
                </c:pt>
                <c:pt idx="36">
                  <c:v>-147294.57142857142</c:v>
                </c:pt>
                <c:pt idx="37">
                  <c:v>-176108.85714285713</c:v>
                </c:pt>
                <c:pt idx="38">
                  <c:v>-204923.14285714284</c:v>
                </c:pt>
                <c:pt idx="39">
                  <c:v>-233737.42857142855</c:v>
                </c:pt>
                <c:pt idx="40">
                  <c:v>-262551.71428571426</c:v>
                </c:pt>
                <c:pt idx="41">
                  <c:v>-291366</c:v>
                </c:pt>
                <c:pt idx="42">
                  <c:v>-320180.28571428574</c:v>
                </c:pt>
                <c:pt idx="43">
                  <c:v>-348994.57142857148</c:v>
                </c:pt>
                <c:pt idx="44">
                  <c:v>-377808.85714285722</c:v>
                </c:pt>
                <c:pt idx="45">
                  <c:v>-406623.14285714296</c:v>
                </c:pt>
                <c:pt idx="46">
                  <c:v>-435437.4285714287</c:v>
                </c:pt>
                <c:pt idx="47">
                  <c:v>-464251.71428571444</c:v>
                </c:pt>
                <c:pt idx="48">
                  <c:v>-493066.00000000017</c:v>
                </c:pt>
                <c:pt idx="49">
                  <c:v>-521880.28571428591</c:v>
                </c:pt>
                <c:pt idx="50">
                  <c:v>-550694.57142857159</c:v>
                </c:pt>
                <c:pt idx="51">
                  <c:v>-579508.85714285728</c:v>
                </c:pt>
                <c:pt idx="52">
                  <c:v>-608323.14285714296</c:v>
                </c:pt>
                <c:pt idx="53">
                  <c:v>-637137.42857142864</c:v>
                </c:pt>
                <c:pt idx="54">
                  <c:v>-665951.71428571432</c:v>
                </c:pt>
                <c:pt idx="55">
                  <c:v>-694766</c:v>
                </c:pt>
                <c:pt idx="56">
                  <c:v>-723580.28571428568</c:v>
                </c:pt>
                <c:pt idx="57">
                  <c:v>-752394.57142857136</c:v>
                </c:pt>
                <c:pt idx="58">
                  <c:v>-781208.85714285704</c:v>
                </c:pt>
                <c:pt idx="59">
                  <c:v>-810023.14285714272</c:v>
                </c:pt>
                <c:pt idx="60">
                  <c:v>-838837.42857142841</c:v>
                </c:pt>
                <c:pt idx="61">
                  <c:v>-867651.71428571409</c:v>
                </c:pt>
                <c:pt idx="62">
                  <c:v>-896465.99999999977</c:v>
                </c:pt>
                <c:pt idx="63">
                  <c:v>-925280.28571428545</c:v>
                </c:pt>
                <c:pt idx="64">
                  <c:v>-954094.57142857113</c:v>
                </c:pt>
                <c:pt idx="65">
                  <c:v>-982908.85714285681</c:v>
                </c:pt>
                <c:pt idx="66">
                  <c:v>-1011723.1428571425</c:v>
                </c:pt>
                <c:pt idx="67">
                  <c:v>-1040537.4285714282</c:v>
                </c:pt>
                <c:pt idx="68">
                  <c:v>-1069351.7142857139</c:v>
                </c:pt>
                <c:pt idx="69">
                  <c:v>-1098165.9999999995</c:v>
                </c:pt>
                <c:pt idx="70">
                  <c:v>-1126980.2857142852</c:v>
                </c:pt>
                <c:pt idx="71">
                  <c:v>-1155794.5714285709</c:v>
                </c:pt>
                <c:pt idx="72">
                  <c:v>-1184608.8571428566</c:v>
                </c:pt>
                <c:pt idx="73">
                  <c:v>-1213423.1428571423</c:v>
                </c:pt>
                <c:pt idx="74">
                  <c:v>-1242237.4285714279</c:v>
                </c:pt>
                <c:pt idx="75">
                  <c:v>-1271051.7142857136</c:v>
                </c:pt>
                <c:pt idx="76">
                  <c:v>-1299865.9999999993</c:v>
                </c:pt>
                <c:pt idx="77">
                  <c:v>-1328680.285714285</c:v>
                </c:pt>
                <c:pt idx="78">
                  <c:v>-1357494.5714285707</c:v>
                </c:pt>
                <c:pt idx="79">
                  <c:v>-1386308.8571428563</c:v>
                </c:pt>
                <c:pt idx="80">
                  <c:v>-1415123.142857142</c:v>
                </c:pt>
                <c:pt idx="81">
                  <c:v>-1443937.4285714277</c:v>
                </c:pt>
                <c:pt idx="82">
                  <c:v>-1472751.7142857134</c:v>
                </c:pt>
                <c:pt idx="83">
                  <c:v>-1501565.9999999991</c:v>
                </c:pt>
                <c:pt idx="84">
                  <c:v>-1530380.2857142847</c:v>
                </c:pt>
                <c:pt idx="85">
                  <c:v>-1559194.5714285704</c:v>
                </c:pt>
                <c:pt idx="86">
                  <c:v>-1588008.8571428561</c:v>
                </c:pt>
                <c:pt idx="87">
                  <c:v>-1616823.1428571418</c:v>
                </c:pt>
                <c:pt idx="88">
                  <c:v>-1645637.4285714275</c:v>
                </c:pt>
                <c:pt idx="89">
                  <c:v>-1674451.7142857132</c:v>
                </c:pt>
                <c:pt idx="90">
                  <c:v>-1703265.9999999988</c:v>
                </c:pt>
                <c:pt idx="91">
                  <c:v>-1732080.2857142845</c:v>
                </c:pt>
                <c:pt idx="92">
                  <c:v>-1760894.5714285702</c:v>
                </c:pt>
                <c:pt idx="93">
                  <c:v>-1789708.8571428559</c:v>
                </c:pt>
                <c:pt idx="94">
                  <c:v>-1818523.1428571416</c:v>
                </c:pt>
                <c:pt idx="95">
                  <c:v>-1847337.4285714272</c:v>
                </c:pt>
                <c:pt idx="96">
                  <c:v>-1876151.7142857129</c:v>
                </c:pt>
                <c:pt idx="97">
                  <c:v>-1904965.9999999986</c:v>
                </c:pt>
                <c:pt idx="98">
                  <c:v>-1933780.2857142843</c:v>
                </c:pt>
                <c:pt idx="99">
                  <c:v>-1962594.57142857</c:v>
                </c:pt>
                <c:pt idx="100">
                  <c:v>-1991408.8571428556</c:v>
                </c:pt>
                <c:pt idx="101">
                  <c:v>-2020223.1428571413</c:v>
                </c:pt>
                <c:pt idx="102">
                  <c:v>-2049037.428571427</c:v>
                </c:pt>
                <c:pt idx="103">
                  <c:v>-2077851.7142857127</c:v>
                </c:pt>
                <c:pt idx="104">
                  <c:v>-2106665.9999999986</c:v>
                </c:pt>
                <c:pt idx="105">
                  <c:v>-2135480.2857142845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ED-479B-8974-D261042F0F5C}"/>
            </c:ext>
          </c:extLst>
        </c:ser>
        <c:ser>
          <c:idx val="0"/>
          <c:order val="1"/>
          <c:tx>
            <c:v>Min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'[1]TONGATAPU Daily Stock Report'!$H$4:$H$109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'[1]TONGATAPU Daily Stock Report'!$AG$4:$AG$109</c:f>
              <c:numCache>
                <c:formatCode>#,##0_ ;\-#,##0\ </c:formatCode>
                <c:ptCount val="106"/>
                <c:pt idx="0">
                  <c:v>45000</c:v>
                </c:pt>
                <c:pt idx="1">
                  <c:v>45000</c:v>
                </c:pt>
                <c:pt idx="2">
                  <c:v>45000</c:v>
                </c:pt>
                <c:pt idx="3">
                  <c:v>45000</c:v>
                </c:pt>
                <c:pt idx="4">
                  <c:v>45000</c:v>
                </c:pt>
                <c:pt idx="5">
                  <c:v>45000</c:v>
                </c:pt>
                <c:pt idx="6">
                  <c:v>45000</c:v>
                </c:pt>
                <c:pt idx="7">
                  <c:v>45000</c:v>
                </c:pt>
                <c:pt idx="8">
                  <c:v>45000</c:v>
                </c:pt>
                <c:pt idx="9">
                  <c:v>45000</c:v>
                </c:pt>
                <c:pt idx="10">
                  <c:v>45000</c:v>
                </c:pt>
                <c:pt idx="11">
                  <c:v>45000</c:v>
                </c:pt>
                <c:pt idx="12">
                  <c:v>45000</c:v>
                </c:pt>
                <c:pt idx="13">
                  <c:v>45000</c:v>
                </c:pt>
                <c:pt idx="14">
                  <c:v>45000</c:v>
                </c:pt>
                <c:pt idx="15">
                  <c:v>45000</c:v>
                </c:pt>
                <c:pt idx="16">
                  <c:v>45000</c:v>
                </c:pt>
                <c:pt idx="17">
                  <c:v>45000</c:v>
                </c:pt>
                <c:pt idx="18">
                  <c:v>45000</c:v>
                </c:pt>
                <c:pt idx="19">
                  <c:v>45000</c:v>
                </c:pt>
                <c:pt idx="20">
                  <c:v>45000</c:v>
                </c:pt>
                <c:pt idx="21">
                  <c:v>45000</c:v>
                </c:pt>
                <c:pt idx="22">
                  <c:v>45000</c:v>
                </c:pt>
                <c:pt idx="23">
                  <c:v>45000</c:v>
                </c:pt>
                <c:pt idx="24">
                  <c:v>45000</c:v>
                </c:pt>
                <c:pt idx="25">
                  <c:v>45000</c:v>
                </c:pt>
                <c:pt idx="26">
                  <c:v>45000</c:v>
                </c:pt>
                <c:pt idx="27">
                  <c:v>45000</c:v>
                </c:pt>
                <c:pt idx="28">
                  <c:v>45000</c:v>
                </c:pt>
                <c:pt idx="29">
                  <c:v>45000</c:v>
                </c:pt>
                <c:pt idx="30">
                  <c:v>45000</c:v>
                </c:pt>
                <c:pt idx="31">
                  <c:v>45000</c:v>
                </c:pt>
                <c:pt idx="32">
                  <c:v>45000</c:v>
                </c:pt>
                <c:pt idx="33">
                  <c:v>45000</c:v>
                </c:pt>
                <c:pt idx="34">
                  <c:v>45000</c:v>
                </c:pt>
                <c:pt idx="35">
                  <c:v>45000</c:v>
                </c:pt>
                <c:pt idx="36">
                  <c:v>45000</c:v>
                </c:pt>
                <c:pt idx="37">
                  <c:v>45000</c:v>
                </c:pt>
                <c:pt idx="38">
                  <c:v>45000</c:v>
                </c:pt>
                <c:pt idx="39">
                  <c:v>45000</c:v>
                </c:pt>
                <c:pt idx="40">
                  <c:v>45000</c:v>
                </c:pt>
                <c:pt idx="41">
                  <c:v>45000</c:v>
                </c:pt>
                <c:pt idx="42">
                  <c:v>45000</c:v>
                </c:pt>
                <c:pt idx="43">
                  <c:v>45000</c:v>
                </c:pt>
                <c:pt idx="44">
                  <c:v>45000</c:v>
                </c:pt>
                <c:pt idx="45">
                  <c:v>45000</c:v>
                </c:pt>
                <c:pt idx="46">
                  <c:v>45000</c:v>
                </c:pt>
                <c:pt idx="47">
                  <c:v>45000</c:v>
                </c:pt>
                <c:pt idx="48">
                  <c:v>45000</c:v>
                </c:pt>
                <c:pt idx="49">
                  <c:v>45000</c:v>
                </c:pt>
                <c:pt idx="50">
                  <c:v>45000</c:v>
                </c:pt>
                <c:pt idx="51">
                  <c:v>45000</c:v>
                </c:pt>
                <c:pt idx="52">
                  <c:v>45000</c:v>
                </c:pt>
                <c:pt idx="53">
                  <c:v>45000</c:v>
                </c:pt>
                <c:pt idx="54">
                  <c:v>45000</c:v>
                </c:pt>
                <c:pt idx="55">
                  <c:v>45000</c:v>
                </c:pt>
                <c:pt idx="56">
                  <c:v>45000</c:v>
                </c:pt>
                <c:pt idx="57">
                  <c:v>45000</c:v>
                </c:pt>
                <c:pt idx="58">
                  <c:v>45000</c:v>
                </c:pt>
                <c:pt idx="59">
                  <c:v>45000</c:v>
                </c:pt>
                <c:pt idx="60">
                  <c:v>45000</c:v>
                </c:pt>
                <c:pt idx="61">
                  <c:v>45000</c:v>
                </c:pt>
                <c:pt idx="62">
                  <c:v>45000</c:v>
                </c:pt>
                <c:pt idx="63">
                  <c:v>45000</c:v>
                </c:pt>
                <c:pt idx="64">
                  <c:v>45000</c:v>
                </c:pt>
                <c:pt idx="65">
                  <c:v>45000</c:v>
                </c:pt>
                <c:pt idx="66">
                  <c:v>45000</c:v>
                </c:pt>
                <c:pt idx="67">
                  <c:v>45000</c:v>
                </c:pt>
                <c:pt idx="68">
                  <c:v>45000</c:v>
                </c:pt>
                <c:pt idx="69">
                  <c:v>45000</c:v>
                </c:pt>
                <c:pt idx="70">
                  <c:v>45000</c:v>
                </c:pt>
                <c:pt idx="71">
                  <c:v>45000</c:v>
                </c:pt>
                <c:pt idx="72">
                  <c:v>45000</c:v>
                </c:pt>
                <c:pt idx="73">
                  <c:v>45000</c:v>
                </c:pt>
                <c:pt idx="74">
                  <c:v>45000</c:v>
                </c:pt>
                <c:pt idx="75">
                  <c:v>45000</c:v>
                </c:pt>
                <c:pt idx="76">
                  <c:v>45000</c:v>
                </c:pt>
                <c:pt idx="77">
                  <c:v>45000</c:v>
                </c:pt>
                <c:pt idx="78">
                  <c:v>45000</c:v>
                </c:pt>
                <c:pt idx="79">
                  <c:v>45000</c:v>
                </c:pt>
                <c:pt idx="80">
                  <c:v>45000</c:v>
                </c:pt>
                <c:pt idx="81">
                  <c:v>45000</c:v>
                </c:pt>
                <c:pt idx="82">
                  <c:v>45000</c:v>
                </c:pt>
                <c:pt idx="83">
                  <c:v>45000</c:v>
                </c:pt>
                <c:pt idx="84">
                  <c:v>45000</c:v>
                </c:pt>
                <c:pt idx="85">
                  <c:v>45000</c:v>
                </c:pt>
                <c:pt idx="86">
                  <c:v>45000</c:v>
                </c:pt>
                <c:pt idx="87">
                  <c:v>45000</c:v>
                </c:pt>
                <c:pt idx="88">
                  <c:v>45000</c:v>
                </c:pt>
                <c:pt idx="89">
                  <c:v>45000</c:v>
                </c:pt>
                <c:pt idx="90">
                  <c:v>45000</c:v>
                </c:pt>
                <c:pt idx="91">
                  <c:v>45000</c:v>
                </c:pt>
                <c:pt idx="92">
                  <c:v>45000</c:v>
                </c:pt>
                <c:pt idx="93">
                  <c:v>45000</c:v>
                </c:pt>
                <c:pt idx="94">
                  <c:v>45000</c:v>
                </c:pt>
                <c:pt idx="95">
                  <c:v>45000</c:v>
                </c:pt>
                <c:pt idx="96">
                  <c:v>45000</c:v>
                </c:pt>
                <c:pt idx="97">
                  <c:v>45000</c:v>
                </c:pt>
                <c:pt idx="98">
                  <c:v>45000</c:v>
                </c:pt>
                <c:pt idx="99">
                  <c:v>45000</c:v>
                </c:pt>
                <c:pt idx="100">
                  <c:v>45000</c:v>
                </c:pt>
                <c:pt idx="101">
                  <c:v>45000</c:v>
                </c:pt>
                <c:pt idx="102">
                  <c:v>45000</c:v>
                </c:pt>
                <c:pt idx="103">
                  <c:v>45000</c:v>
                </c:pt>
                <c:pt idx="104">
                  <c:v>45000</c:v>
                </c:pt>
                <c:pt idx="105">
                  <c:v>45000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ED-479B-8974-D261042F0F5C}"/>
            </c:ext>
          </c:extLst>
        </c:ser>
        <c:ser>
          <c:idx val="1"/>
          <c:order val="2"/>
          <c:tx>
            <c:v>Max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'[1]TONGATAPU Daily Stock Report'!$H$4:$H$109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'[1]TONGATAPU Daily Stock Report'!$AH$4:$AH$109</c:f>
              <c:numCache>
                <c:formatCode>#,##0_ ;\-#,##0\ </c:formatCode>
                <c:ptCount val="106"/>
                <c:pt idx="0">
                  <c:v>858361</c:v>
                </c:pt>
                <c:pt idx="1">
                  <c:v>858361</c:v>
                </c:pt>
                <c:pt idx="2">
                  <c:v>858361</c:v>
                </c:pt>
                <c:pt idx="3">
                  <c:v>858361</c:v>
                </c:pt>
                <c:pt idx="4">
                  <c:v>858361</c:v>
                </c:pt>
                <c:pt idx="5">
                  <c:v>858361</c:v>
                </c:pt>
                <c:pt idx="6">
                  <c:v>858361</c:v>
                </c:pt>
                <c:pt idx="7">
                  <c:v>858361</c:v>
                </c:pt>
                <c:pt idx="8">
                  <c:v>858361</c:v>
                </c:pt>
                <c:pt idx="9">
                  <c:v>858361</c:v>
                </c:pt>
                <c:pt idx="10">
                  <c:v>858361</c:v>
                </c:pt>
                <c:pt idx="11">
                  <c:v>858361</c:v>
                </c:pt>
                <c:pt idx="12">
                  <c:v>858361</c:v>
                </c:pt>
                <c:pt idx="13">
                  <c:v>858361</c:v>
                </c:pt>
                <c:pt idx="14">
                  <c:v>858361</c:v>
                </c:pt>
                <c:pt idx="15">
                  <c:v>858361</c:v>
                </c:pt>
                <c:pt idx="16">
                  <c:v>858361</c:v>
                </c:pt>
                <c:pt idx="17">
                  <c:v>858361</c:v>
                </c:pt>
                <c:pt idx="18">
                  <c:v>858361</c:v>
                </c:pt>
                <c:pt idx="19">
                  <c:v>858361</c:v>
                </c:pt>
                <c:pt idx="20">
                  <c:v>858361</c:v>
                </c:pt>
                <c:pt idx="21">
                  <c:v>858361</c:v>
                </c:pt>
                <c:pt idx="22">
                  <c:v>858361</c:v>
                </c:pt>
                <c:pt idx="23">
                  <c:v>858361</c:v>
                </c:pt>
                <c:pt idx="24">
                  <c:v>858361</c:v>
                </c:pt>
                <c:pt idx="25">
                  <c:v>858361</c:v>
                </c:pt>
                <c:pt idx="26">
                  <c:v>858361</c:v>
                </c:pt>
                <c:pt idx="27">
                  <c:v>858361</c:v>
                </c:pt>
                <c:pt idx="28">
                  <c:v>858361</c:v>
                </c:pt>
                <c:pt idx="29">
                  <c:v>858361</c:v>
                </c:pt>
                <c:pt idx="30">
                  <c:v>858361</c:v>
                </c:pt>
                <c:pt idx="31">
                  <c:v>858361</c:v>
                </c:pt>
                <c:pt idx="32">
                  <c:v>858361</c:v>
                </c:pt>
                <c:pt idx="33">
                  <c:v>858361</c:v>
                </c:pt>
                <c:pt idx="34">
                  <c:v>858361</c:v>
                </c:pt>
                <c:pt idx="35">
                  <c:v>858361</c:v>
                </c:pt>
                <c:pt idx="36">
                  <c:v>858361</c:v>
                </c:pt>
                <c:pt idx="37">
                  <c:v>858361</c:v>
                </c:pt>
                <c:pt idx="38">
                  <c:v>858361</c:v>
                </c:pt>
                <c:pt idx="39">
                  <c:v>858361</c:v>
                </c:pt>
                <c:pt idx="40">
                  <c:v>858361</c:v>
                </c:pt>
                <c:pt idx="41">
                  <c:v>858361</c:v>
                </c:pt>
                <c:pt idx="42">
                  <c:v>858361</c:v>
                </c:pt>
                <c:pt idx="43">
                  <c:v>858361</c:v>
                </c:pt>
                <c:pt idx="44">
                  <c:v>858361</c:v>
                </c:pt>
                <c:pt idx="45">
                  <c:v>858361</c:v>
                </c:pt>
                <c:pt idx="46">
                  <c:v>858361</c:v>
                </c:pt>
                <c:pt idx="47">
                  <c:v>858361</c:v>
                </c:pt>
                <c:pt idx="48">
                  <c:v>858361</c:v>
                </c:pt>
                <c:pt idx="49">
                  <c:v>858361</c:v>
                </c:pt>
                <c:pt idx="50">
                  <c:v>858361</c:v>
                </c:pt>
                <c:pt idx="51">
                  <c:v>858361</c:v>
                </c:pt>
                <c:pt idx="52">
                  <c:v>858361</c:v>
                </c:pt>
                <c:pt idx="53">
                  <c:v>858361</c:v>
                </c:pt>
                <c:pt idx="54">
                  <c:v>858361</c:v>
                </c:pt>
                <c:pt idx="55">
                  <c:v>858361</c:v>
                </c:pt>
                <c:pt idx="56">
                  <c:v>858361</c:v>
                </c:pt>
                <c:pt idx="57">
                  <c:v>858361</c:v>
                </c:pt>
                <c:pt idx="58">
                  <c:v>858361</c:v>
                </c:pt>
                <c:pt idx="59">
                  <c:v>858361</c:v>
                </c:pt>
                <c:pt idx="60">
                  <c:v>858361</c:v>
                </c:pt>
                <c:pt idx="61">
                  <c:v>858361</c:v>
                </c:pt>
                <c:pt idx="62">
                  <c:v>858361</c:v>
                </c:pt>
                <c:pt idx="63">
                  <c:v>858361</c:v>
                </c:pt>
                <c:pt idx="64">
                  <c:v>858361</c:v>
                </c:pt>
                <c:pt idx="65">
                  <c:v>858361</c:v>
                </c:pt>
                <c:pt idx="66">
                  <c:v>858361</c:v>
                </c:pt>
                <c:pt idx="67">
                  <c:v>858361</c:v>
                </c:pt>
                <c:pt idx="68">
                  <c:v>858361</c:v>
                </c:pt>
                <c:pt idx="69">
                  <c:v>858361</c:v>
                </c:pt>
                <c:pt idx="70">
                  <c:v>858361</c:v>
                </c:pt>
                <c:pt idx="71">
                  <c:v>858361</c:v>
                </c:pt>
                <c:pt idx="72">
                  <c:v>858361</c:v>
                </c:pt>
                <c:pt idx="73">
                  <c:v>858361</c:v>
                </c:pt>
                <c:pt idx="74">
                  <c:v>858361</c:v>
                </c:pt>
                <c:pt idx="75">
                  <c:v>858361</c:v>
                </c:pt>
                <c:pt idx="76">
                  <c:v>858361</c:v>
                </c:pt>
                <c:pt idx="77">
                  <c:v>858361</c:v>
                </c:pt>
                <c:pt idx="78">
                  <c:v>858361</c:v>
                </c:pt>
                <c:pt idx="79">
                  <c:v>858361</c:v>
                </c:pt>
                <c:pt idx="80">
                  <c:v>858361</c:v>
                </c:pt>
                <c:pt idx="81">
                  <c:v>858361</c:v>
                </c:pt>
                <c:pt idx="82">
                  <c:v>858361</c:v>
                </c:pt>
                <c:pt idx="83">
                  <c:v>858361</c:v>
                </c:pt>
                <c:pt idx="84">
                  <c:v>858361</c:v>
                </c:pt>
                <c:pt idx="85">
                  <c:v>858361</c:v>
                </c:pt>
                <c:pt idx="86">
                  <c:v>858361</c:v>
                </c:pt>
                <c:pt idx="87">
                  <c:v>858361</c:v>
                </c:pt>
                <c:pt idx="88">
                  <c:v>858361</c:v>
                </c:pt>
                <c:pt idx="89">
                  <c:v>858361</c:v>
                </c:pt>
                <c:pt idx="90">
                  <c:v>858361</c:v>
                </c:pt>
                <c:pt idx="91">
                  <c:v>858361</c:v>
                </c:pt>
                <c:pt idx="92">
                  <c:v>858361</c:v>
                </c:pt>
                <c:pt idx="93">
                  <c:v>858361</c:v>
                </c:pt>
                <c:pt idx="94">
                  <c:v>858361</c:v>
                </c:pt>
                <c:pt idx="95">
                  <c:v>858361</c:v>
                </c:pt>
                <c:pt idx="96">
                  <c:v>858361</c:v>
                </c:pt>
                <c:pt idx="97">
                  <c:v>858361</c:v>
                </c:pt>
                <c:pt idx="98">
                  <c:v>858361</c:v>
                </c:pt>
                <c:pt idx="99">
                  <c:v>858361</c:v>
                </c:pt>
                <c:pt idx="100">
                  <c:v>858361</c:v>
                </c:pt>
                <c:pt idx="101">
                  <c:v>858361</c:v>
                </c:pt>
                <c:pt idx="102">
                  <c:v>858361</c:v>
                </c:pt>
                <c:pt idx="103">
                  <c:v>858361</c:v>
                </c:pt>
                <c:pt idx="104">
                  <c:v>858361</c:v>
                </c:pt>
                <c:pt idx="105">
                  <c:v>858361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ED-479B-8974-D261042F0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500176"/>
        <c:axId val="1720502096"/>
      </c:lineChart>
      <c:dateAx>
        <c:axId val="1720500176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2096"/>
        <c:crosses val="autoZero"/>
        <c:auto val="1"/>
        <c:lblOffset val="100"/>
        <c:baseTimeUnit val="days"/>
      </c:dateAx>
      <c:valAx>
        <c:axId val="1720502096"/>
        <c:scaling>
          <c:orientation val="minMax"/>
          <c:max val="1000000"/>
          <c:min val="-100000"/>
        </c:scaling>
        <c:delete val="0"/>
        <c:axPos val="l"/>
        <c:majorGridlines>
          <c:spPr>
            <a:ln w="3175" cap="flat" cmpd="sng" algn="ctr">
              <a:solidFill>
                <a:srgbClr val="808080"/>
              </a:solidFill>
              <a:prstDash val="sysDash"/>
              <a:round/>
            </a:ln>
            <a:effectLst/>
          </c:spPr>
        </c:majorGridlines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0176"/>
        <c:crosses val="autoZero"/>
        <c:crossBetween val="between"/>
      </c:valAx>
      <c:spPr>
        <a:solidFill>
          <a:sysClr val="window" lastClr="FFFFFF">
            <a:lumMod val="95000"/>
          </a:sys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>
          <a:lumMod val="15000"/>
          <a:lumOff val="85000"/>
        </a:sysClr>
      </a:solidFill>
      <a:round/>
    </a:ln>
    <a:effectLst/>
  </c:spPr>
  <c:txPr>
    <a:bodyPr/>
    <a:lstStyle/>
    <a:p>
      <a:pPr>
        <a:defRPr sz="1400" b="0" i="0">
          <a:latin typeface="Arial"/>
          <a:ea typeface="Arial"/>
          <a:cs typeface="Arial"/>
        </a:defRPr>
      </a:pPr>
      <a:endParaRPr lang="en-US"/>
    </a:p>
  </c:txPr>
  <c:printSettings>
    <c:headerFooter/>
    <c:pageMargins b="1.1811023622047201" l="0.39370078740157499" r="0.39370078740157499" t="1.1811023622047201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NZ"/>
              <a:t>Petrol Stocks</a:t>
            </a:r>
          </a:p>
        </c:rich>
      </c:tx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21806649168853"/>
          <c:y val="0.17777777777777778"/>
          <c:w val="0.77826224846894143"/>
          <c:h val="0.69181977252843385"/>
        </c:manualLayout>
      </c:layout>
      <c:lineChart>
        <c:grouping val="standard"/>
        <c:varyColors val="0"/>
        <c:ser>
          <c:idx val="1"/>
          <c:order val="0"/>
          <c:tx>
            <c:v>Petrol Stock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'[1]VAVA''U Daily Stock Report'!$G$4:$G$109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'[1]VAVA''U Daily Stock Report'!$N$4:$N$109</c:f>
              <c:numCache>
                <c:formatCode>#,##0_ ;\-#,##0\ </c:formatCode>
                <c:ptCount val="106"/>
                <c:pt idx="0">
                  <c:v>185205</c:v>
                </c:pt>
                <c:pt idx="1">
                  <c:v>179281</c:v>
                </c:pt>
                <c:pt idx="2">
                  <c:v>163265</c:v>
                </c:pt>
                <c:pt idx="3">
                  <c:v>159199</c:v>
                </c:pt>
                <c:pt idx="4">
                  <c:v>159199</c:v>
                </c:pt>
                <c:pt idx="5">
                  <c:v>159199</c:v>
                </c:pt>
                <c:pt idx="6">
                  <c:v>140170</c:v>
                </c:pt>
                <c:pt idx="7">
                  <c:v>125661</c:v>
                </c:pt>
                <c:pt idx="8">
                  <c:v>125360</c:v>
                </c:pt>
                <c:pt idx="9">
                  <c:v>121445</c:v>
                </c:pt>
                <c:pt idx="10">
                  <c:v>105147</c:v>
                </c:pt>
                <c:pt idx="11">
                  <c:v>105147</c:v>
                </c:pt>
                <c:pt idx="12">
                  <c:v>105147</c:v>
                </c:pt>
                <c:pt idx="13">
                  <c:v>100083</c:v>
                </c:pt>
                <c:pt idx="14">
                  <c:v>47286</c:v>
                </c:pt>
                <c:pt idx="15">
                  <c:v>47186</c:v>
                </c:pt>
                <c:pt idx="16">
                  <c:v>37116</c:v>
                </c:pt>
                <c:pt idx="17">
                  <c:v>37116</c:v>
                </c:pt>
                <c:pt idx="18">
                  <c:v>37116</c:v>
                </c:pt>
                <c:pt idx="19">
                  <c:v>37116</c:v>
                </c:pt>
                <c:pt idx="20">
                  <c:v>37116</c:v>
                </c:pt>
                <c:pt idx="21">
                  <c:v>28158.857142857145</c:v>
                </c:pt>
                <c:pt idx="22">
                  <c:v>19201.71428571429</c:v>
                </c:pt>
                <c:pt idx="23">
                  <c:v>10244.571428571433</c:v>
                </c:pt>
                <c:pt idx="24">
                  <c:v>1287.4285714285761</c:v>
                </c:pt>
                <c:pt idx="25">
                  <c:v>-7669.7142857142808</c:v>
                </c:pt>
                <c:pt idx="26">
                  <c:v>-16626.857142857138</c:v>
                </c:pt>
                <c:pt idx="27">
                  <c:v>-25583.999999999993</c:v>
                </c:pt>
                <c:pt idx="28">
                  <c:v>-34541.142857142848</c:v>
                </c:pt>
                <c:pt idx="29">
                  <c:v>-43498.285714285703</c:v>
                </c:pt>
                <c:pt idx="30">
                  <c:v>-52455.428571428558</c:v>
                </c:pt>
                <c:pt idx="31">
                  <c:v>-61412.571428571413</c:v>
                </c:pt>
                <c:pt idx="32">
                  <c:v>-70369.714285714275</c:v>
                </c:pt>
                <c:pt idx="33">
                  <c:v>-79326.85714285713</c:v>
                </c:pt>
                <c:pt idx="34">
                  <c:v>-88283.999999999985</c:v>
                </c:pt>
                <c:pt idx="35">
                  <c:v>-97241.142857142841</c:v>
                </c:pt>
                <c:pt idx="36">
                  <c:v>-106198.2857142857</c:v>
                </c:pt>
                <c:pt idx="37">
                  <c:v>-115155.42857142855</c:v>
                </c:pt>
                <c:pt idx="38">
                  <c:v>-124112.57142857141</c:v>
                </c:pt>
                <c:pt idx="39">
                  <c:v>-133069.71428571426</c:v>
                </c:pt>
                <c:pt idx="40">
                  <c:v>-142026.85714285713</c:v>
                </c:pt>
                <c:pt idx="41">
                  <c:v>-150984</c:v>
                </c:pt>
                <c:pt idx="42">
                  <c:v>-159941.14285714287</c:v>
                </c:pt>
                <c:pt idx="43">
                  <c:v>-168898.28571428574</c:v>
                </c:pt>
                <c:pt idx="44">
                  <c:v>-177855.42857142861</c:v>
                </c:pt>
                <c:pt idx="45">
                  <c:v>-186812.57142857148</c:v>
                </c:pt>
                <c:pt idx="46">
                  <c:v>-195769.71428571435</c:v>
                </c:pt>
                <c:pt idx="47">
                  <c:v>-204726.85714285722</c:v>
                </c:pt>
                <c:pt idx="48">
                  <c:v>-213684.00000000009</c:v>
                </c:pt>
                <c:pt idx="49">
                  <c:v>-222641.14285714296</c:v>
                </c:pt>
                <c:pt idx="50">
                  <c:v>-231598.28571428583</c:v>
                </c:pt>
                <c:pt idx="51">
                  <c:v>-240555.4285714287</c:v>
                </c:pt>
                <c:pt idx="52">
                  <c:v>-249512.57142857157</c:v>
                </c:pt>
                <c:pt idx="53">
                  <c:v>-258469.71428571444</c:v>
                </c:pt>
                <c:pt idx="54">
                  <c:v>-267426.85714285728</c:v>
                </c:pt>
                <c:pt idx="55">
                  <c:v>-276384.00000000012</c:v>
                </c:pt>
                <c:pt idx="56">
                  <c:v>-285341.14285714296</c:v>
                </c:pt>
                <c:pt idx="57">
                  <c:v>-294298.2857142858</c:v>
                </c:pt>
                <c:pt idx="58">
                  <c:v>-303255.42857142864</c:v>
                </c:pt>
                <c:pt idx="59">
                  <c:v>-312212.57142857148</c:v>
                </c:pt>
                <c:pt idx="60">
                  <c:v>-321169.71428571432</c:v>
                </c:pt>
                <c:pt idx="61">
                  <c:v>-330126.85714285716</c:v>
                </c:pt>
                <c:pt idx="62">
                  <c:v>-339084</c:v>
                </c:pt>
                <c:pt idx="63">
                  <c:v>-348041.14285714284</c:v>
                </c:pt>
                <c:pt idx="64">
                  <c:v>-356998.28571428568</c:v>
                </c:pt>
                <c:pt idx="65">
                  <c:v>-365955.42857142852</c:v>
                </c:pt>
                <c:pt idx="66">
                  <c:v>-374912.57142857136</c:v>
                </c:pt>
                <c:pt idx="67">
                  <c:v>-383869.7142857142</c:v>
                </c:pt>
                <c:pt idx="68">
                  <c:v>-392826.85714285704</c:v>
                </c:pt>
                <c:pt idx="69">
                  <c:v>-401783.99999999988</c:v>
                </c:pt>
                <c:pt idx="70">
                  <c:v>-410741.14285714272</c:v>
                </c:pt>
                <c:pt idx="71">
                  <c:v>-419698.28571428556</c:v>
                </c:pt>
                <c:pt idx="72">
                  <c:v>-428655.42857142841</c:v>
                </c:pt>
                <c:pt idx="73">
                  <c:v>-437612.57142857125</c:v>
                </c:pt>
                <c:pt idx="74">
                  <c:v>-446569.71428571409</c:v>
                </c:pt>
                <c:pt idx="75">
                  <c:v>-455526.85714285693</c:v>
                </c:pt>
                <c:pt idx="76">
                  <c:v>-464483.99999999977</c:v>
                </c:pt>
                <c:pt idx="77">
                  <c:v>-473441.14285714261</c:v>
                </c:pt>
                <c:pt idx="78">
                  <c:v>-482398.28571428545</c:v>
                </c:pt>
                <c:pt idx="79">
                  <c:v>-491355.42857142829</c:v>
                </c:pt>
                <c:pt idx="80">
                  <c:v>-500312.57142857113</c:v>
                </c:pt>
                <c:pt idx="81">
                  <c:v>-509269.71428571397</c:v>
                </c:pt>
                <c:pt idx="82">
                  <c:v>-518226.85714285681</c:v>
                </c:pt>
                <c:pt idx="83">
                  <c:v>-527183.99999999965</c:v>
                </c:pt>
                <c:pt idx="84">
                  <c:v>-536141.14285714249</c:v>
                </c:pt>
                <c:pt idx="85">
                  <c:v>-545098.28571428533</c:v>
                </c:pt>
                <c:pt idx="86">
                  <c:v>-554055.42857142817</c:v>
                </c:pt>
                <c:pt idx="87">
                  <c:v>-563012.57142857101</c:v>
                </c:pt>
                <c:pt idx="88">
                  <c:v>-571969.71428571385</c:v>
                </c:pt>
                <c:pt idx="89">
                  <c:v>-580926.85714285669</c:v>
                </c:pt>
                <c:pt idx="90">
                  <c:v>-589883.99999999953</c:v>
                </c:pt>
                <c:pt idx="91">
                  <c:v>-598841.14285714237</c:v>
                </c:pt>
                <c:pt idx="92">
                  <c:v>-607798.28571428522</c:v>
                </c:pt>
                <c:pt idx="93">
                  <c:v>-616755.42857142806</c:v>
                </c:pt>
                <c:pt idx="94">
                  <c:v>-625712.5714285709</c:v>
                </c:pt>
                <c:pt idx="95">
                  <c:v>-634669.71428571374</c:v>
                </c:pt>
                <c:pt idx="96">
                  <c:v>-643626.85714285658</c:v>
                </c:pt>
                <c:pt idx="97">
                  <c:v>-652583.99999999942</c:v>
                </c:pt>
                <c:pt idx="98">
                  <c:v>-661541.14285714226</c:v>
                </c:pt>
                <c:pt idx="99">
                  <c:v>-670498.2857142851</c:v>
                </c:pt>
                <c:pt idx="100">
                  <c:v>-679455.42857142794</c:v>
                </c:pt>
                <c:pt idx="101">
                  <c:v>-688412.57142857078</c:v>
                </c:pt>
                <c:pt idx="102">
                  <c:v>-697369.71428571362</c:v>
                </c:pt>
                <c:pt idx="103">
                  <c:v>-706326.85714285646</c:v>
                </c:pt>
                <c:pt idx="104">
                  <c:v>-715283.9999999993</c:v>
                </c:pt>
                <c:pt idx="105">
                  <c:v>-724241.14285714214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A3-4E40-BC33-428D4D3EB02D}"/>
            </c:ext>
          </c:extLst>
        </c:ser>
        <c:ser>
          <c:idx val="0"/>
          <c:order val="1"/>
          <c:tx>
            <c:v>Min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'[1]VAVA''U Daily Stock Report'!$G$4:$G$109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'[1]VAVA''U Daily Stock Report'!$Z$4:$Z$109</c:f>
              <c:numCache>
                <c:formatCode>#,##0_ ;\-#,##0\ </c:formatCode>
                <c:ptCount val="106"/>
                <c:pt idx="0">
                  <c:v>26800</c:v>
                </c:pt>
                <c:pt idx="1">
                  <c:v>26800</c:v>
                </c:pt>
                <c:pt idx="2">
                  <c:v>26800</c:v>
                </c:pt>
                <c:pt idx="3">
                  <c:v>26800</c:v>
                </c:pt>
                <c:pt idx="4">
                  <c:v>26800</c:v>
                </c:pt>
                <c:pt idx="5">
                  <c:v>26800</c:v>
                </c:pt>
                <c:pt idx="6">
                  <c:v>26800</c:v>
                </c:pt>
                <c:pt idx="7">
                  <c:v>26800</c:v>
                </c:pt>
                <c:pt idx="8">
                  <c:v>26800</c:v>
                </c:pt>
                <c:pt idx="9">
                  <c:v>26800</c:v>
                </c:pt>
                <c:pt idx="10">
                  <c:v>26800</c:v>
                </c:pt>
                <c:pt idx="11">
                  <c:v>26800</c:v>
                </c:pt>
                <c:pt idx="12">
                  <c:v>26800</c:v>
                </c:pt>
                <c:pt idx="13">
                  <c:v>26800</c:v>
                </c:pt>
                <c:pt idx="14">
                  <c:v>26800</c:v>
                </c:pt>
                <c:pt idx="15">
                  <c:v>26800</c:v>
                </c:pt>
                <c:pt idx="16">
                  <c:v>26800</c:v>
                </c:pt>
                <c:pt idx="17">
                  <c:v>26800</c:v>
                </c:pt>
                <c:pt idx="18">
                  <c:v>26800</c:v>
                </c:pt>
                <c:pt idx="19">
                  <c:v>26800</c:v>
                </c:pt>
                <c:pt idx="20">
                  <c:v>26800</c:v>
                </c:pt>
                <c:pt idx="21">
                  <c:v>26800</c:v>
                </c:pt>
                <c:pt idx="22">
                  <c:v>26800</c:v>
                </c:pt>
                <c:pt idx="23">
                  <c:v>26800</c:v>
                </c:pt>
                <c:pt idx="24">
                  <c:v>26800</c:v>
                </c:pt>
                <c:pt idx="25">
                  <c:v>26800</c:v>
                </c:pt>
                <c:pt idx="26">
                  <c:v>26800</c:v>
                </c:pt>
                <c:pt idx="27">
                  <c:v>26800</c:v>
                </c:pt>
                <c:pt idx="28">
                  <c:v>26800</c:v>
                </c:pt>
                <c:pt idx="29">
                  <c:v>26800</c:v>
                </c:pt>
                <c:pt idx="30">
                  <c:v>26800</c:v>
                </c:pt>
                <c:pt idx="31">
                  <c:v>26800</c:v>
                </c:pt>
                <c:pt idx="32">
                  <c:v>26800</c:v>
                </c:pt>
                <c:pt idx="33">
                  <c:v>26800</c:v>
                </c:pt>
                <c:pt idx="34">
                  <c:v>26800</c:v>
                </c:pt>
                <c:pt idx="35">
                  <c:v>26800</c:v>
                </c:pt>
                <c:pt idx="36">
                  <c:v>26800</c:v>
                </c:pt>
                <c:pt idx="37">
                  <c:v>26800</c:v>
                </c:pt>
                <c:pt idx="38">
                  <c:v>26800</c:v>
                </c:pt>
                <c:pt idx="39">
                  <c:v>26800</c:v>
                </c:pt>
                <c:pt idx="40">
                  <c:v>26800</c:v>
                </c:pt>
                <c:pt idx="41">
                  <c:v>26800</c:v>
                </c:pt>
                <c:pt idx="42">
                  <c:v>26800</c:v>
                </c:pt>
                <c:pt idx="43">
                  <c:v>26800</c:v>
                </c:pt>
                <c:pt idx="44">
                  <c:v>26800</c:v>
                </c:pt>
                <c:pt idx="45">
                  <c:v>26800</c:v>
                </c:pt>
                <c:pt idx="46">
                  <c:v>26800</c:v>
                </c:pt>
                <c:pt idx="47">
                  <c:v>26800</c:v>
                </c:pt>
                <c:pt idx="48">
                  <c:v>26800</c:v>
                </c:pt>
                <c:pt idx="49">
                  <c:v>26800</c:v>
                </c:pt>
                <c:pt idx="50">
                  <c:v>26800</c:v>
                </c:pt>
                <c:pt idx="51">
                  <c:v>26800</c:v>
                </c:pt>
                <c:pt idx="52">
                  <c:v>26800</c:v>
                </c:pt>
                <c:pt idx="53">
                  <c:v>26800</c:v>
                </c:pt>
                <c:pt idx="54">
                  <c:v>26800</c:v>
                </c:pt>
                <c:pt idx="55">
                  <c:v>26800</c:v>
                </c:pt>
                <c:pt idx="56">
                  <c:v>26800</c:v>
                </c:pt>
                <c:pt idx="57">
                  <c:v>26800</c:v>
                </c:pt>
                <c:pt idx="58">
                  <c:v>26800</c:v>
                </c:pt>
                <c:pt idx="59">
                  <c:v>26800</c:v>
                </c:pt>
                <c:pt idx="60">
                  <c:v>26800</c:v>
                </c:pt>
                <c:pt idx="61">
                  <c:v>26800</c:v>
                </c:pt>
                <c:pt idx="62">
                  <c:v>26800</c:v>
                </c:pt>
                <c:pt idx="63">
                  <c:v>26800</c:v>
                </c:pt>
                <c:pt idx="64">
                  <c:v>26800</c:v>
                </c:pt>
                <c:pt idx="65">
                  <c:v>26800</c:v>
                </c:pt>
                <c:pt idx="66">
                  <c:v>26800</c:v>
                </c:pt>
                <c:pt idx="67">
                  <c:v>26800</c:v>
                </c:pt>
                <c:pt idx="68">
                  <c:v>26800</c:v>
                </c:pt>
                <c:pt idx="69">
                  <c:v>26800</c:v>
                </c:pt>
                <c:pt idx="70">
                  <c:v>26800</c:v>
                </c:pt>
                <c:pt idx="71">
                  <c:v>26800</c:v>
                </c:pt>
                <c:pt idx="72">
                  <c:v>26800</c:v>
                </c:pt>
                <c:pt idx="73">
                  <c:v>26800</c:v>
                </c:pt>
                <c:pt idx="74">
                  <c:v>26800</c:v>
                </c:pt>
                <c:pt idx="75">
                  <c:v>26800</c:v>
                </c:pt>
                <c:pt idx="76">
                  <c:v>26800</c:v>
                </c:pt>
                <c:pt idx="77">
                  <c:v>26800</c:v>
                </c:pt>
                <c:pt idx="78">
                  <c:v>26800</c:v>
                </c:pt>
                <c:pt idx="79">
                  <c:v>26800</c:v>
                </c:pt>
                <c:pt idx="80">
                  <c:v>26800</c:v>
                </c:pt>
                <c:pt idx="81">
                  <c:v>26800</c:v>
                </c:pt>
                <c:pt idx="82">
                  <c:v>26800</c:v>
                </c:pt>
                <c:pt idx="83">
                  <c:v>26800</c:v>
                </c:pt>
                <c:pt idx="84">
                  <c:v>26800</c:v>
                </c:pt>
                <c:pt idx="85">
                  <c:v>26800</c:v>
                </c:pt>
                <c:pt idx="86">
                  <c:v>26800</c:v>
                </c:pt>
                <c:pt idx="87">
                  <c:v>26800</c:v>
                </c:pt>
                <c:pt idx="88">
                  <c:v>26800</c:v>
                </c:pt>
                <c:pt idx="89">
                  <c:v>26800</c:v>
                </c:pt>
                <c:pt idx="90">
                  <c:v>26800</c:v>
                </c:pt>
                <c:pt idx="91">
                  <c:v>26800</c:v>
                </c:pt>
                <c:pt idx="92">
                  <c:v>26800</c:v>
                </c:pt>
                <c:pt idx="93">
                  <c:v>26800</c:v>
                </c:pt>
                <c:pt idx="94">
                  <c:v>26800</c:v>
                </c:pt>
                <c:pt idx="95">
                  <c:v>26800</c:v>
                </c:pt>
                <c:pt idx="96">
                  <c:v>26800</c:v>
                </c:pt>
                <c:pt idx="97">
                  <c:v>26800</c:v>
                </c:pt>
                <c:pt idx="98">
                  <c:v>26800</c:v>
                </c:pt>
                <c:pt idx="99">
                  <c:v>26800</c:v>
                </c:pt>
                <c:pt idx="100">
                  <c:v>26800</c:v>
                </c:pt>
                <c:pt idx="101">
                  <c:v>26800</c:v>
                </c:pt>
                <c:pt idx="102">
                  <c:v>26800</c:v>
                </c:pt>
                <c:pt idx="103">
                  <c:v>26800</c:v>
                </c:pt>
                <c:pt idx="104">
                  <c:v>26800</c:v>
                </c:pt>
                <c:pt idx="105">
                  <c:v>26800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A3-4E40-BC33-428D4D3EB02D}"/>
            </c:ext>
          </c:extLst>
        </c:ser>
        <c:ser>
          <c:idx val="2"/>
          <c:order val="2"/>
          <c:tx>
            <c:v>Max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'[1]VAVA''U Daily Stock Report'!$G$4:$G$109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'[1]VAVA''U Daily Stock Report'!$AA$4:$AA$109</c:f>
              <c:numCache>
                <c:formatCode>#,##0_ ;\-#,##0\ </c:formatCode>
                <c:ptCount val="106"/>
                <c:pt idx="0">
                  <c:v>357582</c:v>
                </c:pt>
                <c:pt idx="1">
                  <c:v>357582</c:v>
                </c:pt>
                <c:pt idx="2">
                  <c:v>357582</c:v>
                </c:pt>
                <c:pt idx="3">
                  <c:v>357582</c:v>
                </c:pt>
                <c:pt idx="4">
                  <c:v>357582</c:v>
                </c:pt>
                <c:pt idx="5">
                  <c:v>357582</c:v>
                </c:pt>
                <c:pt idx="6">
                  <c:v>357582</c:v>
                </c:pt>
                <c:pt idx="7">
                  <c:v>357582</c:v>
                </c:pt>
                <c:pt idx="8">
                  <c:v>357582</c:v>
                </c:pt>
                <c:pt idx="9">
                  <c:v>357582</c:v>
                </c:pt>
                <c:pt idx="10">
                  <c:v>357582</c:v>
                </c:pt>
                <c:pt idx="11">
                  <c:v>357582</c:v>
                </c:pt>
                <c:pt idx="12">
                  <c:v>357582</c:v>
                </c:pt>
                <c:pt idx="13">
                  <c:v>357582</c:v>
                </c:pt>
                <c:pt idx="14">
                  <c:v>357582</c:v>
                </c:pt>
                <c:pt idx="15">
                  <c:v>357582</c:v>
                </c:pt>
                <c:pt idx="16">
                  <c:v>357582</c:v>
                </c:pt>
                <c:pt idx="17">
                  <c:v>357582</c:v>
                </c:pt>
                <c:pt idx="18">
                  <c:v>357582</c:v>
                </c:pt>
                <c:pt idx="19">
                  <c:v>357582</c:v>
                </c:pt>
                <c:pt idx="20">
                  <c:v>357582</c:v>
                </c:pt>
                <c:pt idx="21">
                  <c:v>357582</c:v>
                </c:pt>
                <c:pt idx="22">
                  <c:v>357582</c:v>
                </c:pt>
                <c:pt idx="23">
                  <c:v>357582</c:v>
                </c:pt>
                <c:pt idx="24">
                  <c:v>357582</c:v>
                </c:pt>
                <c:pt idx="25">
                  <c:v>357582</c:v>
                </c:pt>
                <c:pt idx="26">
                  <c:v>357582</c:v>
                </c:pt>
                <c:pt idx="27">
                  <c:v>357582</c:v>
                </c:pt>
                <c:pt idx="28">
                  <c:v>357582</c:v>
                </c:pt>
                <c:pt idx="29">
                  <c:v>357582</c:v>
                </c:pt>
                <c:pt idx="30">
                  <c:v>357582</c:v>
                </c:pt>
                <c:pt idx="31">
                  <c:v>357582</c:v>
                </c:pt>
                <c:pt idx="32">
                  <c:v>357582</c:v>
                </c:pt>
                <c:pt idx="33">
                  <c:v>357582</c:v>
                </c:pt>
                <c:pt idx="34">
                  <c:v>357582</c:v>
                </c:pt>
                <c:pt idx="35">
                  <c:v>357582</c:v>
                </c:pt>
                <c:pt idx="36">
                  <c:v>357582</c:v>
                </c:pt>
                <c:pt idx="37">
                  <c:v>357582</c:v>
                </c:pt>
                <c:pt idx="38">
                  <c:v>357582</c:v>
                </c:pt>
                <c:pt idx="39">
                  <c:v>357582</c:v>
                </c:pt>
                <c:pt idx="40">
                  <c:v>357582</c:v>
                </c:pt>
                <c:pt idx="41">
                  <c:v>357582</c:v>
                </c:pt>
                <c:pt idx="42">
                  <c:v>357582</c:v>
                </c:pt>
                <c:pt idx="43">
                  <c:v>357582</c:v>
                </c:pt>
                <c:pt idx="44">
                  <c:v>357582</c:v>
                </c:pt>
                <c:pt idx="45">
                  <c:v>357582</c:v>
                </c:pt>
                <c:pt idx="46">
                  <c:v>357582</c:v>
                </c:pt>
                <c:pt idx="47">
                  <c:v>357582</c:v>
                </c:pt>
                <c:pt idx="48">
                  <c:v>357582</c:v>
                </c:pt>
                <c:pt idx="49">
                  <c:v>357582</c:v>
                </c:pt>
                <c:pt idx="50">
                  <c:v>357582</c:v>
                </c:pt>
                <c:pt idx="51">
                  <c:v>357582</c:v>
                </c:pt>
                <c:pt idx="52">
                  <c:v>357582</c:v>
                </c:pt>
                <c:pt idx="53">
                  <c:v>357582</c:v>
                </c:pt>
                <c:pt idx="54">
                  <c:v>357582</c:v>
                </c:pt>
                <c:pt idx="55">
                  <c:v>357582</c:v>
                </c:pt>
                <c:pt idx="56">
                  <c:v>357582</c:v>
                </c:pt>
                <c:pt idx="57">
                  <c:v>357582</c:v>
                </c:pt>
                <c:pt idx="58">
                  <c:v>357582</c:v>
                </c:pt>
                <c:pt idx="59">
                  <c:v>357582</c:v>
                </c:pt>
                <c:pt idx="60">
                  <c:v>357582</c:v>
                </c:pt>
                <c:pt idx="61">
                  <c:v>357582</c:v>
                </c:pt>
                <c:pt idx="62">
                  <c:v>357582</c:v>
                </c:pt>
                <c:pt idx="63">
                  <c:v>357582</c:v>
                </c:pt>
                <c:pt idx="64">
                  <c:v>357582</c:v>
                </c:pt>
                <c:pt idx="65">
                  <c:v>357582</c:v>
                </c:pt>
                <c:pt idx="66">
                  <c:v>357582</c:v>
                </c:pt>
                <c:pt idx="67">
                  <c:v>357582</c:v>
                </c:pt>
                <c:pt idx="68">
                  <c:v>357582</c:v>
                </c:pt>
                <c:pt idx="69">
                  <c:v>357582</c:v>
                </c:pt>
                <c:pt idx="70">
                  <c:v>357582</c:v>
                </c:pt>
                <c:pt idx="71">
                  <c:v>357582</c:v>
                </c:pt>
                <c:pt idx="72">
                  <c:v>357582</c:v>
                </c:pt>
                <c:pt idx="73">
                  <c:v>357582</c:v>
                </c:pt>
                <c:pt idx="74">
                  <c:v>357582</c:v>
                </c:pt>
                <c:pt idx="75">
                  <c:v>357582</c:v>
                </c:pt>
                <c:pt idx="76">
                  <c:v>357582</c:v>
                </c:pt>
                <c:pt idx="77">
                  <c:v>357582</c:v>
                </c:pt>
                <c:pt idx="78">
                  <c:v>357582</c:v>
                </c:pt>
                <c:pt idx="79">
                  <c:v>357582</c:v>
                </c:pt>
                <c:pt idx="80">
                  <c:v>357582</c:v>
                </c:pt>
                <c:pt idx="81">
                  <c:v>357582</c:v>
                </c:pt>
                <c:pt idx="82">
                  <c:v>357582</c:v>
                </c:pt>
                <c:pt idx="83">
                  <c:v>357582</c:v>
                </c:pt>
                <c:pt idx="84">
                  <c:v>357582</c:v>
                </c:pt>
                <c:pt idx="85">
                  <c:v>357582</c:v>
                </c:pt>
                <c:pt idx="86">
                  <c:v>357582</c:v>
                </c:pt>
                <c:pt idx="87">
                  <c:v>357582</c:v>
                </c:pt>
                <c:pt idx="88">
                  <c:v>357582</c:v>
                </c:pt>
                <c:pt idx="89">
                  <c:v>357582</c:v>
                </c:pt>
                <c:pt idx="90">
                  <c:v>357582</c:v>
                </c:pt>
                <c:pt idx="91">
                  <c:v>357582</c:v>
                </c:pt>
                <c:pt idx="92">
                  <c:v>357582</c:v>
                </c:pt>
                <c:pt idx="93">
                  <c:v>357582</c:v>
                </c:pt>
                <c:pt idx="94">
                  <c:v>357582</c:v>
                </c:pt>
                <c:pt idx="95">
                  <c:v>357582</c:v>
                </c:pt>
                <c:pt idx="96">
                  <c:v>357582</c:v>
                </c:pt>
                <c:pt idx="97">
                  <c:v>357582</c:v>
                </c:pt>
                <c:pt idx="98">
                  <c:v>357582</c:v>
                </c:pt>
                <c:pt idx="99">
                  <c:v>357582</c:v>
                </c:pt>
                <c:pt idx="100">
                  <c:v>357582</c:v>
                </c:pt>
                <c:pt idx="101">
                  <c:v>357582</c:v>
                </c:pt>
                <c:pt idx="102">
                  <c:v>357582</c:v>
                </c:pt>
                <c:pt idx="103">
                  <c:v>357582</c:v>
                </c:pt>
                <c:pt idx="104">
                  <c:v>357582</c:v>
                </c:pt>
                <c:pt idx="105">
                  <c:v>357582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A3-4E40-BC33-428D4D3EB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500176"/>
        <c:axId val="1720502096"/>
      </c:lineChart>
      <c:dateAx>
        <c:axId val="1720500176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2096"/>
        <c:crosses val="autoZero"/>
        <c:auto val="1"/>
        <c:lblOffset val="100"/>
        <c:baseTimeUnit val="days"/>
      </c:dateAx>
      <c:valAx>
        <c:axId val="1720502096"/>
        <c:scaling>
          <c:orientation val="minMax"/>
          <c:max val="400000"/>
          <c:min val="-100000"/>
        </c:scaling>
        <c:delete val="0"/>
        <c:axPos val="l"/>
        <c:majorGridlines>
          <c:spPr>
            <a:ln w="3175" cap="flat" cmpd="sng" algn="ctr">
              <a:solidFill>
                <a:srgbClr val="808080"/>
              </a:solidFill>
              <a:prstDash val="sysDash"/>
              <a:round/>
            </a:ln>
            <a:effectLst/>
          </c:spPr>
        </c:majorGridlines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0176"/>
        <c:crosses val="autoZero"/>
        <c:crossBetween val="between"/>
      </c:valAx>
      <c:spPr>
        <a:solidFill>
          <a:sysClr val="window" lastClr="FFFFFF">
            <a:lumMod val="95000"/>
          </a:sys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>
          <a:lumMod val="15000"/>
          <a:lumOff val="85000"/>
        </a:sysClr>
      </a:solidFill>
      <a:round/>
    </a:ln>
    <a:effectLst/>
  </c:spPr>
  <c:txPr>
    <a:bodyPr/>
    <a:lstStyle/>
    <a:p>
      <a:pPr>
        <a:defRPr sz="1400" b="0" i="0">
          <a:latin typeface="Arial"/>
          <a:ea typeface="Arial"/>
          <a:cs typeface="Arial"/>
        </a:defRPr>
      </a:pPr>
      <a:endParaRPr lang="en-US"/>
    </a:p>
  </c:txPr>
  <c:printSettings>
    <c:headerFooter/>
    <c:pageMargins b="1.1811023622047201" l="0.39370078740157499" r="0.39370078740157499" t="1.1811023622047201" header="0.3" footer="0.3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NZ"/>
              <a:t>Diesel Stocks</a:t>
            </a:r>
          </a:p>
        </c:rich>
      </c:tx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21806649168853"/>
          <c:y val="0.17777777777777778"/>
          <c:w val="0.77826224846894143"/>
          <c:h val="0.69181977252843385"/>
        </c:manualLayout>
      </c:layout>
      <c:lineChart>
        <c:grouping val="standard"/>
        <c:varyColors val="0"/>
        <c:ser>
          <c:idx val="3"/>
          <c:order val="0"/>
          <c:tx>
            <c:v>Diesel Stock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'[1]VAVA''U Daily Stock Report'!$G$4:$G$109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'[1]VAVA''U Daily Stock Report'!$P$4:$P$109</c:f>
              <c:numCache>
                <c:formatCode>#,##0_ ;\-#,##0\ </c:formatCode>
                <c:ptCount val="106"/>
                <c:pt idx="0">
                  <c:v>213744</c:v>
                </c:pt>
                <c:pt idx="1">
                  <c:v>208512</c:v>
                </c:pt>
                <c:pt idx="2">
                  <c:v>198105</c:v>
                </c:pt>
                <c:pt idx="3">
                  <c:v>194409</c:v>
                </c:pt>
                <c:pt idx="4">
                  <c:v>194409</c:v>
                </c:pt>
                <c:pt idx="5">
                  <c:v>194409</c:v>
                </c:pt>
                <c:pt idx="6">
                  <c:v>177520</c:v>
                </c:pt>
                <c:pt idx="7">
                  <c:v>172226</c:v>
                </c:pt>
                <c:pt idx="8">
                  <c:v>168786</c:v>
                </c:pt>
                <c:pt idx="9">
                  <c:v>164156</c:v>
                </c:pt>
                <c:pt idx="10">
                  <c:v>157835</c:v>
                </c:pt>
                <c:pt idx="11">
                  <c:v>157835</c:v>
                </c:pt>
                <c:pt idx="12">
                  <c:v>157835</c:v>
                </c:pt>
                <c:pt idx="13">
                  <c:v>151790</c:v>
                </c:pt>
                <c:pt idx="14">
                  <c:v>111464</c:v>
                </c:pt>
                <c:pt idx="15">
                  <c:v>111316</c:v>
                </c:pt>
                <c:pt idx="16">
                  <c:v>109381</c:v>
                </c:pt>
                <c:pt idx="17">
                  <c:v>109381</c:v>
                </c:pt>
                <c:pt idx="18">
                  <c:v>109381</c:v>
                </c:pt>
                <c:pt idx="19">
                  <c:v>109381</c:v>
                </c:pt>
                <c:pt idx="20">
                  <c:v>109381</c:v>
                </c:pt>
                <c:pt idx="21">
                  <c:v>103352.42857142857</c:v>
                </c:pt>
                <c:pt idx="22">
                  <c:v>97323.85714285713</c:v>
                </c:pt>
                <c:pt idx="23">
                  <c:v>91295.285714285696</c:v>
                </c:pt>
                <c:pt idx="24">
                  <c:v>85266.714285714261</c:v>
                </c:pt>
                <c:pt idx="25">
                  <c:v>79238.142857142826</c:v>
                </c:pt>
                <c:pt idx="26">
                  <c:v>73209.571428571391</c:v>
                </c:pt>
                <c:pt idx="27">
                  <c:v>67180.999999999956</c:v>
                </c:pt>
                <c:pt idx="28">
                  <c:v>61152.428571428529</c:v>
                </c:pt>
                <c:pt idx="29">
                  <c:v>55123.857142857101</c:v>
                </c:pt>
                <c:pt idx="30">
                  <c:v>49095.285714285674</c:v>
                </c:pt>
                <c:pt idx="31">
                  <c:v>43066.714285714246</c:v>
                </c:pt>
                <c:pt idx="32">
                  <c:v>37038.142857142819</c:v>
                </c:pt>
                <c:pt idx="33">
                  <c:v>31009.571428571391</c:v>
                </c:pt>
                <c:pt idx="34">
                  <c:v>24980.999999999964</c:v>
                </c:pt>
                <c:pt idx="35">
                  <c:v>18952.428571428536</c:v>
                </c:pt>
                <c:pt idx="36">
                  <c:v>12923.857142857109</c:v>
                </c:pt>
                <c:pt idx="37">
                  <c:v>6895.2857142856801</c:v>
                </c:pt>
                <c:pt idx="38">
                  <c:v>866.71428571425167</c:v>
                </c:pt>
                <c:pt idx="39">
                  <c:v>-5161.8571428571768</c:v>
                </c:pt>
                <c:pt idx="40">
                  <c:v>-11190.428571428605</c:v>
                </c:pt>
                <c:pt idx="41">
                  <c:v>-17219.000000000033</c:v>
                </c:pt>
                <c:pt idx="42">
                  <c:v>-23247.57142857146</c:v>
                </c:pt>
                <c:pt idx="43">
                  <c:v>-29276.142857142888</c:v>
                </c:pt>
                <c:pt idx="44">
                  <c:v>-35304.714285714319</c:v>
                </c:pt>
                <c:pt idx="45">
                  <c:v>-41333.285714285747</c:v>
                </c:pt>
                <c:pt idx="46">
                  <c:v>-47361.857142857174</c:v>
                </c:pt>
                <c:pt idx="47">
                  <c:v>-53390.428571428602</c:v>
                </c:pt>
                <c:pt idx="48">
                  <c:v>-59419.000000000029</c:v>
                </c:pt>
                <c:pt idx="49">
                  <c:v>-65447.571428571457</c:v>
                </c:pt>
                <c:pt idx="50">
                  <c:v>-71476.142857142884</c:v>
                </c:pt>
                <c:pt idx="51">
                  <c:v>-77504.714285714319</c:v>
                </c:pt>
                <c:pt idx="52">
                  <c:v>-83533.285714285754</c:v>
                </c:pt>
                <c:pt idx="53">
                  <c:v>-89561.857142857189</c:v>
                </c:pt>
                <c:pt idx="54">
                  <c:v>-95590.428571428623</c:v>
                </c:pt>
                <c:pt idx="55">
                  <c:v>-101619.00000000006</c:v>
                </c:pt>
                <c:pt idx="56">
                  <c:v>-107647.57142857149</c:v>
                </c:pt>
                <c:pt idx="57">
                  <c:v>-113676.14285714293</c:v>
                </c:pt>
                <c:pt idx="58">
                  <c:v>-119704.71428571436</c:v>
                </c:pt>
                <c:pt idx="59">
                  <c:v>-125733.2857142858</c:v>
                </c:pt>
                <c:pt idx="60">
                  <c:v>-131761.85714285722</c:v>
                </c:pt>
                <c:pt idx="61">
                  <c:v>-137790.42857142864</c:v>
                </c:pt>
                <c:pt idx="62">
                  <c:v>-143819.00000000006</c:v>
                </c:pt>
                <c:pt idx="63">
                  <c:v>-149847.57142857148</c:v>
                </c:pt>
                <c:pt idx="64">
                  <c:v>-155876.1428571429</c:v>
                </c:pt>
                <c:pt idx="65">
                  <c:v>-161904.71428571432</c:v>
                </c:pt>
                <c:pt idx="66">
                  <c:v>-167933.28571428574</c:v>
                </c:pt>
                <c:pt idx="67">
                  <c:v>-173961.85714285716</c:v>
                </c:pt>
                <c:pt idx="68">
                  <c:v>-179990.42857142858</c:v>
                </c:pt>
                <c:pt idx="69">
                  <c:v>-186019</c:v>
                </c:pt>
                <c:pt idx="70">
                  <c:v>-192047.57142857142</c:v>
                </c:pt>
                <c:pt idx="71">
                  <c:v>-198076.14285714284</c:v>
                </c:pt>
                <c:pt idx="72">
                  <c:v>-204104.71428571426</c:v>
                </c:pt>
                <c:pt idx="73">
                  <c:v>-210133.28571428568</c:v>
                </c:pt>
                <c:pt idx="74">
                  <c:v>-216161.8571428571</c:v>
                </c:pt>
                <c:pt idx="75">
                  <c:v>-222190.42857142852</c:v>
                </c:pt>
                <c:pt idx="76">
                  <c:v>-228218.99999999994</c:v>
                </c:pt>
                <c:pt idx="77">
                  <c:v>-234247.57142857136</c:v>
                </c:pt>
                <c:pt idx="78">
                  <c:v>-240276.14285714278</c:v>
                </c:pt>
                <c:pt idx="79">
                  <c:v>-246304.7142857142</c:v>
                </c:pt>
                <c:pt idx="80">
                  <c:v>-252333.28571428562</c:v>
                </c:pt>
                <c:pt idx="81">
                  <c:v>-258361.85714285704</c:v>
                </c:pt>
                <c:pt idx="82">
                  <c:v>-264390.42857142846</c:v>
                </c:pt>
                <c:pt idx="83">
                  <c:v>-270418.99999999988</c:v>
                </c:pt>
                <c:pt idx="84">
                  <c:v>-276447.5714285713</c:v>
                </c:pt>
                <c:pt idx="85">
                  <c:v>-282476.14285714272</c:v>
                </c:pt>
                <c:pt idx="86">
                  <c:v>-288504.71428571414</c:v>
                </c:pt>
                <c:pt idx="87">
                  <c:v>-294533.28571428556</c:v>
                </c:pt>
                <c:pt idx="88">
                  <c:v>-300561.85714285698</c:v>
                </c:pt>
                <c:pt idx="89">
                  <c:v>-306590.42857142841</c:v>
                </c:pt>
                <c:pt idx="90">
                  <c:v>-312618.99999999983</c:v>
                </c:pt>
                <c:pt idx="91">
                  <c:v>-318647.57142857125</c:v>
                </c:pt>
                <c:pt idx="92">
                  <c:v>-324676.14285714267</c:v>
                </c:pt>
                <c:pt idx="93">
                  <c:v>-330704.71428571409</c:v>
                </c:pt>
                <c:pt idx="94">
                  <c:v>-336733.28571428551</c:v>
                </c:pt>
                <c:pt idx="95">
                  <c:v>-342761.85714285693</c:v>
                </c:pt>
                <c:pt idx="96">
                  <c:v>-348790.42857142835</c:v>
                </c:pt>
                <c:pt idx="97">
                  <c:v>-354818.99999999977</c:v>
                </c:pt>
                <c:pt idx="98">
                  <c:v>-360847.57142857119</c:v>
                </c:pt>
                <c:pt idx="99">
                  <c:v>-366876.14285714261</c:v>
                </c:pt>
                <c:pt idx="100">
                  <c:v>-372904.71428571403</c:v>
                </c:pt>
                <c:pt idx="101">
                  <c:v>-378933.28571428545</c:v>
                </c:pt>
                <c:pt idx="102">
                  <c:v>-384961.85714285687</c:v>
                </c:pt>
                <c:pt idx="103">
                  <c:v>-390990.42857142829</c:v>
                </c:pt>
                <c:pt idx="104">
                  <c:v>-397018.99999999971</c:v>
                </c:pt>
                <c:pt idx="105">
                  <c:v>-403047.57142857113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14-4496-A193-8ED138C5F8C0}"/>
            </c:ext>
          </c:extLst>
        </c:ser>
        <c:ser>
          <c:idx val="0"/>
          <c:order val="1"/>
          <c:tx>
            <c:v>Min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'[1]VAVA''U Daily Stock Report'!$G$4:$G$109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'[1]VAVA''U Daily Stock Report'!$AB$4:$AB$109</c:f>
              <c:numCache>
                <c:formatCode>#,##0_ ;\-#,##0\ </c:formatCode>
                <c:ptCount val="106"/>
                <c:pt idx="0">
                  <c:v>16165</c:v>
                </c:pt>
                <c:pt idx="1">
                  <c:v>16165</c:v>
                </c:pt>
                <c:pt idx="2">
                  <c:v>16165</c:v>
                </c:pt>
                <c:pt idx="3">
                  <c:v>16165</c:v>
                </c:pt>
                <c:pt idx="4">
                  <c:v>16165</c:v>
                </c:pt>
                <c:pt idx="5">
                  <c:v>16165</c:v>
                </c:pt>
                <c:pt idx="6">
                  <c:v>16165</c:v>
                </c:pt>
                <c:pt idx="7">
                  <c:v>16165</c:v>
                </c:pt>
                <c:pt idx="8">
                  <c:v>16165</c:v>
                </c:pt>
                <c:pt idx="9">
                  <c:v>16165</c:v>
                </c:pt>
                <c:pt idx="10">
                  <c:v>16165</c:v>
                </c:pt>
                <c:pt idx="11">
                  <c:v>16165</c:v>
                </c:pt>
                <c:pt idx="12">
                  <c:v>16165</c:v>
                </c:pt>
                <c:pt idx="13">
                  <c:v>16165</c:v>
                </c:pt>
                <c:pt idx="14">
                  <c:v>16165</c:v>
                </c:pt>
                <c:pt idx="15">
                  <c:v>16165</c:v>
                </c:pt>
                <c:pt idx="16">
                  <c:v>16165</c:v>
                </c:pt>
                <c:pt idx="17">
                  <c:v>16165</c:v>
                </c:pt>
                <c:pt idx="18">
                  <c:v>16165</c:v>
                </c:pt>
                <c:pt idx="19">
                  <c:v>16165</c:v>
                </c:pt>
                <c:pt idx="20">
                  <c:v>16165</c:v>
                </c:pt>
                <c:pt idx="21">
                  <c:v>16165</c:v>
                </c:pt>
                <c:pt idx="22">
                  <c:v>16165</c:v>
                </c:pt>
                <c:pt idx="23">
                  <c:v>16165</c:v>
                </c:pt>
                <c:pt idx="24">
                  <c:v>16165</c:v>
                </c:pt>
                <c:pt idx="25">
                  <c:v>16165</c:v>
                </c:pt>
                <c:pt idx="26">
                  <c:v>16165</c:v>
                </c:pt>
                <c:pt idx="27">
                  <c:v>16165</c:v>
                </c:pt>
                <c:pt idx="28">
                  <c:v>16165</c:v>
                </c:pt>
                <c:pt idx="29">
                  <c:v>16165</c:v>
                </c:pt>
                <c:pt idx="30">
                  <c:v>16165</c:v>
                </c:pt>
                <c:pt idx="31">
                  <c:v>16165</c:v>
                </c:pt>
                <c:pt idx="32">
                  <c:v>16165</c:v>
                </c:pt>
                <c:pt idx="33">
                  <c:v>16165</c:v>
                </c:pt>
                <c:pt idx="34">
                  <c:v>16165</c:v>
                </c:pt>
                <c:pt idx="35">
                  <c:v>16165</c:v>
                </c:pt>
                <c:pt idx="36">
                  <c:v>16165</c:v>
                </c:pt>
                <c:pt idx="37">
                  <c:v>16165</c:v>
                </c:pt>
                <c:pt idx="38">
                  <c:v>16165</c:v>
                </c:pt>
                <c:pt idx="39">
                  <c:v>16165</c:v>
                </c:pt>
                <c:pt idx="40">
                  <c:v>16165</c:v>
                </c:pt>
                <c:pt idx="41">
                  <c:v>16165</c:v>
                </c:pt>
                <c:pt idx="42">
                  <c:v>16165</c:v>
                </c:pt>
                <c:pt idx="43">
                  <c:v>16165</c:v>
                </c:pt>
                <c:pt idx="44">
                  <c:v>16165</c:v>
                </c:pt>
                <c:pt idx="45">
                  <c:v>16165</c:v>
                </c:pt>
                <c:pt idx="46">
                  <c:v>16165</c:v>
                </c:pt>
                <c:pt idx="47">
                  <c:v>16165</c:v>
                </c:pt>
                <c:pt idx="48">
                  <c:v>16165</c:v>
                </c:pt>
                <c:pt idx="49">
                  <c:v>16165</c:v>
                </c:pt>
                <c:pt idx="50">
                  <c:v>16165</c:v>
                </c:pt>
                <c:pt idx="51">
                  <c:v>16165</c:v>
                </c:pt>
                <c:pt idx="52">
                  <c:v>16165</c:v>
                </c:pt>
                <c:pt idx="53">
                  <c:v>16165</c:v>
                </c:pt>
                <c:pt idx="54">
                  <c:v>16165</c:v>
                </c:pt>
                <c:pt idx="55">
                  <c:v>16165</c:v>
                </c:pt>
                <c:pt idx="56">
                  <c:v>16165</c:v>
                </c:pt>
                <c:pt idx="57">
                  <c:v>16165</c:v>
                </c:pt>
                <c:pt idx="58">
                  <c:v>16165</c:v>
                </c:pt>
                <c:pt idx="59">
                  <c:v>16165</c:v>
                </c:pt>
                <c:pt idx="60">
                  <c:v>16165</c:v>
                </c:pt>
                <c:pt idx="61">
                  <c:v>16165</c:v>
                </c:pt>
                <c:pt idx="62">
                  <c:v>16165</c:v>
                </c:pt>
                <c:pt idx="63">
                  <c:v>16165</c:v>
                </c:pt>
                <c:pt idx="64">
                  <c:v>16165</c:v>
                </c:pt>
                <c:pt idx="65">
                  <c:v>16165</c:v>
                </c:pt>
                <c:pt idx="66">
                  <c:v>16165</c:v>
                </c:pt>
                <c:pt idx="67">
                  <c:v>16165</c:v>
                </c:pt>
                <c:pt idx="68">
                  <c:v>16165</c:v>
                </c:pt>
                <c:pt idx="69">
                  <c:v>16165</c:v>
                </c:pt>
                <c:pt idx="70">
                  <c:v>16165</c:v>
                </c:pt>
                <c:pt idx="71">
                  <c:v>16165</c:v>
                </c:pt>
                <c:pt idx="72">
                  <c:v>16165</c:v>
                </c:pt>
                <c:pt idx="73">
                  <c:v>16165</c:v>
                </c:pt>
                <c:pt idx="74">
                  <c:v>16165</c:v>
                </c:pt>
                <c:pt idx="75">
                  <c:v>16165</c:v>
                </c:pt>
                <c:pt idx="76">
                  <c:v>16165</c:v>
                </c:pt>
                <c:pt idx="77">
                  <c:v>16165</c:v>
                </c:pt>
                <c:pt idx="78">
                  <c:v>16165</c:v>
                </c:pt>
                <c:pt idx="79">
                  <c:v>16165</c:v>
                </c:pt>
                <c:pt idx="80">
                  <c:v>16165</c:v>
                </c:pt>
                <c:pt idx="81">
                  <c:v>16165</c:v>
                </c:pt>
                <c:pt idx="82">
                  <c:v>16165</c:v>
                </c:pt>
                <c:pt idx="83">
                  <c:v>16165</c:v>
                </c:pt>
                <c:pt idx="84">
                  <c:v>16165</c:v>
                </c:pt>
                <c:pt idx="85">
                  <c:v>16165</c:v>
                </c:pt>
                <c:pt idx="86">
                  <c:v>16165</c:v>
                </c:pt>
                <c:pt idx="87">
                  <c:v>16165</c:v>
                </c:pt>
                <c:pt idx="88">
                  <c:v>16165</c:v>
                </c:pt>
                <c:pt idx="89">
                  <c:v>16165</c:v>
                </c:pt>
                <c:pt idx="90">
                  <c:v>16165</c:v>
                </c:pt>
                <c:pt idx="91">
                  <c:v>16165</c:v>
                </c:pt>
                <c:pt idx="92">
                  <c:v>16165</c:v>
                </c:pt>
                <c:pt idx="93">
                  <c:v>16165</c:v>
                </c:pt>
                <c:pt idx="94">
                  <c:v>16165</c:v>
                </c:pt>
                <c:pt idx="95">
                  <c:v>16165</c:v>
                </c:pt>
                <c:pt idx="96">
                  <c:v>16165</c:v>
                </c:pt>
                <c:pt idx="97">
                  <c:v>16165</c:v>
                </c:pt>
                <c:pt idx="98">
                  <c:v>16165</c:v>
                </c:pt>
                <c:pt idx="99">
                  <c:v>16165</c:v>
                </c:pt>
                <c:pt idx="100">
                  <c:v>16165</c:v>
                </c:pt>
                <c:pt idx="101">
                  <c:v>16165</c:v>
                </c:pt>
                <c:pt idx="102">
                  <c:v>16165</c:v>
                </c:pt>
                <c:pt idx="103">
                  <c:v>16165</c:v>
                </c:pt>
                <c:pt idx="104">
                  <c:v>16165</c:v>
                </c:pt>
                <c:pt idx="105">
                  <c:v>16165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14-4496-A193-8ED138C5F8C0}"/>
            </c:ext>
          </c:extLst>
        </c:ser>
        <c:ser>
          <c:idx val="1"/>
          <c:order val="2"/>
          <c:tx>
            <c:v>Max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'[1]VAVA''U Daily Stock Report'!$G$4:$G$109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'[1]VAVA''U Daily Stock Report'!$AC$4:$AC$109</c:f>
              <c:numCache>
                <c:formatCode>#,##0_ ;\-#,##0\ </c:formatCode>
                <c:ptCount val="106"/>
                <c:pt idx="0">
                  <c:v>289500</c:v>
                </c:pt>
                <c:pt idx="1">
                  <c:v>289500</c:v>
                </c:pt>
                <c:pt idx="2">
                  <c:v>289500</c:v>
                </c:pt>
                <c:pt idx="3">
                  <c:v>289500</c:v>
                </c:pt>
                <c:pt idx="4">
                  <c:v>289500</c:v>
                </c:pt>
                <c:pt idx="5">
                  <c:v>289500</c:v>
                </c:pt>
                <c:pt idx="6">
                  <c:v>289500</c:v>
                </c:pt>
                <c:pt idx="7">
                  <c:v>289500</c:v>
                </c:pt>
                <c:pt idx="8">
                  <c:v>289500</c:v>
                </c:pt>
                <c:pt idx="9">
                  <c:v>289500</c:v>
                </c:pt>
                <c:pt idx="10">
                  <c:v>289500</c:v>
                </c:pt>
                <c:pt idx="11">
                  <c:v>289500</c:v>
                </c:pt>
                <c:pt idx="12">
                  <c:v>289500</c:v>
                </c:pt>
                <c:pt idx="13">
                  <c:v>289500</c:v>
                </c:pt>
                <c:pt idx="14">
                  <c:v>289500</c:v>
                </c:pt>
                <c:pt idx="15">
                  <c:v>289500</c:v>
                </c:pt>
                <c:pt idx="16">
                  <c:v>289500</c:v>
                </c:pt>
                <c:pt idx="17">
                  <c:v>289500</c:v>
                </c:pt>
                <c:pt idx="18">
                  <c:v>289500</c:v>
                </c:pt>
                <c:pt idx="19">
                  <c:v>289500</c:v>
                </c:pt>
                <c:pt idx="20">
                  <c:v>289500</c:v>
                </c:pt>
                <c:pt idx="21">
                  <c:v>289500</c:v>
                </c:pt>
                <c:pt idx="22">
                  <c:v>289500</c:v>
                </c:pt>
                <c:pt idx="23">
                  <c:v>289500</c:v>
                </c:pt>
                <c:pt idx="24">
                  <c:v>289500</c:v>
                </c:pt>
                <c:pt idx="25">
                  <c:v>289500</c:v>
                </c:pt>
                <c:pt idx="26">
                  <c:v>289500</c:v>
                </c:pt>
                <c:pt idx="27">
                  <c:v>289500</c:v>
                </c:pt>
                <c:pt idx="28">
                  <c:v>289500</c:v>
                </c:pt>
                <c:pt idx="29">
                  <c:v>289500</c:v>
                </c:pt>
                <c:pt idx="30">
                  <c:v>289500</c:v>
                </c:pt>
                <c:pt idx="31">
                  <c:v>289500</c:v>
                </c:pt>
                <c:pt idx="32">
                  <c:v>289500</c:v>
                </c:pt>
                <c:pt idx="33">
                  <c:v>289500</c:v>
                </c:pt>
                <c:pt idx="34">
                  <c:v>289500</c:v>
                </c:pt>
                <c:pt idx="35">
                  <c:v>289500</c:v>
                </c:pt>
                <c:pt idx="36">
                  <c:v>289500</c:v>
                </c:pt>
                <c:pt idx="37">
                  <c:v>289500</c:v>
                </c:pt>
                <c:pt idx="38">
                  <c:v>289500</c:v>
                </c:pt>
                <c:pt idx="39">
                  <c:v>289500</c:v>
                </c:pt>
                <c:pt idx="40">
                  <c:v>289500</c:v>
                </c:pt>
                <c:pt idx="41">
                  <c:v>289500</c:v>
                </c:pt>
                <c:pt idx="42">
                  <c:v>289500</c:v>
                </c:pt>
                <c:pt idx="43">
                  <c:v>289500</c:v>
                </c:pt>
                <c:pt idx="44">
                  <c:v>289500</c:v>
                </c:pt>
                <c:pt idx="45">
                  <c:v>289500</c:v>
                </c:pt>
                <c:pt idx="46">
                  <c:v>289500</c:v>
                </c:pt>
                <c:pt idx="47">
                  <c:v>289500</c:v>
                </c:pt>
                <c:pt idx="48">
                  <c:v>289500</c:v>
                </c:pt>
                <c:pt idx="49">
                  <c:v>289500</c:v>
                </c:pt>
                <c:pt idx="50">
                  <c:v>289500</c:v>
                </c:pt>
                <c:pt idx="51">
                  <c:v>289500</c:v>
                </c:pt>
                <c:pt idx="52">
                  <c:v>289500</c:v>
                </c:pt>
                <c:pt idx="53">
                  <c:v>289500</c:v>
                </c:pt>
                <c:pt idx="54">
                  <c:v>289500</c:v>
                </c:pt>
                <c:pt idx="55">
                  <c:v>289500</c:v>
                </c:pt>
                <c:pt idx="56">
                  <c:v>289500</c:v>
                </c:pt>
                <c:pt idx="57">
                  <c:v>289500</c:v>
                </c:pt>
                <c:pt idx="58">
                  <c:v>289500</c:v>
                </c:pt>
                <c:pt idx="59">
                  <c:v>289500</c:v>
                </c:pt>
                <c:pt idx="60">
                  <c:v>289500</c:v>
                </c:pt>
                <c:pt idx="61">
                  <c:v>289500</c:v>
                </c:pt>
                <c:pt idx="62">
                  <c:v>289500</c:v>
                </c:pt>
                <c:pt idx="63">
                  <c:v>289500</c:v>
                </c:pt>
                <c:pt idx="64">
                  <c:v>289500</c:v>
                </c:pt>
                <c:pt idx="65">
                  <c:v>289500</c:v>
                </c:pt>
                <c:pt idx="66">
                  <c:v>289500</c:v>
                </c:pt>
                <c:pt idx="67">
                  <c:v>289500</c:v>
                </c:pt>
                <c:pt idx="68">
                  <c:v>289500</c:v>
                </c:pt>
                <c:pt idx="69">
                  <c:v>289500</c:v>
                </c:pt>
                <c:pt idx="70">
                  <c:v>289500</c:v>
                </c:pt>
                <c:pt idx="71">
                  <c:v>289500</c:v>
                </c:pt>
                <c:pt idx="72">
                  <c:v>289500</c:v>
                </c:pt>
                <c:pt idx="73">
                  <c:v>289500</c:v>
                </c:pt>
                <c:pt idx="74">
                  <c:v>289500</c:v>
                </c:pt>
                <c:pt idx="75">
                  <c:v>289500</c:v>
                </c:pt>
                <c:pt idx="76">
                  <c:v>289500</c:v>
                </c:pt>
                <c:pt idx="77">
                  <c:v>289500</c:v>
                </c:pt>
                <c:pt idx="78">
                  <c:v>289500</c:v>
                </c:pt>
                <c:pt idx="79">
                  <c:v>289500</c:v>
                </c:pt>
                <c:pt idx="80">
                  <c:v>289500</c:v>
                </c:pt>
                <c:pt idx="81">
                  <c:v>289500</c:v>
                </c:pt>
                <c:pt idx="82">
                  <c:v>289500</c:v>
                </c:pt>
                <c:pt idx="83">
                  <c:v>289500</c:v>
                </c:pt>
                <c:pt idx="84">
                  <c:v>289500</c:v>
                </c:pt>
                <c:pt idx="85">
                  <c:v>289500</c:v>
                </c:pt>
                <c:pt idx="86">
                  <c:v>289500</c:v>
                </c:pt>
                <c:pt idx="87">
                  <c:v>289500</c:v>
                </c:pt>
                <c:pt idx="88">
                  <c:v>289500</c:v>
                </c:pt>
                <c:pt idx="89">
                  <c:v>289500</c:v>
                </c:pt>
                <c:pt idx="90">
                  <c:v>289500</c:v>
                </c:pt>
                <c:pt idx="91">
                  <c:v>289500</c:v>
                </c:pt>
                <c:pt idx="92">
                  <c:v>289500</c:v>
                </c:pt>
                <c:pt idx="93">
                  <c:v>289500</c:v>
                </c:pt>
                <c:pt idx="94">
                  <c:v>289500</c:v>
                </c:pt>
                <c:pt idx="95">
                  <c:v>289500</c:v>
                </c:pt>
                <c:pt idx="96">
                  <c:v>289500</c:v>
                </c:pt>
                <c:pt idx="97">
                  <c:v>289500</c:v>
                </c:pt>
                <c:pt idx="98">
                  <c:v>289500</c:v>
                </c:pt>
                <c:pt idx="99">
                  <c:v>289500</c:v>
                </c:pt>
                <c:pt idx="100">
                  <c:v>289500</c:v>
                </c:pt>
                <c:pt idx="101">
                  <c:v>289500</c:v>
                </c:pt>
                <c:pt idx="102">
                  <c:v>289500</c:v>
                </c:pt>
                <c:pt idx="103">
                  <c:v>289500</c:v>
                </c:pt>
                <c:pt idx="104">
                  <c:v>289500</c:v>
                </c:pt>
                <c:pt idx="105">
                  <c:v>289500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14-4496-A193-8ED138C5F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500176"/>
        <c:axId val="1720502096"/>
      </c:lineChart>
      <c:dateAx>
        <c:axId val="1720500176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2096"/>
        <c:crosses val="autoZero"/>
        <c:auto val="1"/>
        <c:lblOffset val="100"/>
        <c:baseTimeUnit val="days"/>
      </c:dateAx>
      <c:valAx>
        <c:axId val="1720502096"/>
        <c:scaling>
          <c:orientation val="minMax"/>
          <c:min val="-50000"/>
        </c:scaling>
        <c:delete val="0"/>
        <c:axPos val="l"/>
        <c:majorGridlines>
          <c:spPr>
            <a:ln w="3175" cap="flat" cmpd="sng" algn="ctr">
              <a:solidFill>
                <a:srgbClr val="808080"/>
              </a:solidFill>
              <a:prstDash val="sysDash"/>
              <a:round/>
            </a:ln>
            <a:effectLst/>
          </c:spPr>
        </c:majorGridlines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0176"/>
        <c:crosses val="autoZero"/>
        <c:crossBetween val="between"/>
      </c:valAx>
      <c:spPr>
        <a:solidFill>
          <a:sysClr val="window" lastClr="FFFFFF">
            <a:lumMod val="95000"/>
          </a:sys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>
          <a:lumMod val="15000"/>
          <a:lumOff val="85000"/>
        </a:sysClr>
      </a:solidFill>
      <a:round/>
    </a:ln>
    <a:effectLst/>
  </c:spPr>
  <c:txPr>
    <a:bodyPr/>
    <a:lstStyle/>
    <a:p>
      <a:pPr>
        <a:defRPr sz="1400" b="0" i="0">
          <a:latin typeface="Arial"/>
          <a:ea typeface="Arial"/>
          <a:cs typeface="Arial"/>
        </a:defRPr>
      </a:pPr>
      <a:endParaRPr lang="en-US"/>
    </a:p>
  </c:txPr>
  <c:printSettings>
    <c:headerFooter/>
    <c:pageMargins b="1.1811023622047201" l="0.39370078740157499" r="0.39370078740157499" t="1.1811023622047201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590550</xdr:colOff>
      <xdr:row>8</xdr:row>
      <xdr:rowOff>76200</xdr:rowOff>
    </xdr:from>
    <xdr:to>
      <xdr:col>28</xdr:col>
      <xdr:colOff>552450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52CF4D-BDD5-4D78-90EC-0DBCFD0050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609600</xdr:colOff>
      <xdr:row>20</xdr:row>
      <xdr:rowOff>95250</xdr:rowOff>
    </xdr:from>
    <xdr:to>
      <xdr:col>28</xdr:col>
      <xdr:colOff>571500</xdr:colOff>
      <xdr:row>32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026947-EB02-4F3A-84B7-607B581BA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590550</xdr:colOff>
      <xdr:row>4</xdr:row>
      <xdr:rowOff>76200</xdr:rowOff>
    </xdr:from>
    <xdr:to>
      <xdr:col>23</xdr:col>
      <xdr:colOff>552450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C08C02-A11B-45B8-8059-24A6B8D4D2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609600</xdr:colOff>
      <xdr:row>16</xdr:row>
      <xdr:rowOff>95250</xdr:rowOff>
    </xdr:from>
    <xdr:to>
      <xdr:col>23</xdr:col>
      <xdr:colOff>571500</xdr:colOff>
      <xdr:row>28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C05934-2277-47BB-9734-6659CF6DD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db74d578bbeeb88/1-NTU-Tonga/DoE/Petroleum/Emergency-response/Copy%20of%20Daily%20stock%20report%20-%20Pacific%20Energy.xlsx" TargetMode="External"/><Relationship Id="rId1" Type="http://schemas.openxmlformats.org/officeDocument/2006/relationships/externalLinkPath" Target="Copy%20of%20Daily%20stock%20report%20-%20Pacific%20Energ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NGATAPU Daily Stock Report"/>
      <sheetName val="VAVA'U Daily Stock Report"/>
    </sheetNames>
    <sheetDataSet>
      <sheetData sheetId="0">
        <row r="4">
          <cell r="H4">
            <v>46098</v>
          </cell>
          <cell r="Q4">
            <v>760533</v>
          </cell>
          <cell r="S4">
            <v>634040</v>
          </cell>
          <cell r="AE4">
            <v>47000</v>
          </cell>
          <cell r="AF4">
            <v>1223106</v>
          </cell>
          <cell r="AG4">
            <v>45000</v>
          </cell>
          <cell r="AH4">
            <v>858361</v>
          </cell>
        </row>
        <row r="5">
          <cell r="H5">
            <v>46099</v>
          </cell>
          <cell r="Q5">
            <v>690540</v>
          </cell>
          <cell r="S5">
            <v>578425</v>
          </cell>
          <cell r="AE5">
            <v>47000</v>
          </cell>
          <cell r="AF5">
            <v>1223106</v>
          </cell>
          <cell r="AG5">
            <v>45000</v>
          </cell>
          <cell r="AH5">
            <v>858361</v>
          </cell>
        </row>
        <row r="6">
          <cell r="H6">
            <v>46100</v>
          </cell>
          <cell r="Q6">
            <v>615514</v>
          </cell>
          <cell r="S6">
            <v>491946</v>
          </cell>
          <cell r="AE6">
            <v>47000</v>
          </cell>
          <cell r="AF6">
            <v>1223106</v>
          </cell>
          <cell r="AG6">
            <v>45000</v>
          </cell>
          <cell r="AH6">
            <v>858361</v>
          </cell>
        </row>
        <row r="7">
          <cell r="H7">
            <v>46101</v>
          </cell>
          <cell r="Q7">
            <v>500273</v>
          </cell>
          <cell r="S7">
            <v>424838</v>
          </cell>
          <cell r="AE7">
            <v>47000</v>
          </cell>
          <cell r="AF7">
            <v>1223106</v>
          </cell>
          <cell r="AG7">
            <v>45000</v>
          </cell>
          <cell r="AH7">
            <v>858361</v>
          </cell>
        </row>
        <row r="8">
          <cell r="H8">
            <v>46102</v>
          </cell>
          <cell r="Q8">
            <v>500273</v>
          </cell>
          <cell r="S8">
            <v>424838</v>
          </cell>
          <cell r="AE8">
            <v>47000</v>
          </cell>
          <cell r="AF8">
            <v>1223106</v>
          </cell>
          <cell r="AG8">
            <v>45000</v>
          </cell>
          <cell r="AH8">
            <v>858361</v>
          </cell>
        </row>
        <row r="9">
          <cell r="H9">
            <v>46103</v>
          </cell>
          <cell r="Q9">
            <v>500273</v>
          </cell>
          <cell r="S9">
            <v>424838</v>
          </cell>
          <cell r="AE9">
            <v>47000</v>
          </cell>
          <cell r="AF9">
            <v>1223106</v>
          </cell>
          <cell r="AG9">
            <v>45000</v>
          </cell>
          <cell r="AH9">
            <v>858361</v>
          </cell>
        </row>
        <row r="10">
          <cell r="H10">
            <v>46104</v>
          </cell>
          <cell r="Q10">
            <v>400940</v>
          </cell>
          <cell r="S10">
            <v>376262</v>
          </cell>
          <cell r="AE10">
            <v>47000</v>
          </cell>
          <cell r="AF10">
            <v>1223106</v>
          </cell>
          <cell r="AG10">
            <v>45000</v>
          </cell>
          <cell r="AH10">
            <v>858361</v>
          </cell>
        </row>
        <row r="11">
          <cell r="H11">
            <v>46105</v>
          </cell>
          <cell r="Q11">
            <v>341003</v>
          </cell>
          <cell r="S11">
            <v>348535</v>
          </cell>
          <cell r="AE11">
            <v>47000</v>
          </cell>
          <cell r="AF11">
            <v>1223106</v>
          </cell>
          <cell r="AG11">
            <v>45000</v>
          </cell>
          <cell r="AH11">
            <v>858361</v>
          </cell>
        </row>
        <row r="12">
          <cell r="H12">
            <v>46106</v>
          </cell>
          <cell r="Q12">
            <v>289512</v>
          </cell>
          <cell r="S12">
            <v>318704</v>
          </cell>
          <cell r="AE12">
            <v>47000</v>
          </cell>
          <cell r="AF12">
            <v>1223106</v>
          </cell>
          <cell r="AG12">
            <v>45000</v>
          </cell>
          <cell r="AH12">
            <v>858361</v>
          </cell>
        </row>
        <row r="13">
          <cell r="H13">
            <v>46107</v>
          </cell>
          <cell r="Q13">
            <v>226543</v>
          </cell>
          <cell r="S13">
            <v>281351</v>
          </cell>
          <cell r="AE13">
            <v>47000</v>
          </cell>
          <cell r="AF13">
            <v>1223106</v>
          </cell>
          <cell r="AG13">
            <v>45000</v>
          </cell>
          <cell r="AH13">
            <v>858361</v>
          </cell>
        </row>
        <row r="14">
          <cell r="H14">
            <v>46108</v>
          </cell>
          <cell r="Q14">
            <v>965601</v>
          </cell>
          <cell r="S14">
            <v>639390</v>
          </cell>
          <cell r="AE14">
            <v>47000</v>
          </cell>
          <cell r="AF14">
            <v>1223106</v>
          </cell>
          <cell r="AG14">
            <v>45000</v>
          </cell>
          <cell r="AH14">
            <v>858361</v>
          </cell>
        </row>
        <row r="15">
          <cell r="H15">
            <v>46109</v>
          </cell>
          <cell r="Q15">
            <v>965601</v>
          </cell>
          <cell r="S15">
            <v>639390</v>
          </cell>
          <cell r="AE15">
            <v>47000</v>
          </cell>
          <cell r="AF15">
            <v>1223106</v>
          </cell>
          <cell r="AG15">
            <v>45000</v>
          </cell>
          <cell r="AH15">
            <v>858361</v>
          </cell>
        </row>
        <row r="16">
          <cell r="H16">
            <v>46110</v>
          </cell>
          <cell r="Q16">
            <v>965601</v>
          </cell>
          <cell r="S16">
            <v>639390</v>
          </cell>
          <cell r="AE16">
            <v>47000</v>
          </cell>
          <cell r="AF16">
            <v>1223106</v>
          </cell>
          <cell r="AG16">
            <v>45000</v>
          </cell>
          <cell r="AH16">
            <v>858361</v>
          </cell>
        </row>
        <row r="17">
          <cell r="H17">
            <v>46111</v>
          </cell>
          <cell r="Q17">
            <v>794190</v>
          </cell>
          <cell r="S17">
            <v>515573</v>
          </cell>
          <cell r="AE17">
            <v>47000</v>
          </cell>
          <cell r="AF17">
            <v>1223106</v>
          </cell>
          <cell r="AG17">
            <v>45000</v>
          </cell>
          <cell r="AH17">
            <v>858361</v>
          </cell>
        </row>
        <row r="18">
          <cell r="H18">
            <v>46112</v>
          </cell>
          <cell r="Q18">
            <v>634730</v>
          </cell>
          <cell r="S18">
            <v>358173</v>
          </cell>
          <cell r="AE18">
            <v>47000</v>
          </cell>
          <cell r="AF18">
            <v>1223106</v>
          </cell>
          <cell r="AG18">
            <v>45000</v>
          </cell>
          <cell r="AH18">
            <v>858361</v>
          </cell>
        </row>
        <row r="19">
          <cell r="H19">
            <v>46113</v>
          </cell>
          <cell r="Q19">
            <v>628492</v>
          </cell>
          <cell r="S19">
            <v>348251</v>
          </cell>
          <cell r="AE19">
            <v>47000</v>
          </cell>
          <cell r="AF19">
            <v>1223106</v>
          </cell>
          <cell r="AG19">
            <v>45000</v>
          </cell>
          <cell r="AH19">
            <v>858361</v>
          </cell>
        </row>
        <row r="20">
          <cell r="H20">
            <v>46114</v>
          </cell>
          <cell r="Q20">
            <v>500125</v>
          </cell>
          <cell r="S20">
            <v>313734</v>
          </cell>
          <cell r="AE20">
            <v>47000</v>
          </cell>
          <cell r="AF20">
            <v>1223106</v>
          </cell>
          <cell r="AG20">
            <v>45000</v>
          </cell>
          <cell r="AH20">
            <v>858361</v>
          </cell>
        </row>
        <row r="21">
          <cell r="H21">
            <v>46115</v>
          </cell>
          <cell r="Q21">
            <v>500125</v>
          </cell>
          <cell r="S21">
            <v>313734</v>
          </cell>
          <cell r="AE21">
            <v>47000</v>
          </cell>
          <cell r="AF21">
            <v>1223106</v>
          </cell>
          <cell r="AG21">
            <v>45000</v>
          </cell>
          <cell r="AH21">
            <v>858361</v>
          </cell>
        </row>
        <row r="22">
          <cell r="H22">
            <v>46116</v>
          </cell>
          <cell r="Q22">
            <v>500125</v>
          </cell>
          <cell r="S22">
            <v>313734</v>
          </cell>
          <cell r="AE22">
            <v>47000</v>
          </cell>
          <cell r="AF22">
            <v>1223106</v>
          </cell>
          <cell r="AG22">
            <v>45000</v>
          </cell>
          <cell r="AH22">
            <v>858361</v>
          </cell>
        </row>
        <row r="23">
          <cell r="H23">
            <v>46117</v>
          </cell>
          <cell r="Q23">
            <v>500125</v>
          </cell>
          <cell r="S23">
            <v>313734</v>
          </cell>
          <cell r="AE23">
            <v>47000</v>
          </cell>
          <cell r="AF23">
            <v>1223106</v>
          </cell>
          <cell r="AG23">
            <v>45000</v>
          </cell>
          <cell r="AH23">
            <v>858361</v>
          </cell>
        </row>
        <row r="24">
          <cell r="H24">
            <v>46118</v>
          </cell>
          <cell r="Q24">
            <v>500125</v>
          </cell>
          <cell r="S24">
            <v>313734</v>
          </cell>
          <cell r="AE24">
            <v>47000</v>
          </cell>
          <cell r="AF24">
            <v>1223106</v>
          </cell>
          <cell r="AG24">
            <v>45000</v>
          </cell>
          <cell r="AH24">
            <v>858361</v>
          </cell>
        </row>
        <row r="25">
          <cell r="H25">
            <v>46119</v>
          </cell>
          <cell r="Q25">
            <v>458525</v>
          </cell>
          <cell r="S25">
            <v>284919.71428571426</v>
          </cell>
          <cell r="AE25">
            <v>47000</v>
          </cell>
          <cell r="AF25">
            <v>1223106</v>
          </cell>
          <cell r="AG25">
            <v>45000</v>
          </cell>
          <cell r="AH25">
            <v>858361</v>
          </cell>
        </row>
        <row r="26">
          <cell r="H26">
            <v>46120</v>
          </cell>
          <cell r="Q26">
            <v>416925</v>
          </cell>
          <cell r="S26">
            <v>256105.42857142855</v>
          </cell>
          <cell r="AE26">
            <v>47000</v>
          </cell>
          <cell r="AF26">
            <v>1223106</v>
          </cell>
          <cell r="AG26">
            <v>45000</v>
          </cell>
          <cell r="AH26">
            <v>858361</v>
          </cell>
        </row>
        <row r="27">
          <cell r="H27">
            <v>46121</v>
          </cell>
          <cell r="Q27">
            <v>375325</v>
          </cell>
          <cell r="S27">
            <v>227291.14285714284</v>
          </cell>
          <cell r="AE27">
            <v>47000</v>
          </cell>
          <cell r="AF27">
            <v>1223106</v>
          </cell>
          <cell r="AG27">
            <v>45000</v>
          </cell>
          <cell r="AH27">
            <v>858361</v>
          </cell>
        </row>
        <row r="28">
          <cell r="H28">
            <v>46122</v>
          </cell>
          <cell r="Q28">
            <v>333725</v>
          </cell>
          <cell r="S28">
            <v>198476.85714285713</v>
          </cell>
          <cell r="AE28">
            <v>47000</v>
          </cell>
          <cell r="AF28">
            <v>1223106</v>
          </cell>
          <cell r="AG28">
            <v>45000</v>
          </cell>
          <cell r="AH28">
            <v>858361</v>
          </cell>
        </row>
        <row r="29">
          <cell r="H29">
            <v>46123</v>
          </cell>
          <cell r="Q29">
            <v>292125</v>
          </cell>
          <cell r="S29">
            <v>169662.57142857142</v>
          </cell>
          <cell r="AE29">
            <v>47000</v>
          </cell>
          <cell r="AF29">
            <v>1223106</v>
          </cell>
          <cell r="AG29">
            <v>45000</v>
          </cell>
          <cell r="AH29">
            <v>858361</v>
          </cell>
        </row>
        <row r="30">
          <cell r="H30">
            <v>46124</v>
          </cell>
          <cell r="Q30">
            <v>250525</v>
          </cell>
          <cell r="S30">
            <v>140848.28571428571</v>
          </cell>
          <cell r="AE30">
            <v>47000</v>
          </cell>
          <cell r="AF30">
            <v>1223106</v>
          </cell>
          <cell r="AG30">
            <v>45000</v>
          </cell>
          <cell r="AH30">
            <v>858361</v>
          </cell>
        </row>
        <row r="31">
          <cell r="H31">
            <v>46125</v>
          </cell>
          <cell r="Q31">
            <v>208925</v>
          </cell>
          <cell r="S31">
            <v>112034</v>
          </cell>
          <cell r="AE31">
            <v>47000</v>
          </cell>
          <cell r="AF31">
            <v>1223106</v>
          </cell>
          <cell r="AG31">
            <v>45000</v>
          </cell>
          <cell r="AH31">
            <v>858361</v>
          </cell>
        </row>
        <row r="32">
          <cell r="H32">
            <v>46126</v>
          </cell>
          <cell r="Q32">
            <v>167325</v>
          </cell>
          <cell r="S32">
            <v>83219.71428571429</v>
          </cell>
          <cell r="AE32">
            <v>47000</v>
          </cell>
          <cell r="AF32">
            <v>1223106</v>
          </cell>
          <cell r="AG32">
            <v>45000</v>
          </cell>
          <cell r="AH32">
            <v>858361</v>
          </cell>
        </row>
        <row r="33">
          <cell r="H33">
            <v>46127</v>
          </cell>
          <cell r="Q33">
            <v>125725</v>
          </cell>
          <cell r="S33">
            <v>54405.42857142858</v>
          </cell>
          <cell r="AE33">
            <v>47000</v>
          </cell>
          <cell r="AF33">
            <v>1223106</v>
          </cell>
          <cell r="AG33">
            <v>45000</v>
          </cell>
          <cell r="AH33">
            <v>858361</v>
          </cell>
        </row>
        <row r="34">
          <cell r="H34">
            <v>46128</v>
          </cell>
          <cell r="Q34">
            <v>84125</v>
          </cell>
          <cell r="S34">
            <v>25591.142857142866</v>
          </cell>
          <cell r="AE34">
            <v>47000</v>
          </cell>
          <cell r="AF34">
            <v>1223106</v>
          </cell>
          <cell r="AG34">
            <v>45000</v>
          </cell>
          <cell r="AH34">
            <v>858361</v>
          </cell>
        </row>
        <row r="35">
          <cell r="H35">
            <v>46129</v>
          </cell>
          <cell r="Q35">
            <v>42525</v>
          </cell>
          <cell r="S35">
            <v>-3223.1428571428478</v>
          </cell>
          <cell r="AE35">
            <v>47000</v>
          </cell>
          <cell r="AF35">
            <v>1223106</v>
          </cell>
          <cell r="AG35">
            <v>45000</v>
          </cell>
          <cell r="AH35">
            <v>858361</v>
          </cell>
        </row>
        <row r="36">
          <cell r="H36">
            <v>46130</v>
          </cell>
          <cell r="Q36">
            <v>925</v>
          </cell>
          <cell r="S36">
            <v>-32037.428571428562</v>
          </cell>
          <cell r="AE36">
            <v>47000</v>
          </cell>
          <cell r="AF36">
            <v>1223106</v>
          </cell>
          <cell r="AG36">
            <v>45000</v>
          </cell>
          <cell r="AH36">
            <v>858361</v>
          </cell>
        </row>
        <row r="37">
          <cell r="H37">
            <v>46131</v>
          </cell>
          <cell r="Q37">
            <v>-40675</v>
          </cell>
          <cell r="S37">
            <v>-60851.714285714275</v>
          </cell>
          <cell r="AE37">
            <v>47000</v>
          </cell>
          <cell r="AF37">
            <v>1223106</v>
          </cell>
          <cell r="AG37">
            <v>45000</v>
          </cell>
          <cell r="AH37">
            <v>858361</v>
          </cell>
        </row>
        <row r="38">
          <cell r="H38">
            <v>46132</v>
          </cell>
          <cell r="Q38">
            <v>-82275</v>
          </cell>
          <cell r="S38">
            <v>-89665.999999999985</v>
          </cell>
          <cell r="AE38">
            <v>47000</v>
          </cell>
          <cell r="AF38">
            <v>1223106</v>
          </cell>
          <cell r="AG38">
            <v>45000</v>
          </cell>
          <cell r="AH38">
            <v>858361</v>
          </cell>
        </row>
        <row r="39">
          <cell r="H39">
            <v>46133</v>
          </cell>
          <cell r="Q39">
            <v>-123875</v>
          </cell>
          <cell r="S39">
            <v>-118480.2857142857</v>
          </cell>
          <cell r="AE39">
            <v>47000</v>
          </cell>
          <cell r="AF39">
            <v>1223106</v>
          </cell>
          <cell r="AG39">
            <v>45000</v>
          </cell>
          <cell r="AH39">
            <v>858361</v>
          </cell>
        </row>
        <row r="40">
          <cell r="H40">
            <v>46134</v>
          </cell>
          <cell r="Q40">
            <v>-165475</v>
          </cell>
          <cell r="S40">
            <v>-147294.57142857142</v>
          </cell>
          <cell r="AE40">
            <v>47000</v>
          </cell>
          <cell r="AF40">
            <v>1223106</v>
          </cell>
          <cell r="AG40">
            <v>45000</v>
          </cell>
          <cell r="AH40">
            <v>858361</v>
          </cell>
        </row>
        <row r="41">
          <cell r="H41">
            <v>46135</v>
          </cell>
          <cell r="Q41">
            <v>-207075</v>
          </cell>
          <cell r="S41">
            <v>-176108.85714285713</v>
          </cell>
          <cell r="AE41">
            <v>47000</v>
          </cell>
          <cell r="AF41">
            <v>1223106</v>
          </cell>
          <cell r="AG41">
            <v>45000</v>
          </cell>
          <cell r="AH41">
            <v>858361</v>
          </cell>
        </row>
        <row r="42">
          <cell r="H42">
            <v>46136</v>
          </cell>
          <cell r="Q42">
            <v>-248675</v>
          </cell>
          <cell r="S42">
            <v>-204923.14285714284</v>
          </cell>
          <cell r="AE42">
            <v>47000</v>
          </cell>
          <cell r="AF42">
            <v>1223106</v>
          </cell>
          <cell r="AG42">
            <v>45000</v>
          </cell>
          <cell r="AH42">
            <v>858361</v>
          </cell>
        </row>
        <row r="43">
          <cell r="H43">
            <v>46137</v>
          </cell>
          <cell r="Q43">
            <v>-290275</v>
          </cell>
          <cell r="S43">
            <v>-233737.42857142855</v>
          </cell>
          <cell r="AE43">
            <v>47000</v>
          </cell>
          <cell r="AF43">
            <v>1223106</v>
          </cell>
          <cell r="AG43">
            <v>45000</v>
          </cell>
          <cell r="AH43">
            <v>858361</v>
          </cell>
        </row>
        <row r="44">
          <cell r="H44">
            <v>46138</v>
          </cell>
          <cell r="Q44">
            <v>-331875</v>
          </cell>
          <cell r="S44">
            <v>-262551.71428571426</v>
          </cell>
          <cell r="AE44">
            <v>47000</v>
          </cell>
          <cell r="AF44">
            <v>1223106</v>
          </cell>
          <cell r="AG44">
            <v>45000</v>
          </cell>
          <cell r="AH44">
            <v>858361</v>
          </cell>
        </row>
        <row r="45">
          <cell r="H45">
            <v>46139</v>
          </cell>
          <cell r="Q45">
            <v>-373475</v>
          </cell>
          <cell r="S45">
            <v>-291366</v>
          </cell>
          <cell r="AE45">
            <v>47000</v>
          </cell>
          <cell r="AF45">
            <v>1223106</v>
          </cell>
          <cell r="AG45">
            <v>45000</v>
          </cell>
          <cell r="AH45">
            <v>858361</v>
          </cell>
        </row>
        <row r="46">
          <cell r="H46">
            <v>46140</v>
          </cell>
          <cell r="Q46">
            <v>-415075</v>
          </cell>
          <cell r="S46">
            <v>-320180.28571428574</v>
          </cell>
          <cell r="AE46">
            <v>47000</v>
          </cell>
          <cell r="AF46">
            <v>1223106</v>
          </cell>
          <cell r="AG46">
            <v>45000</v>
          </cell>
          <cell r="AH46">
            <v>858361</v>
          </cell>
        </row>
        <row r="47">
          <cell r="H47">
            <v>46141</v>
          </cell>
          <cell r="Q47">
            <v>-456675</v>
          </cell>
          <cell r="S47">
            <v>-348994.57142857148</v>
          </cell>
          <cell r="AE47">
            <v>47000</v>
          </cell>
          <cell r="AF47">
            <v>1223106</v>
          </cell>
          <cell r="AG47">
            <v>45000</v>
          </cell>
          <cell r="AH47">
            <v>858361</v>
          </cell>
        </row>
        <row r="48">
          <cell r="H48">
            <v>46142</v>
          </cell>
          <cell r="Q48">
            <v>-498275</v>
          </cell>
          <cell r="S48">
            <v>-377808.85714285722</v>
          </cell>
          <cell r="AE48">
            <v>47000</v>
          </cell>
          <cell r="AF48">
            <v>1223106</v>
          </cell>
          <cell r="AG48">
            <v>45000</v>
          </cell>
          <cell r="AH48">
            <v>858361</v>
          </cell>
        </row>
        <row r="49">
          <cell r="H49">
            <v>46143</v>
          </cell>
          <cell r="Q49">
            <v>-539875</v>
          </cell>
          <cell r="S49">
            <v>-406623.14285714296</v>
          </cell>
          <cell r="AE49">
            <v>47000</v>
          </cell>
          <cell r="AF49">
            <v>1223106</v>
          </cell>
          <cell r="AG49">
            <v>45000</v>
          </cell>
          <cell r="AH49">
            <v>858361</v>
          </cell>
        </row>
        <row r="50">
          <cell r="H50">
            <v>46144</v>
          </cell>
          <cell r="Q50">
            <v>-581475</v>
          </cell>
          <cell r="S50">
            <v>-435437.4285714287</v>
          </cell>
          <cell r="AE50">
            <v>47000</v>
          </cell>
          <cell r="AF50">
            <v>1223106</v>
          </cell>
          <cell r="AG50">
            <v>45000</v>
          </cell>
          <cell r="AH50">
            <v>858361</v>
          </cell>
        </row>
        <row r="51">
          <cell r="H51">
            <v>46145</v>
          </cell>
          <cell r="Q51">
            <v>-623075</v>
          </cell>
          <cell r="S51">
            <v>-464251.71428571444</v>
          </cell>
          <cell r="AE51">
            <v>47000</v>
          </cell>
          <cell r="AF51">
            <v>1223106</v>
          </cell>
          <cell r="AG51">
            <v>45000</v>
          </cell>
          <cell r="AH51">
            <v>858361</v>
          </cell>
        </row>
        <row r="52">
          <cell r="H52">
            <v>46146</v>
          </cell>
          <cell r="Q52">
            <v>-664675</v>
          </cell>
          <cell r="S52">
            <v>-493066.00000000017</v>
          </cell>
          <cell r="AE52">
            <v>47000</v>
          </cell>
          <cell r="AF52">
            <v>1223106</v>
          </cell>
          <cell r="AG52">
            <v>45000</v>
          </cell>
          <cell r="AH52">
            <v>858361</v>
          </cell>
        </row>
        <row r="53">
          <cell r="H53">
            <v>46147</v>
          </cell>
          <cell r="Q53">
            <v>-706275</v>
          </cell>
          <cell r="S53">
            <v>-521880.28571428591</v>
          </cell>
          <cell r="AE53">
            <v>47000</v>
          </cell>
          <cell r="AF53">
            <v>1223106</v>
          </cell>
          <cell r="AG53">
            <v>45000</v>
          </cell>
          <cell r="AH53">
            <v>858361</v>
          </cell>
        </row>
        <row r="54">
          <cell r="H54">
            <v>46148</v>
          </cell>
          <cell r="Q54">
            <v>-747875</v>
          </cell>
          <cell r="S54">
            <v>-550694.57142857159</v>
          </cell>
          <cell r="AE54">
            <v>47000</v>
          </cell>
          <cell r="AF54">
            <v>1223106</v>
          </cell>
          <cell r="AG54">
            <v>45000</v>
          </cell>
          <cell r="AH54">
            <v>858361</v>
          </cell>
        </row>
        <row r="55">
          <cell r="H55">
            <v>46149</v>
          </cell>
          <cell r="Q55">
            <v>-789475</v>
          </cell>
          <cell r="S55">
            <v>-579508.85714285728</v>
          </cell>
          <cell r="AE55">
            <v>47000</v>
          </cell>
          <cell r="AF55">
            <v>1223106</v>
          </cell>
          <cell r="AG55">
            <v>45000</v>
          </cell>
          <cell r="AH55">
            <v>858361</v>
          </cell>
        </row>
        <row r="56">
          <cell r="H56">
            <v>46150</v>
          </cell>
          <cell r="Q56">
            <v>-831075</v>
          </cell>
          <cell r="S56">
            <v>-608323.14285714296</v>
          </cell>
          <cell r="AE56">
            <v>47000</v>
          </cell>
          <cell r="AF56">
            <v>1223106</v>
          </cell>
          <cell r="AG56">
            <v>45000</v>
          </cell>
          <cell r="AH56">
            <v>858361</v>
          </cell>
        </row>
        <row r="57">
          <cell r="H57">
            <v>46151</v>
          </cell>
          <cell r="Q57">
            <v>-872675</v>
          </cell>
          <cell r="S57">
            <v>-637137.42857142864</v>
          </cell>
          <cell r="AE57">
            <v>47000</v>
          </cell>
          <cell r="AF57">
            <v>1223106</v>
          </cell>
          <cell r="AG57">
            <v>45000</v>
          </cell>
          <cell r="AH57">
            <v>858361</v>
          </cell>
        </row>
        <row r="58">
          <cell r="H58">
            <v>46152</v>
          </cell>
          <cell r="Q58">
            <v>-914275</v>
          </cell>
          <cell r="S58">
            <v>-665951.71428571432</v>
          </cell>
          <cell r="AE58">
            <v>47000</v>
          </cell>
          <cell r="AF58">
            <v>1223106</v>
          </cell>
          <cell r="AG58">
            <v>45000</v>
          </cell>
          <cell r="AH58">
            <v>858361</v>
          </cell>
        </row>
        <row r="59">
          <cell r="H59">
            <v>46153</v>
          </cell>
          <cell r="Q59">
            <v>-955875</v>
          </cell>
          <cell r="S59">
            <v>-694766</v>
          </cell>
          <cell r="AE59">
            <v>47000</v>
          </cell>
          <cell r="AF59">
            <v>1223106</v>
          </cell>
          <cell r="AG59">
            <v>45000</v>
          </cell>
          <cell r="AH59">
            <v>858361</v>
          </cell>
        </row>
        <row r="60">
          <cell r="H60">
            <v>46154</v>
          </cell>
          <cell r="Q60">
            <v>-997475</v>
          </cell>
          <cell r="S60">
            <v>-723580.28571428568</v>
          </cell>
          <cell r="AE60">
            <v>47000</v>
          </cell>
          <cell r="AF60">
            <v>1223106</v>
          </cell>
          <cell r="AG60">
            <v>45000</v>
          </cell>
          <cell r="AH60">
            <v>858361</v>
          </cell>
        </row>
        <row r="61">
          <cell r="H61">
            <v>46155</v>
          </cell>
          <cell r="Q61">
            <v>-1039075</v>
          </cell>
          <cell r="S61">
            <v>-752394.57142857136</v>
          </cell>
          <cell r="AE61">
            <v>47000</v>
          </cell>
          <cell r="AF61">
            <v>1223106</v>
          </cell>
          <cell r="AG61">
            <v>45000</v>
          </cell>
          <cell r="AH61">
            <v>858361</v>
          </cell>
        </row>
        <row r="62">
          <cell r="H62">
            <v>46156</v>
          </cell>
          <cell r="Q62">
            <v>-1080675</v>
          </cell>
          <cell r="S62">
            <v>-781208.85714285704</v>
          </cell>
          <cell r="AE62">
            <v>47000</v>
          </cell>
          <cell r="AF62">
            <v>1223106</v>
          </cell>
          <cell r="AG62">
            <v>45000</v>
          </cell>
          <cell r="AH62">
            <v>858361</v>
          </cell>
        </row>
        <row r="63">
          <cell r="H63">
            <v>46157</v>
          </cell>
          <cell r="Q63">
            <v>-1122275</v>
          </cell>
          <cell r="S63">
            <v>-810023.14285714272</v>
          </cell>
          <cell r="AE63">
            <v>47000</v>
          </cell>
          <cell r="AF63">
            <v>1223106</v>
          </cell>
          <cell r="AG63">
            <v>45000</v>
          </cell>
          <cell r="AH63">
            <v>858361</v>
          </cell>
        </row>
        <row r="64">
          <cell r="H64">
            <v>46158</v>
          </cell>
          <cell r="Q64">
            <v>-1163875</v>
          </cell>
          <cell r="S64">
            <v>-838837.42857142841</v>
          </cell>
          <cell r="AE64">
            <v>47000</v>
          </cell>
          <cell r="AF64">
            <v>1223106</v>
          </cell>
          <cell r="AG64">
            <v>45000</v>
          </cell>
          <cell r="AH64">
            <v>858361</v>
          </cell>
        </row>
        <row r="65">
          <cell r="H65">
            <v>46159</v>
          </cell>
          <cell r="Q65">
            <v>-1205475</v>
          </cell>
          <cell r="S65">
            <v>-867651.71428571409</v>
          </cell>
          <cell r="AE65">
            <v>47000</v>
          </cell>
          <cell r="AF65">
            <v>1223106</v>
          </cell>
          <cell r="AG65">
            <v>45000</v>
          </cell>
          <cell r="AH65">
            <v>858361</v>
          </cell>
        </row>
        <row r="66">
          <cell r="H66">
            <v>46160</v>
          </cell>
          <cell r="Q66">
            <v>-1247075</v>
          </cell>
          <cell r="S66">
            <v>-896465.99999999977</v>
          </cell>
          <cell r="AE66">
            <v>47000</v>
          </cell>
          <cell r="AF66">
            <v>1223106</v>
          </cell>
          <cell r="AG66">
            <v>45000</v>
          </cell>
          <cell r="AH66">
            <v>858361</v>
          </cell>
        </row>
        <row r="67">
          <cell r="H67">
            <v>46161</v>
          </cell>
          <cell r="Q67">
            <v>-1288675</v>
          </cell>
          <cell r="S67">
            <v>-925280.28571428545</v>
          </cell>
          <cell r="AE67">
            <v>47000</v>
          </cell>
          <cell r="AF67">
            <v>1223106</v>
          </cell>
          <cell r="AG67">
            <v>45000</v>
          </cell>
          <cell r="AH67">
            <v>858361</v>
          </cell>
        </row>
        <row r="68">
          <cell r="H68">
            <v>46162</v>
          </cell>
          <cell r="Q68">
            <v>-1330275</v>
          </cell>
          <cell r="S68">
            <v>-954094.57142857113</v>
          </cell>
          <cell r="AE68">
            <v>47000</v>
          </cell>
          <cell r="AF68">
            <v>1223106</v>
          </cell>
          <cell r="AG68">
            <v>45000</v>
          </cell>
          <cell r="AH68">
            <v>858361</v>
          </cell>
        </row>
        <row r="69">
          <cell r="H69">
            <v>46163</v>
          </cell>
          <cell r="Q69">
            <v>-1371875</v>
          </cell>
          <cell r="S69">
            <v>-982908.85714285681</v>
          </cell>
          <cell r="AE69">
            <v>47000</v>
          </cell>
          <cell r="AF69">
            <v>1223106</v>
          </cell>
          <cell r="AG69">
            <v>45000</v>
          </cell>
          <cell r="AH69">
            <v>858361</v>
          </cell>
        </row>
        <row r="70">
          <cell r="H70">
            <v>46164</v>
          </cell>
          <cell r="Q70">
            <v>-1413475</v>
          </cell>
          <cell r="S70">
            <v>-1011723.1428571425</v>
          </cell>
          <cell r="AE70">
            <v>47000</v>
          </cell>
          <cell r="AF70">
            <v>1223106</v>
          </cell>
          <cell r="AG70">
            <v>45000</v>
          </cell>
          <cell r="AH70">
            <v>858361</v>
          </cell>
        </row>
        <row r="71">
          <cell r="H71">
            <v>46165</v>
          </cell>
          <cell r="Q71">
            <v>-1455075</v>
          </cell>
          <cell r="S71">
            <v>-1040537.4285714282</v>
          </cell>
          <cell r="AE71">
            <v>47000</v>
          </cell>
          <cell r="AF71">
            <v>1223106</v>
          </cell>
          <cell r="AG71">
            <v>45000</v>
          </cell>
          <cell r="AH71">
            <v>858361</v>
          </cell>
        </row>
        <row r="72">
          <cell r="H72">
            <v>46166</v>
          </cell>
          <cell r="Q72">
            <v>-1496675</v>
          </cell>
          <cell r="S72">
            <v>-1069351.7142857139</v>
          </cell>
          <cell r="AE72">
            <v>47000</v>
          </cell>
          <cell r="AF72">
            <v>1223106</v>
          </cell>
          <cell r="AG72">
            <v>45000</v>
          </cell>
          <cell r="AH72">
            <v>858361</v>
          </cell>
        </row>
        <row r="73">
          <cell r="H73">
            <v>46167</v>
          </cell>
          <cell r="Q73">
            <v>-1538275</v>
          </cell>
          <cell r="S73">
            <v>-1098165.9999999995</v>
          </cell>
          <cell r="AE73">
            <v>47000</v>
          </cell>
          <cell r="AF73">
            <v>1223106</v>
          </cell>
          <cell r="AG73">
            <v>45000</v>
          </cell>
          <cell r="AH73">
            <v>858361</v>
          </cell>
        </row>
        <row r="74">
          <cell r="H74">
            <v>46168</v>
          </cell>
          <cell r="Q74">
            <v>-1579875</v>
          </cell>
          <cell r="S74">
            <v>-1126980.2857142852</v>
          </cell>
          <cell r="AE74">
            <v>47000</v>
          </cell>
          <cell r="AF74">
            <v>1223106</v>
          </cell>
          <cell r="AG74">
            <v>45000</v>
          </cell>
          <cell r="AH74">
            <v>858361</v>
          </cell>
        </row>
        <row r="75">
          <cell r="H75">
            <v>46169</v>
          </cell>
          <cell r="Q75">
            <v>-1621475</v>
          </cell>
          <cell r="S75">
            <v>-1155794.5714285709</v>
          </cell>
          <cell r="AE75">
            <v>47000</v>
          </cell>
          <cell r="AF75">
            <v>1223106</v>
          </cell>
          <cell r="AG75">
            <v>45000</v>
          </cell>
          <cell r="AH75">
            <v>858361</v>
          </cell>
        </row>
        <row r="76">
          <cell r="H76">
            <v>46170</v>
          </cell>
          <cell r="Q76">
            <v>-1663075</v>
          </cell>
          <cell r="S76">
            <v>-1184608.8571428566</v>
          </cell>
          <cell r="AE76">
            <v>47000</v>
          </cell>
          <cell r="AF76">
            <v>1223106</v>
          </cell>
          <cell r="AG76">
            <v>45000</v>
          </cell>
          <cell r="AH76">
            <v>858361</v>
          </cell>
        </row>
        <row r="77">
          <cell r="H77">
            <v>46171</v>
          </cell>
          <cell r="Q77">
            <v>-1704675</v>
          </cell>
          <cell r="S77">
            <v>-1213423.1428571423</v>
          </cell>
          <cell r="AE77">
            <v>47000</v>
          </cell>
          <cell r="AF77">
            <v>1223106</v>
          </cell>
          <cell r="AG77">
            <v>45000</v>
          </cell>
          <cell r="AH77">
            <v>858361</v>
          </cell>
        </row>
        <row r="78">
          <cell r="H78">
            <v>46172</v>
          </cell>
          <cell r="Q78">
            <v>-1746275</v>
          </cell>
          <cell r="S78">
            <v>-1242237.4285714279</v>
          </cell>
          <cell r="AE78">
            <v>47000</v>
          </cell>
          <cell r="AF78">
            <v>1223106</v>
          </cell>
          <cell r="AG78">
            <v>45000</v>
          </cell>
          <cell r="AH78">
            <v>858361</v>
          </cell>
        </row>
        <row r="79">
          <cell r="H79">
            <v>46173</v>
          </cell>
          <cell r="Q79">
            <v>-1787875</v>
          </cell>
          <cell r="S79">
            <v>-1271051.7142857136</v>
          </cell>
          <cell r="AE79">
            <v>47000</v>
          </cell>
          <cell r="AF79">
            <v>1223106</v>
          </cell>
          <cell r="AG79">
            <v>45000</v>
          </cell>
          <cell r="AH79">
            <v>858361</v>
          </cell>
        </row>
        <row r="80">
          <cell r="H80">
            <v>46174</v>
          </cell>
          <cell r="Q80">
            <v>-1829475</v>
          </cell>
          <cell r="S80">
            <v>-1299865.9999999993</v>
          </cell>
          <cell r="AE80">
            <v>47000</v>
          </cell>
          <cell r="AF80">
            <v>1223106</v>
          </cell>
          <cell r="AG80">
            <v>45000</v>
          </cell>
          <cell r="AH80">
            <v>858361</v>
          </cell>
        </row>
        <row r="81">
          <cell r="H81">
            <v>46175</v>
          </cell>
          <cell r="Q81">
            <v>-1871075</v>
          </cell>
          <cell r="S81">
            <v>-1328680.285714285</v>
          </cell>
          <cell r="AE81">
            <v>47000</v>
          </cell>
          <cell r="AF81">
            <v>1223106</v>
          </cell>
          <cell r="AG81">
            <v>45000</v>
          </cell>
          <cell r="AH81">
            <v>858361</v>
          </cell>
        </row>
        <row r="82">
          <cell r="H82">
            <v>46176</v>
          </cell>
          <cell r="Q82">
            <v>-1912675</v>
          </cell>
          <cell r="S82">
            <v>-1357494.5714285707</v>
          </cell>
          <cell r="AE82">
            <v>47000</v>
          </cell>
          <cell r="AF82">
            <v>1223106</v>
          </cell>
          <cell r="AG82">
            <v>45000</v>
          </cell>
          <cell r="AH82">
            <v>858361</v>
          </cell>
        </row>
        <row r="83">
          <cell r="H83">
            <v>46177</v>
          </cell>
          <cell r="Q83">
            <v>-1954275</v>
          </cell>
          <cell r="S83">
            <v>-1386308.8571428563</v>
          </cell>
          <cell r="AE83">
            <v>47000</v>
          </cell>
          <cell r="AF83">
            <v>1223106</v>
          </cell>
          <cell r="AG83">
            <v>45000</v>
          </cell>
          <cell r="AH83">
            <v>858361</v>
          </cell>
        </row>
        <row r="84">
          <cell r="H84">
            <v>46178</v>
          </cell>
          <cell r="Q84">
            <v>-1995875</v>
          </cell>
          <cell r="S84">
            <v>-1415123.142857142</v>
          </cell>
          <cell r="AE84">
            <v>47000</v>
          </cell>
          <cell r="AF84">
            <v>1223106</v>
          </cell>
          <cell r="AG84">
            <v>45000</v>
          </cell>
          <cell r="AH84">
            <v>858361</v>
          </cell>
        </row>
        <row r="85">
          <cell r="H85">
            <v>46179</v>
          </cell>
          <cell r="Q85">
            <v>-2037475</v>
          </cell>
          <cell r="S85">
            <v>-1443937.4285714277</v>
          </cell>
          <cell r="AE85">
            <v>47000</v>
          </cell>
          <cell r="AF85">
            <v>1223106</v>
          </cell>
          <cell r="AG85">
            <v>45000</v>
          </cell>
          <cell r="AH85">
            <v>858361</v>
          </cell>
        </row>
        <row r="86">
          <cell r="H86">
            <v>46180</v>
          </cell>
          <cell r="Q86">
            <v>-2079075</v>
          </cell>
          <cell r="S86">
            <v>-1472751.7142857134</v>
          </cell>
          <cell r="AE86">
            <v>47000</v>
          </cell>
          <cell r="AF86">
            <v>1223106</v>
          </cell>
          <cell r="AG86">
            <v>45000</v>
          </cell>
          <cell r="AH86">
            <v>858361</v>
          </cell>
        </row>
        <row r="87">
          <cell r="H87">
            <v>46181</v>
          </cell>
          <cell r="Q87">
            <v>-2120675</v>
          </cell>
          <cell r="S87">
            <v>-1501565.9999999991</v>
          </cell>
          <cell r="AE87">
            <v>47000</v>
          </cell>
          <cell r="AF87">
            <v>1223106</v>
          </cell>
          <cell r="AG87">
            <v>45000</v>
          </cell>
          <cell r="AH87">
            <v>858361</v>
          </cell>
        </row>
        <row r="88">
          <cell r="H88">
            <v>46182</v>
          </cell>
          <cell r="Q88">
            <v>-2162275</v>
          </cell>
          <cell r="S88">
            <v>-1530380.2857142847</v>
          </cell>
          <cell r="AE88">
            <v>47000</v>
          </cell>
          <cell r="AF88">
            <v>1223106</v>
          </cell>
          <cell r="AG88">
            <v>45000</v>
          </cell>
          <cell r="AH88">
            <v>858361</v>
          </cell>
        </row>
        <row r="89">
          <cell r="H89">
            <v>46183</v>
          </cell>
          <cell r="Q89">
            <v>-2203875</v>
          </cell>
          <cell r="S89">
            <v>-1559194.5714285704</v>
          </cell>
          <cell r="AE89">
            <v>47000</v>
          </cell>
          <cell r="AF89">
            <v>1223106</v>
          </cell>
          <cell r="AG89">
            <v>45000</v>
          </cell>
          <cell r="AH89">
            <v>858361</v>
          </cell>
        </row>
        <row r="90">
          <cell r="H90">
            <v>46184</v>
          </cell>
          <cell r="Q90">
            <v>-2245475</v>
          </cell>
          <cell r="S90">
            <v>-1588008.8571428561</v>
          </cell>
          <cell r="AE90">
            <v>47000</v>
          </cell>
          <cell r="AF90">
            <v>1223106</v>
          </cell>
          <cell r="AG90">
            <v>45000</v>
          </cell>
          <cell r="AH90">
            <v>858361</v>
          </cell>
        </row>
        <row r="91">
          <cell r="H91">
            <v>46185</v>
          </cell>
          <cell r="Q91">
            <v>-2287075</v>
          </cell>
          <cell r="S91">
            <v>-1616823.1428571418</v>
          </cell>
          <cell r="AE91">
            <v>47000</v>
          </cell>
          <cell r="AF91">
            <v>1223106</v>
          </cell>
          <cell r="AG91">
            <v>45000</v>
          </cell>
          <cell r="AH91">
            <v>858361</v>
          </cell>
        </row>
        <row r="92">
          <cell r="H92">
            <v>46186</v>
          </cell>
          <cell r="Q92">
            <v>-2328675</v>
          </cell>
          <cell r="S92">
            <v>-1645637.4285714275</v>
          </cell>
          <cell r="AE92">
            <v>47000</v>
          </cell>
          <cell r="AF92">
            <v>1223106</v>
          </cell>
          <cell r="AG92">
            <v>45000</v>
          </cell>
          <cell r="AH92">
            <v>858361</v>
          </cell>
        </row>
        <row r="93">
          <cell r="H93">
            <v>46187</v>
          </cell>
          <cell r="Q93">
            <v>-2370275</v>
          </cell>
          <cell r="S93">
            <v>-1674451.7142857132</v>
          </cell>
          <cell r="AE93">
            <v>47000</v>
          </cell>
          <cell r="AF93">
            <v>1223106</v>
          </cell>
          <cell r="AG93">
            <v>45000</v>
          </cell>
          <cell r="AH93">
            <v>858361</v>
          </cell>
        </row>
        <row r="94">
          <cell r="H94">
            <v>46188</v>
          </cell>
          <cell r="Q94">
            <v>-2411875</v>
          </cell>
          <cell r="S94">
            <v>-1703265.9999999988</v>
          </cell>
          <cell r="AE94">
            <v>47000</v>
          </cell>
          <cell r="AF94">
            <v>1223106</v>
          </cell>
          <cell r="AG94">
            <v>45000</v>
          </cell>
          <cell r="AH94">
            <v>858361</v>
          </cell>
        </row>
        <row r="95">
          <cell r="H95">
            <v>46189</v>
          </cell>
          <cell r="Q95">
            <v>-2453475</v>
          </cell>
          <cell r="S95">
            <v>-1732080.2857142845</v>
          </cell>
          <cell r="AE95">
            <v>47000</v>
          </cell>
          <cell r="AF95">
            <v>1223106</v>
          </cell>
          <cell r="AG95">
            <v>45000</v>
          </cell>
          <cell r="AH95">
            <v>858361</v>
          </cell>
        </row>
        <row r="96">
          <cell r="H96">
            <v>46190</v>
          </cell>
          <cell r="Q96">
            <v>-2495075</v>
          </cell>
          <cell r="S96">
            <v>-1760894.5714285702</v>
          </cell>
          <cell r="AE96">
            <v>47000</v>
          </cell>
          <cell r="AF96">
            <v>1223106</v>
          </cell>
          <cell r="AG96">
            <v>45000</v>
          </cell>
          <cell r="AH96">
            <v>858361</v>
          </cell>
        </row>
        <row r="97">
          <cell r="H97">
            <v>46191</v>
          </cell>
          <cell r="Q97">
            <v>-2536675</v>
          </cell>
          <cell r="S97">
            <v>-1789708.8571428559</v>
          </cell>
          <cell r="AE97">
            <v>47000</v>
          </cell>
          <cell r="AF97">
            <v>1223106</v>
          </cell>
          <cell r="AG97">
            <v>45000</v>
          </cell>
          <cell r="AH97">
            <v>858361</v>
          </cell>
        </row>
        <row r="98">
          <cell r="H98">
            <v>46192</v>
          </cell>
          <cell r="Q98">
            <v>-2578275</v>
          </cell>
          <cell r="S98">
            <v>-1818523.1428571416</v>
          </cell>
          <cell r="AE98">
            <v>47000</v>
          </cell>
          <cell r="AF98">
            <v>1223106</v>
          </cell>
          <cell r="AG98">
            <v>45000</v>
          </cell>
          <cell r="AH98">
            <v>858361</v>
          </cell>
        </row>
        <row r="99">
          <cell r="H99">
            <v>46193</v>
          </cell>
          <cell r="Q99">
            <v>-2619875</v>
          </cell>
          <cell r="S99">
            <v>-1847337.4285714272</v>
          </cell>
          <cell r="AE99">
            <v>47000</v>
          </cell>
          <cell r="AF99">
            <v>1223106</v>
          </cell>
          <cell r="AG99">
            <v>45000</v>
          </cell>
          <cell r="AH99">
            <v>858361</v>
          </cell>
        </row>
        <row r="100">
          <cell r="H100">
            <v>46194</v>
          </cell>
          <cell r="Q100">
            <v>-2661475</v>
          </cell>
          <cell r="S100">
            <v>-1876151.7142857129</v>
          </cell>
          <cell r="AE100">
            <v>47000</v>
          </cell>
          <cell r="AF100">
            <v>1223106</v>
          </cell>
          <cell r="AG100">
            <v>45000</v>
          </cell>
          <cell r="AH100">
            <v>858361</v>
          </cell>
        </row>
        <row r="101">
          <cell r="H101">
            <v>46195</v>
          </cell>
          <cell r="Q101">
            <v>-2703075</v>
          </cell>
          <cell r="S101">
            <v>-1904965.9999999986</v>
          </cell>
          <cell r="AE101">
            <v>47000</v>
          </cell>
          <cell r="AF101">
            <v>1223106</v>
          </cell>
          <cell r="AG101">
            <v>45000</v>
          </cell>
          <cell r="AH101">
            <v>858361</v>
          </cell>
        </row>
        <row r="102">
          <cell r="H102">
            <v>46196</v>
          </cell>
          <cell r="Q102">
            <v>-2744675</v>
          </cell>
          <cell r="S102">
            <v>-1933780.2857142843</v>
          </cell>
          <cell r="AE102">
            <v>47000</v>
          </cell>
          <cell r="AF102">
            <v>1223106</v>
          </cell>
          <cell r="AG102">
            <v>45000</v>
          </cell>
          <cell r="AH102">
            <v>858361</v>
          </cell>
        </row>
        <row r="103">
          <cell r="H103">
            <v>46197</v>
          </cell>
          <cell r="Q103">
            <v>-2786275</v>
          </cell>
          <cell r="S103">
            <v>-1962594.57142857</v>
          </cell>
          <cell r="AE103">
            <v>47000</v>
          </cell>
          <cell r="AF103">
            <v>1223106</v>
          </cell>
          <cell r="AG103">
            <v>45000</v>
          </cell>
          <cell r="AH103">
            <v>858361</v>
          </cell>
        </row>
        <row r="104">
          <cell r="H104">
            <v>46198</v>
          </cell>
          <cell r="Q104">
            <v>-2827875</v>
          </cell>
          <cell r="S104">
            <v>-1991408.8571428556</v>
          </cell>
          <cell r="AE104">
            <v>47000</v>
          </cell>
          <cell r="AF104">
            <v>1223106</v>
          </cell>
          <cell r="AG104">
            <v>45000</v>
          </cell>
          <cell r="AH104">
            <v>858361</v>
          </cell>
        </row>
        <row r="105">
          <cell r="H105">
            <v>46199</v>
          </cell>
          <cell r="Q105">
            <v>-2869475</v>
          </cell>
          <cell r="S105">
            <v>-2020223.1428571413</v>
          </cell>
          <cell r="AE105">
            <v>47000</v>
          </cell>
          <cell r="AF105">
            <v>1223106</v>
          </cell>
          <cell r="AG105">
            <v>45000</v>
          </cell>
          <cell r="AH105">
            <v>858361</v>
          </cell>
        </row>
        <row r="106">
          <cell r="H106">
            <v>46200</v>
          </cell>
          <cell r="Q106">
            <v>-2911075</v>
          </cell>
          <cell r="S106">
            <v>-2049037.428571427</v>
          </cell>
          <cell r="AE106">
            <v>47000</v>
          </cell>
          <cell r="AF106">
            <v>1223106</v>
          </cell>
          <cell r="AG106">
            <v>45000</v>
          </cell>
          <cell r="AH106">
            <v>858361</v>
          </cell>
        </row>
        <row r="107">
          <cell r="H107">
            <v>46201</v>
          </cell>
          <cell r="Q107">
            <v>-2952675</v>
          </cell>
          <cell r="S107">
            <v>-2077851.7142857127</v>
          </cell>
          <cell r="AE107">
            <v>47000</v>
          </cell>
          <cell r="AF107">
            <v>1223106</v>
          </cell>
          <cell r="AG107">
            <v>45000</v>
          </cell>
          <cell r="AH107">
            <v>858361</v>
          </cell>
        </row>
        <row r="108">
          <cell r="H108">
            <v>46202</v>
          </cell>
          <cell r="Q108">
            <v>-2994275</v>
          </cell>
          <cell r="S108">
            <v>-2106665.9999999986</v>
          </cell>
          <cell r="AE108">
            <v>47000</v>
          </cell>
          <cell r="AF108">
            <v>1223106</v>
          </cell>
          <cell r="AG108">
            <v>45000</v>
          </cell>
          <cell r="AH108">
            <v>858361</v>
          </cell>
        </row>
        <row r="109">
          <cell r="H109">
            <v>46203</v>
          </cell>
          <cell r="Q109">
            <v>-3035875</v>
          </cell>
          <cell r="S109">
            <v>-2135480.2857142845</v>
          </cell>
          <cell r="AE109">
            <v>47000</v>
          </cell>
          <cell r="AF109">
            <v>1223106</v>
          </cell>
          <cell r="AG109">
            <v>45000</v>
          </cell>
          <cell r="AH109">
            <v>858361</v>
          </cell>
        </row>
      </sheetData>
      <sheetData sheetId="1">
        <row r="4">
          <cell r="G4">
            <v>46098</v>
          </cell>
          <cell r="N4">
            <v>185205</v>
          </cell>
          <cell r="P4">
            <v>213744</v>
          </cell>
          <cell r="Z4">
            <v>26800</v>
          </cell>
          <cell r="AA4">
            <v>357582</v>
          </cell>
          <cell r="AB4">
            <v>16165</v>
          </cell>
          <cell r="AC4">
            <v>289500</v>
          </cell>
        </row>
        <row r="5">
          <cell r="G5">
            <v>46099</v>
          </cell>
          <cell r="N5">
            <v>179281</v>
          </cell>
          <cell r="P5">
            <v>208512</v>
          </cell>
          <cell r="Z5">
            <v>26800</v>
          </cell>
          <cell r="AA5">
            <v>357582</v>
          </cell>
          <cell r="AB5">
            <v>16165</v>
          </cell>
          <cell r="AC5">
            <v>289500</v>
          </cell>
        </row>
        <row r="6">
          <cell r="G6">
            <v>46100</v>
          </cell>
          <cell r="N6">
            <v>163265</v>
          </cell>
          <cell r="P6">
            <v>198105</v>
          </cell>
          <cell r="Z6">
            <v>26800</v>
          </cell>
          <cell r="AA6">
            <v>357582</v>
          </cell>
          <cell r="AB6">
            <v>16165</v>
          </cell>
          <cell r="AC6">
            <v>289500</v>
          </cell>
        </row>
        <row r="7">
          <cell r="G7">
            <v>46101</v>
          </cell>
          <cell r="N7">
            <v>159199</v>
          </cell>
          <cell r="P7">
            <v>194409</v>
          </cell>
          <cell r="Z7">
            <v>26800</v>
          </cell>
          <cell r="AA7">
            <v>357582</v>
          </cell>
          <cell r="AB7">
            <v>16165</v>
          </cell>
          <cell r="AC7">
            <v>289500</v>
          </cell>
        </row>
        <row r="8">
          <cell r="G8">
            <v>46102</v>
          </cell>
          <cell r="N8">
            <v>159199</v>
          </cell>
          <cell r="P8">
            <v>194409</v>
          </cell>
          <cell r="Z8">
            <v>26800</v>
          </cell>
          <cell r="AA8">
            <v>357582</v>
          </cell>
          <cell r="AB8">
            <v>16165</v>
          </cell>
          <cell r="AC8">
            <v>289500</v>
          </cell>
        </row>
        <row r="9">
          <cell r="G9">
            <v>46103</v>
          </cell>
          <cell r="N9">
            <v>159199</v>
          </cell>
          <cell r="P9">
            <v>194409</v>
          </cell>
          <cell r="Z9">
            <v>26800</v>
          </cell>
          <cell r="AA9">
            <v>357582</v>
          </cell>
          <cell r="AB9">
            <v>16165</v>
          </cell>
          <cell r="AC9">
            <v>289500</v>
          </cell>
        </row>
        <row r="10">
          <cell r="G10">
            <v>46104</v>
          </cell>
          <cell r="N10">
            <v>140170</v>
          </cell>
          <cell r="P10">
            <v>177520</v>
          </cell>
          <cell r="Z10">
            <v>26800</v>
          </cell>
          <cell r="AA10">
            <v>357582</v>
          </cell>
          <cell r="AB10">
            <v>16165</v>
          </cell>
          <cell r="AC10">
            <v>289500</v>
          </cell>
        </row>
        <row r="11">
          <cell r="G11">
            <v>46105</v>
          </cell>
          <cell r="N11">
            <v>125661</v>
          </cell>
          <cell r="P11">
            <v>172226</v>
          </cell>
          <cell r="Z11">
            <v>26800</v>
          </cell>
          <cell r="AA11">
            <v>357582</v>
          </cell>
          <cell r="AB11">
            <v>16165</v>
          </cell>
          <cell r="AC11">
            <v>289500</v>
          </cell>
        </row>
        <row r="12">
          <cell r="G12">
            <v>46106</v>
          </cell>
          <cell r="N12">
            <v>125360</v>
          </cell>
          <cell r="P12">
            <v>168786</v>
          </cell>
          <cell r="Z12">
            <v>26800</v>
          </cell>
          <cell r="AA12">
            <v>357582</v>
          </cell>
          <cell r="AB12">
            <v>16165</v>
          </cell>
          <cell r="AC12">
            <v>289500</v>
          </cell>
        </row>
        <row r="13">
          <cell r="G13">
            <v>46107</v>
          </cell>
          <cell r="N13">
            <v>121445</v>
          </cell>
          <cell r="P13">
            <v>164156</v>
          </cell>
          <cell r="Z13">
            <v>26800</v>
          </cell>
          <cell r="AA13">
            <v>357582</v>
          </cell>
          <cell r="AB13">
            <v>16165</v>
          </cell>
          <cell r="AC13">
            <v>289500</v>
          </cell>
        </row>
        <row r="14">
          <cell r="G14">
            <v>46108</v>
          </cell>
          <cell r="N14">
            <v>105147</v>
          </cell>
          <cell r="P14">
            <v>157835</v>
          </cell>
          <cell r="Z14">
            <v>26800</v>
          </cell>
          <cell r="AA14">
            <v>357582</v>
          </cell>
          <cell r="AB14">
            <v>16165</v>
          </cell>
          <cell r="AC14">
            <v>289500</v>
          </cell>
        </row>
        <row r="15">
          <cell r="G15">
            <v>46109</v>
          </cell>
          <cell r="N15">
            <v>105147</v>
          </cell>
          <cell r="P15">
            <v>157835</v>
          </cell>
          <cell r="Z15">
            <v>26800</v>
          </cell>
          <cell r="AA15">
            <v>357582</v>
          </cell>
          <cell r="AB15">
            <v>16165</v>
          </cell>
          <cell r="AC15">
            <v>289500</v>
          </cell>
        </row>
        <row r="16">
          <cell r="G16">
            <v>46110</v>
          </cell>
          <cell r="N16">
            <v>105147</v>
          </cell>
          <cell r="P16">
            <v>157835</v>
          </cell>
          <cell r="Z16">
            <v>26800</v>
          </cell>
          <cell r="AA16">
            <v>357582</v>
          </cell>
          <cell r="AB16">
            <v>16165</v>
          </cell>
          <cell r="AC16">
            <v>289500</v>
          </cell>
        </row>
        <row r="17">
          <cell r="G17">
            <v>46111</v>
          </cell>
          <cell r="N17">
            <v>100083</v>
          </cell>
          <cell r="P17">
            <v>151790</v>
          </cell>
          <cell r="Z17">
            <v>26800</v>
          </cell>
          <cell r="AA17">
            <v>357582</v>
          </cell>
          <cell r="AB17">
            <v>16165</v>
          </cell>
          <cell r="AC17">
            <v>289500</v>
          </cell>
        </row>
        <row r="18">
          <cell r="G18">
            <v>46112</v>
          </cell>
          <cell r="N18">
            <v>47286</v>
          </cell>
          <cell r="P18">
            <v>111464</v>
          </cell>
          <cell r="Z18">
            <v>26800</v>
          </cell>
          <cell r="AA18">
            <v>357582</v>
          </cell>
          <cell r="AB18">
            <v>16165</v>
          </cell>
          <cell r="AC18">
            <v>289500</v>
          </cell>
        </row>
        <row r="19">
          <cell r="G19">
            <v>46113</v>
          </cell>
          <cell r="N19">
            <v>47186</v>
          </cell>
          <cell r="P19">
            <v>111316</v>
          </cell>
          <cell r="Z19">
            <v>26800</v>
          </cell>
          <cell r="AA19">
            <v>357582</v>
          </cell>
          <cell r="AB19">
            <v>16165</v>
          </cell>
          <cell r="AC19">
            <v>289500</v>
          </cell>
        </row>
        <row r="20">
          <cell r="G20">
            <v>46114</v>
          </cell>
          <cell r="N20">
            <v>37116</v>
          </cell>
          <cell r="P20">
            <v>109381</v>
          </cell>
          <cell r="Z20">
            <v>26800</v>
          </cell>
          <cell r="AA20">
            <v>357582</v>
          </cell>
          <cell r="AB20">
            <v>16165</v>
          </cell>
          <cell r="AC20">
            <v>289500</v>
          </cell>
        </row>
        <row r="21">
          <cell r="G21">
            <v>46115</v>
          </cell>
          <cell r="N21">
            <v>37116</v>
          </cell>
          <cell r="P21">
            <v>109381</v>
          </cell>
          <cell r="Z21">
            <v>26800</v>
          </cell>
          <cell r="AA21">
            <v>357582</v>
          </cell>
          <cell r="AB21">
            <v>16165</v>
          </cell>
          <cell r="AC21">
            <v>289500</v>
          </cell>
        </row>
        <row r="22">
          <cell r="G22">
            <v>46116</v>
          </cell>
          <cell r="N22">
            <v>37116</v>
          </cell>
          <cell r="P22">
            <v>109381</v>
          </cell>
          <cell r="Z22">
            <v>26800</v>
          </cell>
          <cell r="AA22">
            <v>357582</v>
          </cell>
          <cell r="AB22">
            <v>16165</v>
          </cell>
          <cell r="AC22">
            <v>289500</v>
          </cell>
        </row>
        <row r="23">
          <cell r="G23">
            <v>46117</v>
          </cell>
          <cell r="N23">
            <v>37116</v>
          </cell>
          <cell r="P23">
            <v>109381</v>
          </cell>
          <cell r="Z23">
            <v>26800</v>
          </cell>
          <cell r="AA23">
            <v>357582</v>
          </cell>
          <cell r="AB23">
            <v>16165</v>
          </cell>
          <cell r="AC23">
            <v>289500</v>
          </cell>
        </row>
        <row r="24">
          <cell r="G24">
            <v>46118</v>
          </cell>
          <cell r="N24">
            <v>37116</v>
          </cell>
          <cell r="P24">
            <v>109381</v>
          </cell>
          <cell r="Z24">
            <v>26800</v>
          </cell>
          <cell r="AA24">
            <v>357582</v>
          </cell>
          <cell r="AB24">
            <v>16165</v>
          </cell>
          <cell r="AC24">
            <v>289500</v>
          </cell>
        </row>
        <row r="25">
          <cell r="G25">
            <v>46119</v>
          </cell>
          <cell r="N25">
            <v>28158.857142857145</v>
          </cell>
          <cell r="P25">
            <v>103352.42857142857</v>
          </cell>
          <cell r="Z25">
            <v>26800</v>
          </cell>
          <cell r="AA25">
            <v>357582</v>
          </cell>
          <cell r="AB25">
            <v>16165</v>
          </cell>
          <cell r="AC25">
            <v>289500</v>
          </cell>
        </row>
        <row r="26">
          <cell r="G26">
            <v>46120</v>
          </cell>
          <cell r="N26">
            <v>19201.71428571429</v>
          </cell>
          <cell r="P26">
            <v>97323.85714285713</v>
          </cell>
          <cell r="Z26">
            <v>26800</v>
          </cell>
          <cell r="AA26">
            <v>357582</v>
          </cell>
          <cell r="AB26">
            <v>16165</v>
          </cell>
          <cell r="AC26">
            <v>289500</v>
          </cell>
        </row>
        <row r="27">
          <cell r="G27">
            <v>46121</v>
          </cell>
          <cell r="N27">
            <v>10244.571428571433</v>
          </cell>
          <cell r="P27">
            <v>91295.285714285696</v>
          </cell>
          <cell r="Z27">
            <v>26800</v>
          </cell>
          <cell r="AA27">
            <v>357582</v>
          </cell>
          <cell r="AB27">
            <v>16165</v>
          </cell>
          <cell r="AC27">
            <v>289500</v>
          </cell>
        </row>
        <row r="28">
          <cell r="G28">
            <v>46122</v>
          </cell>
          <cell r="N28">
            <v>1287.4285714285761</v>
          </cell>
          <cell r="P28">
            <v>85266.714285714261</v>
          </cell>
          <cell r="Z28">
            <v>26800</v>
          </cell>
          <cell r="AA28">
            <v>357582</v>
          </cell>
          <cell r="AB28">
            <v>16165</v>
          </cell>
          <cell r="AC28">
            <v>289500</v>
          </cell>
        </row>
        <row r="29">
          <cell r="G29">
            <v>46123</v>
          </cell>
          <cell r="N29">
            <v>-7669.7142857142808</v>
          </cell>
          <cell r="P29">
            <v>79238.142857142826</v>
          </cell>
          <cell r="Z29">
            <v>26800</v>
          </cell>
          <cell r="AA29">
            <v>357582</v>
          </cell>
          <cell r="AB29">
            <v>16165</v>
          </cell>
          <cell r="AC29">
            <v>289500</v>
          </cell>
        </row>
        <row r="30">
          <cell r="G30">
            <v>46124</v>
          </cell>
          <cell r="N30">
            <v>-16626.857142857138</v>
          </cell>
          <cell r="P30">
            <v>73209.571428571391</v>
          </cell>
          <cell r="Z30">
            <v>26800</v>
          </cell>
          <cell r="AA30">
            <v>357582</v>
          </cell>
          <cell r="AB30">
            <v>16165</v>
          </cell>
          <cell r="AC30">
            <v>289500</v>
          </cell>
        </row>
        <row r="31">
          <cell r="G31">
            <v>46125</v>
          </cell>
          <cell r="N31">
            <v>-25583.999999999993</v>
          </cell>
          <cell r="P31">
            <v>67180.999999999956</v>
          </cell>
          <cell r="Z31">
            <v>26800</v>
          </cell>
          <cell r="AA31">
            <v>357582</v>
          </cell>
          <cell r="AB31">
            <v>16165</v>
          </cell>
          <cell r="AC31">
            <v>289500</v>
          </cell>
        </row>
        <row r="32">
          <cell r="G32">
            <v>46126</v>
          </cell>
          <cell r="N32">
            <v>-34541.142857142848</v>
          </cell>
          <cell r="P32">
            <v>61152.428571428529</v>
          </cell>
          <cell r="Z32">
            <v>26800</v>
          </cell>
          <cell r="AA32">
            <v>357582</v>
          </cell>
          <cell r="AB32">
            <v>16165</v>
          </cell>
          <cell r="AC32">
            <v>289500</v>
          </cell>
        </row>
        <row r="33">
          <cell r="G33">
            <v>46127</v>
          </cell>
          <cell r="N33">
            <v>-43498.285714285703</v>
          </cell>
          <cell r="P33">
            <v>55123.857142857101</v>
          </cell>
          <cell r="Z33">
            <v>26800</v>
          </cell>
          <cell r="AA33">
            <v>357582</v>
          </cell>
          <cell r="AB33">
            <v>16165</v>
          </cell>
          <cell r="AC33">
            <v>289500</v>
          </cell>
        </row>
        <row r="34">
          <cell r="G34">
            <v>46128</v>
          </cell>
          <cell r="N34">
            <v>-52455.428571428558</v>
          </cell>
          <cell r="P34">
            <v>49095.285714285674</v>
          </cell>
          <cell r="Z34">
            <v>26800</v>
          </cell>
          <cell r="AA34">
            <v>357582</v>
          </cell>
          <cell r="AB34">
            <v>16165</v>
          </cell>
          <cell r="AC34">
            <v>289500</v>
          </cell>
        </row>
        <row r="35">
          <cell r="G35">
            <v>46129</v>
          </cell>
          <cell r="N35">
            <v>-61412.571428571413</v>
          </cell>
          <cell r="P35">
            <v>43066.714285714246</v>
          </cell>
          <cell r="Z35">
            <v>26800</v>
          </cell>
          <cell r="AA35">
            <v>357582</v>
          </cell>
          <cell r="AB35">
            <v>16165</v>
          </cell>
          <cell r="AC35">
            <v>289500</v>
          </cell>
        </row>
        <row r="36">
          <cell r="G36">
            <v>46130</v>
          </cell>
          <cell r="N36">
            <v>-70369.714285714275</v>
          </cell>
          <cell r="P36">
            <v>37038.142857142819</v>
          </cell>
          <cell r="Z36">
            <v>26800</v>
          </cell>
          <cell r="AA36">
            <v>357582</v>
          </cell>
          <cell r="AB36">
            <v>16165</v>
          </cell>
          <cell r="AC36">
            <v>289500</v>
          </cell>
        </row>
        <row r="37">
          <cell r="G37">
            <v>46131</v>
          </cell>
          <cell r="N37">
            <v>-79326.85714285713</v>
          </cell>
          <cell r="P37">
            <v>31009.571428571391</v>
          </cell>
          <cell r="Z37">
            <v>26800</v>
          </cell>
          <cell r="AA37">
            <v>357582</v>
          </cell>
          <cell r="AB37">
            <v>16165</v>
          </cell>
          <cell r="AC37">
            <v>289500</v>
          </cell>
        </row>
        <row r="38">
          <cell r="G38">
            <v>46132</v>
          </cell>
          <cell r="N38">
            <v>-88283.999999999985</v>
          </cell>
          <cell r="P38">
            <v>24980.999999999964</v>
          </cell>
          <cell r="Z38">
            <v>26800</v>
          </cell>
          <cell r="AA38">
            <v>357582</v>
          </cell>
          <cell r="AB38">
            <v>16165</v>
          </cell>
          <cell r="AC38">
            <v>289500</v>
          </cell>
        </row>
        <row r="39">
          <cell r="G39">
            <v>46133</v>
          </cell>
          <cell r="N39">
            <v>-97241.142857142841</v>
          </cell>
          <cell r="P39">
            <v>18952.428571428536</v>
          </cell>
          <cell r="Z39">
            <v>26800</v>
          </cell>
          <cell r="AA39">
            <v>357582</v>
          </cell>
          <cell r="AB39">
            <v>16165</v>
          </cell>
          <cell r="AC39">
            <v>289500</v>
          </cell>
        </row>
        <row r="40">
          <cell r="G40">
            <v>46134</v>
          </cell>
          <cell r="N40">
            <v>-106198.2857142857</v>
          </cell>
          <cell r="P40">
            <v>12923.857142857109</v>
          </cell>
          <cell r="Z40">
            <v>26800</v>
          </cell>
          <cell r="AA40">
            <v>357582</v>
          </cell>
          <cell r="AB40">
            <v>16165</v>
          </cell>
          <cell r="AC40">
            <v>289500</v>
          </cell>
        </row>
        <row r="41">
          <cell r="G41">
            <v>46135</v>
          </cell>
          <cell r="N41">
            <v>-115155.42857142855</v>
          </cell>
          <cell r="P41">
            <v>6895.2857142856801</v>
          </cell>
          <cell r="Z41">
            <v>26800</v>
          </cell>
          <cell r="AA41">
            <v>357582</v>
          </cell>
          <cell r="AB41">
            <v>16165</v>
          </cell>
          <cell r="AC41">
            <v>289500</v>
          </cell>
        </row>
        <row r="42">
          <cell r="G42">
            <v>46136</v>
          </cell>
          <cell r="N42">
            <v>-124112.57142857141</v>
          </cell>
          <cell r="P42">
            <v>866.71428571425167</v>
          </cell>
          <cell r="Z42">
            <v>26800</v>
          </cell>
          <cell r="AA42">
            <v>357582</v>
          </cell>
          <cell r="AB42">
            <v>16165</v>
          </cell>
          <cell r="AC42">
            <v>289500</v>
          </cell>
        </row>
        <row r="43">
          <cell r="G43">
            <v>46137</v>
          </cell>
          <cell r="N43">
            <v>-133069.71428571426</v>
          </cell>
          <cell r="P43">
            <v>-5161.8571428571768</v>
          </cell>
          <cell r="Z43">
            <v>26800</v>
          </cell>
          <cell r="AA43">
            <v>357582</v>
          </cell>
          <cell r="AB43">
            <v>16165</v>
          </cell>
          <cell r="AC43">
            <v>289500</v>
          </cell>
        </row>
        <row r="44">
          <cell r="G44">
            <v>46138</v>
          </cell>
          <cell r="N44">
            <v>-142026.85714285713</v>
          </cell>
          <cell r="P44">
            <v>-11190.428571428605</v>
          </cell>
          <cell r="Z44">
            <v>26800</v>
          </cell>
          <cell r="AA44">
            <v>357582</v>
          </cell>
          <cell r="AB44">
            <v>16165</v>
          </cell>
          <cell r="AC44">
            <v>289500</v>
          </cell>
        </row>
        <row r="45">
          <cell r="G45">
            <v>46139</v>
          </cell>
          <cell r="N45">
            <v>-150984</v>
          </cell>
          <cell r="P45">
            <v>-17219.000000000033</v>
          </cell>
          <cell r="Z45">
            <v>26800</v>
          </cell>
          <cell r="AA45">
            <v>357582</v>
          </cell>
          <cell r="AB45">
            <v>16165</v>
          </cell>
          <cell r="AC45">
            <v>289500</v>
          </cell>
        </row>
        <row r="46">
          <cell r="G46">
            <v>46140</v>
          </cell>
          <cell r="N46">
            <v>-159941.14285714287</v>
          </cell>
          <cell r="P46">
            <v>-23247.57142857146</v>
          </cell>
          <cell r="Z46">
            <v>26800</v>
          </cell>
          <cell r="AA46">
            <v>357582</v>
          </cell>
          <cell r="AB46">
            <v>16165</v>
          </cell>
          <cell r="AC46">
            <v>289500</v>
          </cell>
        </row>
        <row r="47">
          <cell r="G47">
            <v>46141</v>
          </cell>
          <cell r="N47">
            <v>-168898.28571428574</v>
          </cell>
          <cell r="P47">
            <v>-29276.142857142888</v>
          </cell>
          <cell r="Z47">
            <v>26800</v>
          </cell>
          <cell r="AA47">
            <v>357582</v>
          </cell>
          <cell r="AB47">
            <v>16165</v>
          </cell>
          <cell r="AC47">
            <v>289500</v>
          </cell>
        </row>
        <row r="48">
          <cell r="G48">
            <v>46142</v>
          </cell>
          <cell r="N48">
            <v>-177855.42857142861</v>
          </cell>
          <cell r="P48">
            <v>-35304.714285714319</v>
          </cell>
          <cell r="Z48">
            <v>26800</v>
          </cell>
          <cell r="AA48">
            <v>357582</v>
          </cell>
          <cell r="AB48">
            <v>16165</v>
          </cell>
          <cell r="AC48">
            <v>289500</v>
          </cell>
        </row>
        <row r="49">
          <cell r="G49">
            <v>46143</v>
          </cell>
          <cell r="N49">
            <v>-186812.57142857148</v>
          </cell>
          <cell r="P49">
            <v>-41333.285714285747</v>
          </cell>
          <cell r="Z49">
            <v>26800</v>
          </cell>
          <cell r="AA49">
            <v>357582</v>
          </cell>
          <cell r="AB49">
            <v>16165</v>
          </cell>
          <cell r="AC49">
            <v>289500</v>
          </cell>
        </row>
        <row r="50">
          <cell r="G50">
            <v>46144</v>
          </cell>
          <cell r="N50">
            <v>-195769.71428571435</v>
          </cell>
          <cell r="P50">
            <v>-47361.857142857174</v>
          </cell>
          <cell r="Z50">
            <v>26800</v>
          </cell>
          <cell r="AA50">
            <v>357582</v>
          </cell>
          <cell r="AB50">
            <v>16165</v>
          </cell>
          <cell r="AC50">
            <v>289500</v>
          </cell>
        </row>
        <row r="51">
          <cell r="G51">
            <v>46145</v>
          </cell>
          <cell r="N51">
            <v>-204726.85714285722</v>
          </cell>
          <cell r="P51">
            <v>-53390.428571428602</v>
          </cell>
          <cell r="Z51">
            <v>26800</v>
          </cell>
          <cell r="AA51">
            <v>357582</v>
          </cell>
          <cell r="AB51">
            <v>16165</v>
          </cell>
          <cell r="AC51">
            <v>289500</v>
          </cell>
        </row>
        <row r="52">
          <cell r="G52">
            <v>46146</v>
          </cell>
          <cell r="N52">
            <v>-213684.00000000009</v>
          </cell>
          <cell r="P52">
            <v>-59419.000000000029</v>
          </cell>
          <cell r="Z52">
            <v>26800</v>
          </cell>
          <cell r="AA52">
            <v>357582</v>
          </cell>
          <cell r="AB52">
            <v>16165</v>
          </cell>
          <cell r="AC52">
            <v>289500</v>
          </cell>
        </row>
        <row r="53">
          <cell r="G53">
            <v>46147</v>
          </cell>
          <cell r="N53">
            <v>-222641.14285714296</v>
          </cell>
          <cell r="P53">
            <v>-65447.571428571457</v>
          </cell>
          <cell r="Z53">
            <v>26800</v>
          </cell>
          <cell r="AA53">
            <v>357582</v>
          </cell>
          <cell r="AB53">
            <v>16165</v>
          </cell>
          <cell r="AC53">
            <v>289500</v>
          </cell>
        </row>
        <row r="54">
          <cell r="G54">
            <v>46148</v>
          </cell>
          <cell r="N54">
            <v>-231598.28571428583</v>
          </cell>
          <cell r="P54">
            <v>-71476.142857142884</v>
          </cell>
          <cell r="Z54">
            <v>26800</v>
          </cell>
          <cell r="AA54">
            <v>357582</v>
          </cell>
          <cell r="AB54">
            <v>16165</v>
          </cell>
          <cell r="AC54">
            <v>289500</v>
          </cell>
        </row>
        <row r="55">
          <cell r="G55">
            <v>46149</v>
          </cell>
          <cell r="N55">
            <v>-240555.4285714287</v>
          </cell>
          <cell r="P55">
            <v>-77504.714285714319</v>
          </cell>
          <cell r="Z55">
            <v>26800</v>
          </cell>
          <cell r="AA55">
            <v>357582</v>
          </cell>
          <cell r="AB55">
            <v>16165</v>
          </cell>
          <cell r="AC55">
            <v>289500</v>
          </cell>
        </row>
        <row r="56">
          <cell r="G56">
            <v>46150</v>
          </cell>
          <cell r="N56">
            <v>-249512.57142857157</v>
          </cell>
          <cell r="P56">
            <v>-83533.285714285754</v>
          </cell>
          <cell r="Z56">
            <v>26800</v>
          </cell>
          <cell r="AA56">
            <v>357582</v>
          </cell>
          <cell r="AB56">
            <v>16165</v>
          </cell>
          <cell r="AC56">
            <v>289500</v>
          </cell>
        </row>
        <row r="57">
          <cell r="G57">
            <v>46151</v>
          </cell>
          <cell r="N57">
            <v>-258469.71428571444</v>
          </cell>
          <cell r="P57">
            <v>-89561.857142857189</v>
          </cell>
          <cell r="Z57">
            <v>26800</v>
          </cell>
          <cell r="AA57">
            <v>357582</v>
          </cell>
          <cell r="AB57">
            <v>16165</v>
          </cell>
          <cell r="AC57">
            <v>289500</v>
          </cell>
        </row>
        <row r="58">
          <cell r="G58">
            <v>46152</v>
          </cell>
          <cell r="N58">
            <v>-267426.85714285728</v>
          </cell>
          <cell r="P58">
            <v>-95590.428571428623</v>
          </cell>
          <cell r="Z58">
            <v>26800</v>
          </cell>
          <cell r="AA58">
            <v>357582</v>
          </cell>
          <cell r="AB58">
            <v>16165</v>
          </cell>
          <cell r="AC58">
            <v>289500</v>
          </cell>
        </row>
        <row r="59">
          <cell r="G59">
            <v>46153</v>
          </cell>
          <cell r="N59">
            <v>-276384.00000000012</v>
          </cell>
          <cell r="P59">
            <v>-101619.00000000006</v>
          </cell>
          <cell r="Z59">
            <v>26800</v>
          </cell>
          <cell r="AA59">
            <v>357582</v>
          </cell>
          <cell r="AB59">
            <v>16165</v>
          </cell>
          <cell r="AC59">
            <v>289500</v>
          </cell>
        </row>
        <row r="60">
          <cell r="G60">
            <v>46154</v>
          </cell>
          <cell r="N60">
            <v>-285341.14285714296</v>
          </cell>
          <cell r="P60">
            <v>-107647.57142857149</v>
          </cell>
          <cell r="Z60">
            <v>26800</v>
          </cell>
          <cell r="AA60">
            <v>357582</v>
          </cell>
          <cell r="AB60">
            <v>16165</v>
          </cell>
          <cell r="AC60">
            <v>289500</v>
          </cell>
        </row>
        <row r="61">
          <cell r="G61">
            <v>46155</v>
          </cell>
          <cell r="N61">
            <v>-294298.2857142858</v>
          </cell>
          <cell r="P61">
            <v>-113676.14285714293</v>
          </cell>
          <cell r="Z61">
            <v>26800</v>
          </cell>
          <cell r="AA61">
            <v>357582</v>
          </cell>
          <cell r="AB61">
            <v>16165</v>
          </cell>
          <cell r="AC61">
            <v>289500</v>
          </cell>
        </row>
        <row r="62">
          <cell r="G62">
            <v>46156</v>
          </cell>
          <cell r="N62">
            <v>-303255.42857142864</v>
          </cell>
          <cell r="P62">
            <v>-119704.71428571436</v>
          </cell>
          <cell r="Z62">
            <v>26800</v>
          </cell>
          <cell r="AA62">
            <v>357582</v>
          </cell>
          <cell r="AB62">
            <v>16165</v>
          </cell>
          <cell r="AC62">
            <v>289500</v>
          </cell>
        </row>
        <row r="63">
          <cell r="G63">
            <v>46157</v>
          </cell>
          <cell r="N63">
            <v>-312212.57142857148</v>
          </cell>
          <cell r="P63">
            <v>-125733.2857142858</v>
          </cell>
          <cell r="Z63">
            <v>26800</v>
          </cell>
          <cell r="AA63">
            <v>357582</v>
          </cell>
          <cell r="AB63">
            <v>16165</v>
          </cell>
          <cell r="AC63">
            <v>289500</v>
          </cell>
        </row>
        <row r="64">
          <cell r="G64">
            <v>46158</v>
          </cell>
          <cell r="N64">
            <v>-321169.71428571432</v>
          </cell>
          <cell r="P64">
            <v>-131761.85714285722</v>
          </cell>
          <cell r="Z64">
            <v>26800</v>
          </cell>
          <cell r="AA64">
            <v>357582</v>
          </cell>
          <cell r="AB64">
            <v>16165</v>
          </cell>
          <cell r="AC64">
            <v>289500</v>
          </cell>
        </row>
        <row r="65">
          <cell r="G65">
            <v>46159</v>
          </cell>
          <cell r="N65">
            <v>-330126.85714285716</v>
          </cell>
          <cell r="P65">
            <v>-137790.42857142864</v>
          </cell>
          <cell r="Z65">
            <v>26800</v>
          </cell>
          <cell r="AA65">
            <v>357582</v>
          </cell>
          <cell r="AB65">
            <v>16165</v>
          </cell>
          <cell r="AC65">
            <v>289500</v>
          </cell>
        </row>
        <row r="66">
          <cell r="G66">
            <v>46160</v>
          </cell>
          <cell r="N66">
            <v>-339084</v>
          </cell>
          <cell r="P66">
            <v>-143819.00000000006</v>
          </cell>
          <cell r="Z66">
            <v>26800</v>
          </cell>
          <cell r="AA66">
            <v>357582</v>
          </cell>
          <cell r="AB66">
            <v>16165</v>
          </cell>
          <cell r="AC66">
            <v>289500</v>
          </cell>
        </row>
        <row r="67">
          <cell r="G67">
            <v>46161</v>
          </cell>
          <cell r="N67">
            <v>-348041.14285714284</v>
          </cell>
          <cell r="P67">
            <v>-149847.57142857148</v>
          </cell>
          <cell r="Z67">
            <v>26800</v>
          </cell>
          <cell r="AA67">
            <v>357582</v>
          </cell>
          <cell r="AB67">
            <v>16165</v>
          </cell>
          <cell r="AC67">
            <v>289500</v>
          </cell>
        </row>
        <row r="68">
          <cell r="G68">
            <v>46162</v>
          </cell>
          <cell r="N68">
            <v>-356998.28571428568</v>
          </cell>
          <cell r="P68">
            <v>-155876.1428571429</v>
          </cell>
          <cell r="Z68">
            <v>26800</v>
          </cell>
          <cell r="AA68">
            <v>357582</v>
          </cell>
          <cell r="AB68">
            <v>16165</v>
          </cell>
          <cell r="AC68">
            <v>289500</v>
          </cell>
        </row>
        <row r="69">
          <cell r="G69">
            <v>46163</v>
          </cell>
          <cell r="N69">
            <v>-365955.42857142852</v>
          </cell>
          <cell r="P69">
            <v>-161904.71428571432</v>
          </cell>
          <cell r="Z69">
            <v>26800</v>
          </cell>
          <cell r="AA69">
            <v>357582</v>
          </cell>
          <cell r="AB69">
            <v>16165</v>
          </cell>
          <cell r="AC69">
            <v>289500</v>
          </cell>
        </row>
        <row r="70">
          <cell r="G70">
            <v>46164</v>
          </cell>
          <cell r="N70">
            <v>-374912.57142857136</v>
          </cell>
          <cell r="P70">
            <v>-167933.28571428574</v>
          </cell>
          <cell r="Z70">
            <v>26800</v>
          </cell>
          <cell r="AA70">
            <v>357582</v>
          </cell>
          <cell r="AB70">
            <v>16165</v>
          </cell>
          <cell r="AC70">
            <v>289500</v>
          </cell>
        </row>
        <row r="71">
          <cell r="G71">
            <v>46165</v>
          </cell>
          <cell r="N71">
            <v>-383869.7142857142</v>
          </cell>
          <cell r="P71">
            <v>-173961.85714285716</v>
          </cell>
          <cell r="Z71">
            <v>26800</v>
          </cell>
          <cell r="AA71">
            <v>357582</v>
          </cell>
          <cell r="AB71">
            <v>16165</v>
          </cell>
          <cell r="AC71">
            <v>289500</v>
          </cell>
        </row>
        <row r="72">
          <cell r="G72">
            <v>46166</v>
          </cell>
          <cell r="N72">
            <v>-392826.85714285704</v>
          </cell>
          <cell r="P72">
            <v>-179990.42857142858</v>
          </cell>
          <cell r="Z72">
            <v>26800</v>
          </cell>
          <cell r="AA72">
            <v>357582</v>
          </cell>
          <cell r="AB72">
            <v>16165</v>
          </cell>
          <cell r="AC72">
            <v>289500</v>
          </cell>
        </row>
        <row r="73">
          <cell r="G73">
            <v>46167</v>
          </cell>
          <cell r="N73">
            <v>-401783.99999999988</v>
          </cell>
          <cell r="P73">
            <v>-186019</v>
          </cell>
          <cell r="Z73">
            <v>26800</v>
          </cell>
          <cell r="AA73">
            <v>357582</v>
          </cell>
          <cell r="AB73">
            <v>16165</v>
          </cell>
          <cell r="AC73">
            <v>289500</v>
          </cell>
        </row>
        <row r="74">
          <cell r="G74">
            <v>46168</v>
          </cell>
          <cell r="N74">
            <v>-410741.14285714272</v>
          </cell>
          <cell r="P74">
            <v>-192047.57142857142</v>
          </cell>
          <cell r="Z74">
            <v>26800</v>
          </cell>
          <cell r="AA74">
            <v>357582</v>
          </cell>
          <cell r="AB74">
            <v>16165</v>
          </cell>
          <cell r="AC74">
            <v>289500</v>
          </cell>
        </row>
        <row r="75">
          <cell r="G75">
            <v>46169</v>
          </cell>
          <cell r="N75">
            <v>-419698.28571428556</v>
          </cell>
          <cell r="P75">
            <v>-198076.14285714284</v>
          </cell>
          <cell r="Z75">
            <v>26800</v>
          </cell>
          <cell r="AA75">
            <v>357582</v>
          </cell>
          <cell r="AB75">
            <v>16165</v>
          </cell>
          <cell r="AC75">
            <v>289500</v>
          </cell>
        </row>
        <row r="76">
          <cell r="G76">
            <v>46170</v>
          </cell>
          <cell r="N76">
            <v>-428655.42857142841</v>
          </cell>
          <cell r="P76">
            <v>-204104.71428571426</v>
          </cell>
          <cell r="Z76">
            <v>26800</v>
          </cell>
          <cell r="AA76">
            <v>357582</v>
          </cell>
          <cell r="AB76">
            <v>16165</v>
          </cell>
          <cell r="AC76">
            <v>289500</v>
          </cell>
        </row>
        <row r="77">
          <cell r="G77">
            <v>46171</v>
          </cell>
          <cell r="N77">
            <v>-437612.57142857125</v>
          </cell>
          <cell r="P77">
            <v>-210133.28571428568</v>
          </cell>
          <cell r="Z77">
            <v>26800</v>
          </cell>
          <cell r="AA77">
            <v>357582</v>
          </cell>
          <cell r="AB77">
            <v>16165</v>
          </cell>
          <cell r="AC77">
            <v>289500</v>
          </cell>
        </row>
        <row r="78">
          <cell r="G78">
            <v>46172</v>
          </cell>
          <cell r="N78">
            <v>-446569.71428571409</v>
          </cell>
          <cell r="P78">
            <v>-216161.8571428571</v>
          </cell>
          <cell r="Z78">
            <v>26800</v>
          </cell>
          <cell r="AA78">
            <v>357582</v>
          </cell>
          <cell r="AB78">
            <v>16165</v>
          </cell>
          <cell r="AC78">
            <v>289500</v>
          </cell>
        </row>
        <row r="79">
          <cell r="G79">
            <v>46173</v>
          </cell>
          <cell r="N79">
            <v>-455526.85714285693</v>
          </cell>
          <cell r="P79">
            <v>-222190.42857142852</v>
          </cell>
          <cell r="Z79">
            <v>26800</v>
          </cell>
          <cell r="AA79">
            <v>357582</v>
          </cell>
          <cell r="AB79">
            <v>16165</v>
          </cell>
          <cell r="AC79">
            <v>289500</v>
          </cell>
        </row>
        <row r="80">
          <cell r="G80">
            <v>46174</v>
          </cell>
          <cell r="N80">
            <v>-464483.99999999977</v>
          </cell>
          <cell r="P80">
            <v>-228218.99999999994</v>
          </cell>
          <cell r="Z80">
            <v>26800</v>
          </cell>
          <cell r="AA80">
            <v>357582</v>
          </cell>
          <cell r="AB80">
            <v>16165</v>
          </cell>
          <cell r="AC80">
            <v>289500</v>
          </cell>
        </row>
        <row r="81">
          <cell r="G81">
            <v>46175</v>
          </cell>
          <cell r="N81">
            <v>-473441.14285714261</v>
          </cell>
          <cell r="P81">
            <v>-234247.57142857136</v>
          </cell>
          <cell r="Z81">
            <v>26800</v>
          </cell>
          <cell r="AA81">
            <v>357582</v>
          </cell>
          <cell r="AB81">
            <v>16165</v>
          </cell>
          <cell r="AC81">
            <v>289500</v>
          </cell>
        </row>
        <row r="82">
          <cell r="G82">
            <v>46176</v>
          </cell>
          <cell r="N82">
            <v>-482398.28571428545</v>
          </cell>
          <cell r="P82">
            <v>-240276.14285714278</v>
          </cell>
          <cell r="Z82">
            <v>26800</v>
          </cell>
          <cell r="AA82">
            <v>357582</v>
          </cell>
          <cell r="AB82">
            <v>16165</v>
          </cell>
          <cell r="AC82">
            <v>289500</v>
          </cell>
        </row>
        <row r="83">
          <cell r="G83">
            <v>46177</v>
          </cell>
          <cell r="N83">
            <v>-491355.42857142829</v>
          </cell>
          <cell r="P83">
            <v>-246304.7142857142</v>
          </cell>
          <cell r="Z83">
            <v>26800</v>
          </cell>
          <cell r="AA83">
            <v>357582</v>
          </cell>
          <cell r="AB83">
            <v>16165</v>
          </cell>
          <cell r="AC83">
            <v>289500</v>
          </cell>
        </row>
        <row r="84">
          <cell r="G84">
            <v>46178</v>
          </cell>
          <cell r="N84">
            <v>-500312.57142857113</v>
          </cell>
          <cell r="P84">
            <v>-252333.28571428562</v>
          </cell>
          <cell r="Z84">
            <v>26800</v>
          </cell>
          <cell r="AA84">
            <v>357582</v>
          </cell>
          <cell r="AB84">
            <v>16165</v>
          </cell>
          <cell r="AC84">
            <v>289500</v>
          </cell>
        </row>
        <row r="85">
          <cell r="G85">
            <v>46179</v>
          </cell>
          <cell r="N85">
            <v>-509269.71428571397</v>
          </cell>
          <cell r="P85">
            <v>-258361.85714285704</v>
          </cell>
          <cell r="Z85">
            <v>26800</v>
          </cell>
          <cell r="AA85">
            <v>357582</v>
          </cell>
          <cell r="AB85">
            <v>16165</v>
          </cell>
          <cell r="AC85">
            <v>289500</v>
          </cell>
        </row>
        <row r="86">
          <cell r="G86">
            <v>46180</v>
          </cell>
          <cell r="N86">
            <v>-518226.85714285681</v>
          </cell>
          <cell r="P86">
            <v>-264390.42857142846</v>
          </cell>
          <cell r="Z86">
            <v>26800</v>
          </cell>
          <cell r="AA86">
            <v>357582</v>
          </cell>
          <cell r="AB86">
            <v>16165</v>
          </cell>
          <cell r="AC86">
            <v>289500</v>
          </cell>
        </row>
        <row r="87">
          <cell r="G87">
            <v>46181</v>
          </cell>
          <cell r="N87">
            <v>-527183.99999999965</v>
          </cell>
          <cell r="P87">
            <v>-270418.99999999988</v>
          </cell>
          <cell r="Z87">
            <v>26800</v>
          </cell>
          <cell r="AA87">
            <v>357582</v>
          </cell>
          <cell r="AB87">
            <v>16165</v>
          </cell>
          <cell r="AC87">
            <v>289500</v>
          </cell>
        </row>
        <row r="88">
          <cell r="G88">
            <v>46182</v>
          </cell>
          <cell r="N88">
            <v>-536141.14285714249</v>
          </cell>
          <cell r="P88">
            <v>-276447.5714285713</v>
          </cell>
          <cell r="Z88">
            <v>26800</v>
          </cell>
          <cell r="AA88">
            <v>357582</v>
          </cell>
          <cell r="AB88">
            <v>16165</v>
          </cell>
          <cell r="AC88">
            <v>289500</v>
          </cell>
        </row>
        <row r="89">
          <cell r="G89">
            <v>46183</v>
          </cell>
          <cell r="N89">
            <v>-545098.28571428533</v>
          </cell>
          <cell r="P89">
            <v>-282476.14285714272</v>
          </cell>
          <cell r="Z89">
            <v>26800</v>
          </cell>
          <cell r="AA89">
            <v>357582</v>
          </cell>
          <cell r="AB89">
            <v>16165</v>
          </cell>
          <cell r="AC89">
            <v>289500</v>
          </cell>
        </row>
        <row r="90">
          <cell r="G90">
            <v>46184</v>
          </cell>
          <cell r="N90">
            <v>-554055.42857142817</v>
          </cell>
          <cell r="P90">
            <v>-288504.71428571414</v>
          </cell>
          <cell r="Z90">
            <v>26800</v>
          </cell>
          <cell r="AA90">
            <v>357582</v>
          </cell>
          <cell r="AB90">
            <v>16165</v>
          </cell>
          <cell r="AC90">
            <v>289500</v>
          </cell>
        </row>
        <row r="91">
          <cell r="G91">
            <v>46185</v>
          </cell>
          <cell r="N91">
            <v>-563012.57142857101</v>
          </cell>
          <cell r="P91">
            <v>-294533.28571428556</v>
          </cell>
          <cell r="Z91">
            <v>26800</v>
          </cell>
          <cell r="AA91">
            <v>357582</v>
          </cell>
          <cell r="AB91">
            <v>16165</v>
          </cell>
          <cell r="AC91">
            <v>289500</v>
          </cell>
        </row>
        <row r="92">
          <cell r="G92">
            <v>46186</v>
          </cell>
          <cell r="N92">
            <v>-571969.71428571385</v>
          </cell>
          <cell r="P92">
            <v>-300561.85714285698</v>
          </cell>
          <cell r="Z92">
            <v>26800</v>
          </cell>
          <cell r="AA92">
            <v>357582</v>
          </cell>
          <cell r="AB92">
            <v>16165</v>
          </cell>
          <cell r="AC92">
            <v>289500</v>
          </cell>
        </row>
        <row r="93">
          <cell r="G93">
            <v>46187</v>
          </cell>
          <cell r="N93">
            <v>-580926.85714285669</v>
          </cell>
          <cell r="P93">
            <v>-306590.42857142841</v>
          </cell>
          <cell r="Z93">
            <v>26800</v>
          </cell>
          <cell r="AA93">
            <v>357582</v>
          </cell>
          <cell r="AB93">
            <v>16165</v>
          </cell>
          <cell r="AC93">
            <v>289500</v>
          </cell>
        </row>
        <row r="94">
          <cell r="G94">
            <v>46188</v>
          </cell>
          <cell r="N94">
            <v>-589883.99999999953</v>
          </cell>
          <cell r="P94">
            <v>-312618.99999999983</v>
          </cell>
          <cell r="Z94">
            <v>26800</v>
          </cell>
          <cell r="AA94">
            <v>357582</v>
          </cell>
          <cell r="AB94">
            <v>16165</v>
          </cell>
          <cell r="AC94">
            <v>289500</v>
          </cell>
        </row>
        <row r="95">
          <cell r="G95">
            <v>46189</v>
          </cell>
          <cell r="N95">
            <v>-598841.14285714237</v>
          </cell>
          <cell r="P95">
            <v>-318647.57142857125</v>
          </cell>
          <cell r="Z95">
            <v>26800</v>
          </cell>
          <cell r="AA95">
            <v>357582</v>
          </cell>
          <cell r="AB95">
            <v>16165</v>
          </cell>
          <cell r="AC95">
            <v>289500</v>
          </cell>
        </row>
        <row r="96">
          <cell r="G96">
            <v>46190</v>
          </cell>
          <cell r="N96">
            <v>-607798.28571428522</v>
          </cell>
          <cell r="P96">
            <v>-324676.14285714267</v>
          </cell>
          <cell r="Z96">
            <v>26800</v>
          </cell>
          <cell r="AA96">
            <v>357582</v>
          </cell>
          <cell r="AB96">
            <v>16165</v>
          </cell>
          <cell r="AC96">
            <v>289500</v>
          </cell>
        </row>
        <row r="97">
          <cell r="G97">
            <v>46191</v>
          </cell>
          <cell r="N97">
            <v>-616755.42857142806</v>
          </cell>
          <cell r="P97">
            <v>-330704.71428571409</v>
          </cell>
          <cell r="Z97">
            <v>26800</v>
          </cell>
          <cell r="AA97">
            <v>357582</v>
          </cell>
          <cell r="AB97">
            <v>16165</v>
          </cell>
          <cell r="AC97">
            <v>289500</v>
          </cell>
        </row>
        <row r="98">
          <cell r="G98">
            <v>46192</v>
          </cell>
          <cell r="N98">
            <v>-625712.5714285709</v>
          </cell>
          <cell r="P98">
            <v>-336733.28571428551</v>
          </cell>
          <cell r="Z98">
            <v>26800</v>
          </cell>
          <cell r="AA98">
            <v>357582</v>
          </cell>
          <cell r="AB98">
            <v>16165</v>
          </cell>
          <cell r="AC98">
            <v>289500</v>
          </cell>
        </row>
        <row r="99">
          <cell r="G99">
            <v>46193</v>
          </cell>
          <cell r="N99">
            <v>-634669.71428571374</v>
          </cell>
          <cell r="P99">
            <v>-342761.85714285693</v>
          </cell>
          <cell r="Z99">
            <v>26800</v>
          </cell>
          <cell r="AA99">
            <v>357582</v>
          </cell>
          <cell r="AB99">
            <v>16165</v>
          </cell>
          <cell r="AC99">
            <v>289500</v>
          </cell>
        </row>
        <row r="100">
          <cell r="G100">
            <v>46194</v>
          </cell>
          <cell r="N100">
            <v>-643626.85714285658</v>
          </cell>
          <cell r="P100">
            <v>-348790.42857142835</v>
          </cell>
          <cell r="Z100">
            <v>26800</v>
          </cell>
          <cell r="AA100">
            <v>357582</v>
          </cell>
          <cell r="AB100">
            <v>16165</v>
          </cell>
          <cell r="AC100">
            <v>289500</v>
          </cell>
        </row>
        <row r="101">
          <cell r="G101">
            <v>46195</v>
          </cell>
          <cell r="N101">
            <v>-652583.99999999942</v>
          </cell>
          <cell r="P101">
            <v>-354818.99999999977</v>
          </cell>
          <cell r="Z101">
            <v>26800</v>
          </cell>
          <cell r="AA101">
            <v>357582</v>
          </cell>
          <cell r="AB101">
            <v>16165</v>
          </cell>
          <cell r="AC101">
            <v>289500</v>
          </cell>
        </row>
        <row r="102">
          <cell r="G102">
            <v>46196</v>
          </cell>
          <cell r="N102">
            <v>-661541.14285714226</v>
          </cell>
          <cell r="P102">
            <v>-360847.57142857119</v>
          </cell>
          <cell r="Z102">
            <v>26800</v>
          </cell>
          <cell r="AA102">
            <v>357582</v>
          </cell>
          <cell r="AB102">
            <v>16165</v>
          </cell>
          <cell r="AC102">
            <v>289500</v>
          </cell>
        </row>
        <row r="103">
          <cell r="G103">
            <v>46197</v>
          </cell>
          <cell r="N103">
            <v>-670498.2857142851</v>
          </cell>
          <cell r="P103">
            <v>-366876.14285714261</v>
          </cell>
          <cell r="Z103">
            <v>26800</v>
          </cell>
          <cell r="AA103">
            <v>357582</v>
          </cell>
          <cell r="AB103">
            <v>16165</v>
          </cell>
          <cell r="AC103">
            <v>289500</v>
          </cell>
        </row>
        <row r="104">
          <cell r="G104">
            <v>46198</v>
          </cell>
          <cell r="N104">
            <v>-679455.42857142794</v>
          </cell>
          <cell r="P104">
            <v>-372904.71428571403</v>
          </cell>
          <cell r="Z104">
            <v>26800</v>
          </cell>
          <cell r="AA104">
            <v>357582</v>
          </cell>
          <cell r="AB104">
            <v>16165</v>
          </cell>
          <cell r="AC104">
            <v>289500</v>
          </cell>
        </row>
        <row r="105">
          <cell r="G105">
            <v>46199</v>
          </cell>
          <cell r="N105">
            <v>-688412.57142857078</v>
          </cell>
          <cell r="P105">
            <v>-378933.28571428545</v>
          </cell>
          <cell r="Z105">
            <v>26800</v>
          </cell>
          <cell r="AA105">
            <v>357582</v>
          </cell>
          <cell r="AB105">
            <v>16165</v>
          </cell>
          <cell r="AC105">
            <v>289500</v>
          </cell>
        </row>
        <row r="106">
          <cell r="G106">
            <v>46200</v>
          </cell>
          <cell r="N106">
            <v>-697369.71428571362</v>
          </cell>
          <cell r="P106">
            <v>-384961.85714285687</v>
          </cell>
          <cell r="Z106">
            <v>26800</v>
          </cell>
          <cell r="AA106">
            <v>357582</v>
          </cell>
          <cell r="AB106">
            <v>16165</v>
          </cell>
          <cell r="AC106">
            <v>289500</v>
          </cell>
        </row>
        <row r="107">
          <cell r="G107">
            <v>46201</v>
          </cell>
          <cell r="N107">
            <v>-706326.85714285646</v>
          </cell>
          <cell r="P107">
            <v>-390990.42857142829</v>
          </cell>
          <cell r="Z107">
            <v>26800</v>
          </cell>
          <cell r="AA107">
            <v>357582</v>
          </cell>
          <cell r="AB107">
            <v>16165</v>
          </cell>
          <cell r="AC107">
            <v>289500</v>
          </cell>
        </row>
        <row r="108">
          <cell r="G108">
            <v>46202</v>
          </cell>
          <cell r="N108">
            <v>-715283.9999999993</v>
          </cell>
          <cell r="P108">
            <v>-397018.99999999971</v>
          </cell>
          <cell r="Z108">
            <v>26800</v>
          </cell>
          <cell r="AA108">
            <v>357582</v>
          </cell>
          <cell r="AB108">
            <v>16165</v>
          </cell>
          <cell r="AC108">
            <v>289500</v>
          </cell>
        </row>
        <row r="109">
          <cell r="G109">
            <v>46203</v>
          </cell>
          <cell r="N109">
            <v>-724241.14285714214</v>
          </cell>
          <cell r="P109">
            <v>-403047.57142857113</v>
          </cell>
          <cell r="Z109">
            <v>26800</v>
          </cell>
          <cell r="AA109">
            <v>357582</v>
          </cell>
          <cell r="AB109">
            <v>16165</v>
          </cell>
          <cell r="AC109">
            <v>289500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F253C-03A0-4A94-816A-76F1FAF2F163}">
  <dimension ref="A2:AJ40"/>
  <sheetViews>
    <sheetView tabSelected="1" workbookViewId="0">
      <selection activeCell="E13" sqref="E13"/>
    </sheetView>
  </sheetViews>
  <sheetFormatPr defaultRowHeight="13.6" x14ac:dyDescent="0.25"/>
  <cols>
    <col min="1" max="1" width="25.7109375" customWidth="1"/>
    <col min="2" max="2" width="14" bestFit="1" customWidth="1"/>
    <col min="3" max="3" width="14.42578125" customWidth="1"/>
    <col min="4" max="4" width="15.85546875" customWidth="1"/>
    <col min="5" max="5" width="19.42578125" customWidth="1"/>
    <col min="8" max="8" width="11.85546875" bestFit="1" customWidth="1"/>
    <col min="14" max="14" width="14.140625" customWidth="1"/>
    <col min="20" max="21" width="12.140625" customWidth="1"/>
    <col min="24" max="29" width="14" customWidth="1"/>
  </cols>
  <sheetData>
    <row r="2" spans="1:36" ht="23.8" x14ac:dyDescent="0.4">
      <c r="A2" s="47" t="s">
        <v>25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</row>
    <row r="3" spans="1:36" ht="21.75" x14ac:dyDescent="0.25">
      <c r="A3" s="51" t="s">
        <v>31</v>
      </c>
      <c r="C3" s="63" t="s">
        <v>10</v>
      </c>
      <c r="D3" s="64"/>
    </row>
    <row r="6" spans="1:36" ht="21.75" x14ac:dyDescent="0.25">
      <c r="I6" s="46" t="s">
        <v>18</v>
      </c>
      <c r="J6" s="46"/>
      <c r="K6" s="46"/>
      <c r="L6" s="46"/>
      <c r="M6" s="46"/>
      <c r="N6" s="46"/>
      <c r="O6" s="1"/>
      <c r="P6" s="46" t="s">
        <v>19</v>
      </c>
      <c r="Q6" s="46"/>
      <c r="R6" s="46"/>
      <c r="S6" s="46"/>
      <c r="T6" s="46"/>
      <c r="U6" s="46"/>
    </row>
    <row r="7" spans="1:36" ht="14.3" x14ac:dyDescent="0.25">
      <c r="I7" s="48" t="s">
        <v>2</v>
      </c>
      <c r="J7" s="49"/>
      <c r="K7" s="49" t="s">
        <v>3</v>
      </c>
      <c r="L7" s="49"/>
      <c r="M7" s="49" t="s">
        <v>23</v>
      </c>
      <c r="N7" s="50"/>
      <c r="O7" s="5"/>
      <c r="P7" s="48" t="s">
        <v>2</v>
      </c>
      <c r="Q7" s="49"/>
      <c r="R7" s="49" t="s">
        <v>3</v>
      </c>
      <c r="S7" s="49"/>
      <c r="T7" s="49" t="s">
        <v>24</v>
      </c>
      <c r="U7" s="50"/>
    </row>
    <row r="8" spans="1:36" ht="28.55" x14ac:dyDescent="0.25">
      <c r="I8" s="43" t="s">
        <v>20</v>
      </c>
      <c r="J8" s="36" t="s">
        <v>21</v>
      </c>
      <c r="K8" s="44" t="s">
        <v>20</v>
      </c>
      <c r="L8" s="36" t="s">
        <v>21</v>
      </c>
      <c r="M8" s="44" t="s">
        <v>20</v>
      </c>
      <c r="N8" s="37" t="s">
        <v>21</v>
      </c>
      <c r="O8" s="5"/>
      <c r="P8" s="43" t="s">
        <v>22</v>
      </c>
      <c r="Q8" s="44" t="s">
        <v>20</v>
      </c>
      <c r="R8" s="44" t="s">
        <v>22</v>
      </c>
      <c r="S8" s="44" t="s">
        <v>20</v>
      </c>
      <c r="T8" s="44" t="s">
        <v>22</v>
      </c>
      <c r="U8" s="45" t="s">
        <v>20</v>
      </c>
    </row>
    <row r="9" spans="1:36" s="1" customFormat="1" ht="21.75" x14ac:dyDescent="0.25">
      <c r="F9" s="2"/>
      <c r="H9" s="3">
        <v>46098</v>
      </c>
      <c r="I9" s="4">
        <v>760533</v>
      </c>
      <c r="J9" s="4">
        <v>55200</v>
      </c>
      <c r="K9" s="4">
        <v>634040</v>
      </c>
      <c r="L9" s="4">
        <v>77500</v>
      </c>
      <c r="M9" s="4">
        <v>339785</v>
      </c>
      <c r="N9" s="4">
        <v>38600</v>
      </c>
      <c r="O9" s="5"/>
      <c r="P9" s="6" t="str">
        <f t="shared" ref="P9:P40" si="0">IF(I9="",IFERROR(_xlfn.XLOOKUP(H9,$B$11:$B$15,$C$11:$C$15,""),""),"")</f>
        <v/>
      </c>
      <c r="Q9" s="6" cm="1">
        <f t="array" ref="Q9">IF(I9="",_xlfn.LET(
    _xlpm.vals,_xlfn._xlws.FILTER($J8:J$9,$J8:J$9&lt;&gt;"",""),
    _xlpm.avgJ,IF(COUNTA(_xlpm.vals)=0,0,AVERAGE(_xlfn.TAKE(_xlpm.vals,-MIN(7,ROWS(_xlpm.vals))))),
    _xlpm.addship,IF(P9="",0,P9),
    IF(
        AND(I8="",I9=""),
        Q8-_xlpm.avgJ+_xlpm.addship,
        IF(
            I9="",
            I8-_xlpm.avgJ+_xlpm.addship,
            ""
        )
    )
),I9)</f>
        <v>760533</v>
      </c>
      <c r="R9" s="6" t="str">
        <f t="shared" ref="R9:R40" si="1">IF(K9="",IFERROR(_xlfn.XLOOKUP(H9,$B$11:$B$15,$D$11:$D$15,""),""),"")</f>
        <v/>
      </c>
      <c r="S9" s="6" cm="1">
        <f t="array" ref="S9">IF(K9="",_xlfn.LET(
    _xlpm.vals,_xlfn._xlws.FILTER($L8:L$9,$L8:L$9&lt;&gt;"",""),
    _xlpm.avgJ,IF(COUNTA(_xlpm.vals)=0,0,AVERAGE(_xlfn.TAKE(_xlpm.vals,-MIN(7,ROWS(_xlpm.vals))))),
    _xlpm.addship,IF(R9="",0,R9),
    IF(
        AND(K8="",K9=""),
        S8-_xlpm.avgJ+_xlpm.addship,
        IF(
            K9="",
            K8-_xlpm.avgJ+_xlpm.addship,
            ""
        )
    )
),K9)</f>
        <v>634040</v>
      </c>
      <c r="T9" s="6" t="str">
        <f>IF(M9="",IFERROR(_xlfn.XLOOKUP(H9,$B$11:$B$15,$E$11:$E$15,""),""),"")</f>
        <v/>
      </c>
      <c r="U9" s="6" cm="1">
        <f t="array" ref="U9">IF(M9="",_xlfn.LET(
    _xlpm.vals,_xlfn._xlws.FILTER($N8:N$9,$N8:N$9&lt;&gt;"",""),
    _xlpm.avgJ,IF(COUNTA(_xlpm.vals)=0,0,AVERAGE(_xlfn.TAKE(_xlpm.vals,-MIN(7,ROWS(_xlpm.vals))))),
    _xlpm.addship,IF(T9="",0,T9),
    IF(
        AND(M8="",M9=""),
        U8-_xlpm.avgJ+_xlpm.addship,
        IF(
            M9="",
            M8-_xlpm.avgJ+_xlpm.addship,
            ""
        )
    )
),M9)</f>
        <v>339785</v>
      </c>
      <c r="V9" s="7" t="str">
        <f t="shared" ref="V9:V40" si="2">IF(AND(Q9="",S9="",U9=""),"",
_xlfn.LET(
_xlpm.msgs,
_xlfn.TEXTJOIN(" | ",TRUE,
IF(Q9&gt;$C$25,"Petrol over capacity",""),
IF(Q9&lt;$C$26,"Petrol stock out",""),
IF(S9&gt;$D$25,"Diesel over capacity",""),
IF(S9&lt;$D$26,"Diesel stock out",""),
IF(U9&gt;$E$25,"Kero over capacity",""),
IF(U9&lt;$E$26,"Kero stock out","")),
IF(_xlpm.msgs="","",_xlpm.msgs)
))</f>
        <v/>
      </c>
      <c r="W9" s="5"/>
      <c r="X9" s="5"/>
      <c r="AE9" s="8">
        <f>$C$26</f>
        <v>47000</v>
      </c>
      <c r="AF9" s="8">
        <f>$C$25</f>
        <v>1223106</v>
      </c>
      <c r="AG9" s="8">
        <f>$D$26</f>
        <v>45000</v>
      </c>
      <c r="AH9" s="8">
        <f>$D$25</f>
        <v>858361</v>
      </c>
      <c r="AI9" s="8">
        <f>$E$26</f>
        <v>24500</v>
      </c>
      <c r="AJ9" s="8">
        <f>$E$25</f>
        <v>589571</v>
      </c>
    </row>
    <row r="10" spans="1:36" s="5" customFormat="1" ht="18" customHeight="1" x14ac:dyDescent="0.25">
      <c r="A10" s="9" t="s">
        <v>0</v>
      </c>
      <c r="B10" s="10" t="s">
        <v>1</v>
      </c>
      <c r="C10" s="11" t="s">
        <v>2</v>
      </c>
      <c r="D10" s="11" t="s">
        <v>3</v>
      </c>
      <c r="E10" s="12" t="s">
        <v>4</v>
      </c>
      <c r="F10" s="7"/>
      <c r="G10" s="1"/>
      <c r="H10" s="3">
        <f>H9+1</f>
        <v>46099</v>
      </c>
      <c r="I10" s="13">
        <v>690540</v>
      </c>
      <c r="J10" s="13">
        <v>70600</v>
      </c>
      <c r="K10" s="13">
        <v>578425</v>
      </c>
      <c r="L10" s="13">
        <v>55300</v>
      </c>
      <c r="M10" s="13">
        <v>339500</v>
      </c>
      <c r="N10" s="13">
        <v>200</v>
      </c>
      <c r="P10" s="6" t="str">
        <f t="shared" si="0"/>
        <v/>
      </c>
      <c r="Q10" s="6" cm="1">
        <f t="array" ref="Q10">IF(I10="",_xlfn.LET(
    _xlpm.vals,_xlfn._xlws.FILTER($J9:J$9,$J9:J$9&lt;&gt;"",""),
    _xlpm.avgJ,IF(COUNTA(_xlpm.vals)=0,0,AVERAGE(_xlfn.TAKE(_xlpm.vals,-MIN(7,ROWS(_xlpm.vals))))),
    _xlpm.addship,IF(P10="",0,P10),
    IF(
        AND(I9="",I10=""),
        Q9-_xlpm.avgJ+_xlpm.addship,
        IF(
            I10="",
            I9-_xlpm.avgJ+_xlpm.addship,
            ""
        )
    )
),I10)</f>
        <v>690540</v>
      </c>
      <c r="R10" s="6" t="str">
        <f t="shared" si="1"/>
        <v/>
      </c>
      <c r="S10" s="6" cm="1">
        <f t="array" ref="S10">IF(K10="",_xlfn.LET(
    _xlpm.vals,_xlfn._xlws.FILTER($L9:L$9,$L9:L$9&lt;&gt;"",""),
    _xlpm.avgJ,IF(COUNTA(_xlpm.vals)=0,0,AVERAGE(_xlfn.TAKE(_xlpm.vals,-MIN(7,ROWS(_xlpm.vals))))),
    _xlpm.addship,IF(R10="",0,R10),
    IF(
        AND(K9="",K10=""),
        S9-_xlpm.avgJ+_xlpm.addship,
        IF(
            K10="",
            K9-_xlpm.avgJ+_xlpm.addship,
            ""
        )
    )
),K10)</f>
        <v>578425</v>
      </c>
      <c r="T10" s="6" t="str">
        <f t="shared" ref="T10:T40" si="3">IF(M10="",IFERROR(_xlfn.XLOOKUP(H10,$B$11:$B$15,$E$11:$E$15,""),""),"")</f>
        <v/>
      </c>
      <c r="U10" s="6" cm="1">
        <f t="array" ref="U10">IF(M10="",_xlfn.LET(
    _xlpm.vals,_xlfn._xlws.FILTER($N9:N$9,$N9:N$9&lt;&gt;"",""),
    _xlpm.avgJ,IF(COUNTA(_xlpm.vals)=0,0,AVERAGE(_xlfn.TAKE(_xlpm.vals,-MIN(7,ROWS(_xlpm.vals))))),
    _xlpm.addship,IF(T10="",0,T10),
    IF(
        AND(M9="",M10=""),
        U9-_xlpm.avgJ+_xlpm.addship,
        IF(
            M10="",
            M9-_xlpm.avgJ+_xlpm.addship,
            ""
        )
    )
),M10)</f>
        <v>339500</v>
      </c>
      <c r="V10" s="7" t="str">
        <f t="shared" si="2"/>
        <v/>
      </c>
      <c r="AE10" s="8">
        <f t="shared" ref="AE10:AE40" si="4">$C$26</f>
        <v>47000</v>
      </c>
      <c r="AF10" s="8">
        <f t="shared" ref="AF10:AF40" si="5">$C$25</f>
        <v>1223106</v>
      </c>
      <c r="AG10" s="8">
        <f t="shared" ref="AG10:AG40" si="6">$D$26</f>
        <v>45000</v>
      </c>
      <c r="AH10" s="8">
        <f t="shared" ref="AH10:AH40" si="7">$D$25</f>
        <v>858361</v>
      </c>
      <c r="AI10" s="8">
        <f t="shared" ref="AI10:AI40" si="8">$E$26</f>
        <v>24500</v>
      </c>
      <c r="AJ10" s="8">
        <f t="shared" ref="AJ10:AJ40" si="9">$E$25</f>
        <v>589571</v>
      </c>
    </row>
    <row r="11" spans="1:36" s="5" customFormat="1" ht="18" customHeight="1" x14ac:dyDescent="0.25">
      <c r="A11" s="5" t="s">
        <v>5</v>
      </c>
      <c r="B11" s="14">
        <v>46107</v>
      </c>
      <c r="C11" s="15">
        <v>807300</v>
      </c>
      <c r="D11" s="15">
        <v>384000</v>
      </c>
      <c r="E11" s="16">
        <v>177800</v>
      </c>
      <c r="F11" s="7"/>
      <c r="G11" s="1"/>
      <c r="H11" s="3">
        <f t="shared" ref="H11:H40" si="10">H10+1</f>
        <v>46100</v>
      </c>
      <c r="I11" s="13">
        <v>615514</v>
      </c>
      <c r="J11" s="13">
        <v>75200</v>
      </c>
      <c r="K11" s="13">
        <v>491946</v>
      </c>
      <c r="L11" s="13">
        <v>86600</v>
      </c>
      <c r="M11" s="13">
        <v>339500</v>
      </c>
      <c r="N11" s="13">
        <v>0</v>
      </c>
      <c r="P11" s="6" t="str">
        <f t="shared" si="0"/>
        <v/>
      </c>
      <c r="Q11" s="6" cm="1">
        <f t="array" ref="Q11">IF(I11="",_xlfn.LET(
    _xlpm.vals,_xlfn._xlws.FILTER($J$9:J10,$J$9:J10&lt;&gt;"",""),
    _xlpm.avgJ,IF(COUNTA(_xlpm.vals)=0,0,AVERAGE(_xlfn.TAKE(_xlpm.vals,-MIN(7,ROWS(_xlpm.vals))))),
    _xlpm.addship,IF(P11="",0,P11),
    IF(
        AND(I10="",I11=""),
        Q10-_xlpm.avgJ+_xlpm.addship,
        IF(
            I11="",
            I10-_xlpm.avgJ+_xlpm.addship,
            ""
        )
    )
),I11)</f>
        <v>615514</v>
      </c>
      <c r="R11" s="6" t="str">
        <f t="shared" si="1"/>
        <v/>
      </c>
      <c r="S11" s="6" cm="1">
        <f t="array" ref="S11">IF(K11="",_xlfn.LET(
    _xlpm.vals,_xlfn._xlws.FILTER($L$9:L10,$L$9:L10&lt;&gt;"",""),
    _xlpm.avgJ,IF(COUNTA(_xlpm.vals)=0,0,AVERAGE(_xlfn.TAKE(_xlpm.vals,-MIN(7,ROWS(_xlpm.vals))))),
    _xlpm.addship,IF(R11="",0,R11),
    IF(
        AND(K10="",K11=""),
        S10-_xlpm.avgJ+_xlpm.addship,
        IF(
            K11="",
            K10-_xlpm.avgJ+_xlpm.addship,
            ""
        )
    )
),K11)</f>
        <v>491946</v>
      </c>
      <c r="T11" s="6" t="str">
        <f t="shared" si="3"/>
        <v/>
      </c>
      <c r="U11" s="6" cm="1">
        <f t="array" ref="U11">IF(M11="",_xlfn.LET(
    _xlpm.vals,_xlfn._xlws.FILTER($N$9:N10,$N$9:N10&lt;&gt;"",""),
    _xlpm.avgJ,IF(COUNTA(_xlpm.vals)=0,0,AVERAGE(_xlfn.TAKE(_xlpm.vals,-MIN(7,ROWS(_xlpm.vals))))),
    _xlpm.addship,IF(T11="",0,T11),
    IF(
        AND(M10="",M11=""),
        U10-_xlpm.avgJ+_xlpm.addship,
        IF(
            M11="",
            M10-_xlpm.avgJ+_xlpm.addship,
            ""
        )
    )
),M11)</f>
        <v>339500</v>
      </c>
      <c r="V11" s="7" t="str">
        <f t="shared" si="2"/>
        <v/>
      </c>
      <c r="AE11" s="8">
        <f t="shared" si="4"/>
        <v>47000</v>
      </c>
      <c r="AF11" s="8">
        <f t="shared" si="5"/>
        <v>1223106</v>
      </c>
      <c r="AG11" s="8">
        <f t="shared" si="6"/>
        <v>45000</v>
      </c>
      <c r="AH11" s="8">
        <f t="shared" si="7"/>
        <v>858361</v>
      </c>
      <c r="AI11" s="8">
        <f t="shared" si="8"/>
        <v>24500</v>
      </c>
      <c r="AJ11" s="8">
        <f t="shared" si="9"/>
        <v>589571</v>
      </c>
    </row>
    <row r="12" spans="1:36" s="5" customFormat="1" ht="18" customHeight="1" x14ac:dyDescent="0.25">
      <c r="A12" s="5" t="s">
        <v>6</v>
      </c>
      <c r="B12" s="17">
        <v>46118</v>
      </c>
      <c r="C12" s="15">
        <v>807300</v>
      </c>
      <c r="D12" s="15">
        <v>396000</v>
      </c>
      <c r="E12" s="16">
        <v>292100</v>
      </c>
      <c r="F12" s="7"/>
      <c r="G12" s="1"/>
      <c r="H12" s="3">
        <f t="shared" si="10"/>
        <v>46101</v>
      </c>
      <c r="I12" s="13">
        <v>500273</v>
      </c>
      <c r="J12" s="13">
        <v>113200</v>
      </c>
      <c r="K12" s="13">
        <v>424838</v>
      </c>
      <c r="L12" s="13">
        <v>67100</v>
      </c>
      <c r="M12" s="13">
        <v>296708</v>
      </c>
      <c r="N12" s="13">
        <v>43800</v>
      </c>
      <c r="P12" s="6" t="str">
        <f t="shared" si="0"/>
        <v/>
      </c>
      <c r="Q12" s="6" cm="1">
        <f t="array" ref="Q12">IF(I12="",_xlfn.LET(
    _xlpm.vals,_xlfn._xlws.FILTER($J$9:J11,$J$9:J11&lt;&gt;"",""),
    _xlpm.avgJ,IF(COUNTA(_xlpm.vals)=0,0,AVERAGE(_xlfn.TAKE(_xlpm.vals,-MIN(7,ROWS(_xlpm.vals))))),
    _xlpm.addship,IF(P12="",0,P12),
    IF(
        AND(I11="",I12=""),
        Q11-_xlpm.avgJ+_xlpm.addship,
        IF(
            I12="",
            I11-_xlpm.avgJ+_xlpm.addship,
            ""
        )
    )
),I12)</f>
        <v>500273</v>
      </c>
      <c r="R12" s="6" t="str">
        <f t="shared" si="1"/>
        <v/>
      </c>
      <c r="S12" s="6" cm="1">
        <f t="array" ref="S12">IF(K12="",_xlfn.LET(
    _xlpm.vals,_xlfn._xlws.FILTER($L$9:L11,$L$9:L11&lt;&gt;"",""),
    _xlpm.avgJ,IF(COUNTA(_xlpm.vals)=0,0,AVERAGE(_xlfn.TAKE(_xlpm.vals,-MIN(7,ROWS(_xlpm.vals))))),
    _xlpm.addship,IF(R12="",0,R12),
    IF(
        AND(K11="",K12=""),
        S11-_xlpm.avgJ+_xlpm.addship,
        IF(
            K12="",
            K11-_xlpm.avgJ+_xlpm.addship,
            ""
        )
    )
),K12)</f>
        <v>424838</v>
      </c>
      <c r="T12" s="6" t="str">
        <f t="shared" si="3"/>
        <v/>
      </c>
      <c r="U12" s="6" cm="1">
        <f t="array" ref="U12">IF(M12="",_xlfn.LET(
    _xlpm.vals,_xlfn._xlws.FILTER($N$9:N11,$N$9:N11&lt;&gt;"",""),
    _xlpm.avgJ,IF(COUNTA(_xlpm.vals)=0,0,AVERAGE(_xlfn.TAKE(_xlpm.vals,-MIN(7,ROWS(_xlpm.vals))))),
    _xlpm.addship,IF(T12="",0,T12),
    IF(
        AND(M11="",M12=""),
        U11-_xlpm.avgJ+_xlpm.addship,
        IF(
            M12="",
            M11-_xlpm.avgJ+_xlpm.addship,
            ""
        )
    )
),M12)</f>
        <v>296708</v>
      </c>
      <c r="V12" s="7" t="str">
        <f t="shared" si="2"/>
        <v/>
      </c>
      <c r="AE12" s="8">
        <f t="shared" si="4"/>
        <v>47000</v>
      </c>
      <c r="AF12" s="8">
        <f t="shared" si="5"/>
        <v>1223106</v>
      </c>
      <c r="AG12" s="8">
        <f t="shared" si="6"/>
        <v>45000</v>
      </c>
      <c r="AH12" s="8">
        <f t="shared" si="7"/>
        <v>858361</v>
      </c>
      <c r="AI12" s="8">
        <f t="shared" si="8"/>
        <v>24500</v>
      </c>
      <c r="AJ12" s="8">
        <f t="shared" si="9"/>
        <v>589571</v>
      </c>
    </row>
    <row r="13" spans="1:36" s="5" customFormat="1" ht="18" customHeight="1" x14ac:dyDescent="0.25">
      <c r="A13" s="5" t="s">
        <v>7</v>
      </c>
      <c r="B13" s="17"/>
      <c r="C13" s="15"/>
      <c r="D13" s="15"/>
      <c r="E13" s="16"/>
      <c r="G13" s="1"/>
      <c r="H13" s="3">
        <f t="shared" si="10"/>
        <v>46102</v>
      </c>
      <c r="I13" s="13">
        <v>500273</v>
      </c>
      <c r="J13" s="13">
        <v>0</v>
      </c>
      <c r="K13" s="13">
        <v>424838</v>
      </c>
      <c r="L13" s="13">
        <v>0</v>
      </c>
      <c r="M13" s="13">
        <v>296708</v>
      </c>
      <c r="N13" s="13">
        <v>0</v>
      </c>
      <c r="P13" s="6" t="str">
        <f t="shared" si="0"/>
        <v/>
      </c>
      <c r="Q13" s="6" cm="1">
        <f t="array" ref="Q13">IF(I13="",_xlfn.LET(
    _xlpm.vals,_xlfn._xlws.FILTER($J$9:J12,$J$9:J12&lt;&gt;"",""),
    _xlpm.avgJ,IF(COUNTA(_xlpm.vals)=0,0,AVERAGE(_xlfn.TAKE(_xlpm.vals,-MIN(7,ROWS(_xlpm.vals))))),
    _xlpm.addship,IF(P13="",0,P13),
    IF(
        AND(I12="",I13=""),
        Q12-_xlpm.avgJ+_xlpm.addship,
        IF(
            I13="",
            I12-_xlpm.avgJ+_xlpm.addship,
            ""
        )
    )
),I13)</f>
        <v>500273</v>
      </c>
      <c r="R13" s="6" t="str">
        <f t="shared" si="1"/>
        <v/>
      </c>
      <c r="S13" s="6" cm="1">
        <f t="array" ref="S13">IF(K13="",_xlfn.LET(
    _xlpm.vals,_xlfn._xlws.FILTER($L$9:L12,$L$9:L12&lt;&gt;"",""),
    _xlpm.avgJ,IF(COUNTA(_xlpm.vals)=0,0,AVERAGE(_xlfn.TAKE(_xlpm.vals,-MIN(7,ROWS(_xlpm.vals))))),
    _xlpm.addship,IF(R13="",0,R13),
    IF(
        AND(K12="",K13=""),
        S12-_xlpm.avgJ+_xlpm.addship,
        IF(
            K13="",
            K12-_xlpm.avgJ+_xlpm.addship,
            ""
        )
    )
),K13)</f>
        <v>424838</v>
      </c>
      <c r="T13" s="6" t="str">
        <f t="shared" si="3"/>
        <v/>
      </c>
      <c r="U13" s="6" cm="1">
        <f t="array" ref="U13">IF(M13="",_xlfn.LET(
    _xlpm.vals,_xlfn._xlws.FILTER($N$9:N12,$N$9:N12&lt;&gt;"",""),
    _xlpm.avgJ,IF(COUNTA(_xlpm.vals)=0,0,AVERAGE(_xlfn.TAKE(_xlpm.vals,-MIN(7,ROWS(_xlpm.vals))))),
    _xlpm.addship,IF(T13="",0,T13),
    IF(
        AND(M12="",M13=""),
        U12-_xlpm.avgJ+_xlpm.addship,
        IF(
            M13="",
            M12-_xlpm.avgJ+_xlpm.addship,
            ""
        )
    )
),M13)</f>
        <v>296708</v>
      </c>
      <c r="V13" s="7" t="str">
        <f t="shared" si="2"/>
        <v/>
      </c>
      <c r="AE13" s="8">
        <f t="shared" si="4"/>
        <v>47000</v>
      </c>
      <c r="AF13" s="8">
        <f t="shared" si="5"/>
        <v>1223106</v>
      </c>
      <c r="AG13" s="8">
        <f t="shared" si="6"/>
        <v>45000</v>
      </c>
      <c r="AH13" s="8">
        <f t="shared" si="7"/>
        <v>858361</v>
      </c>
      <c r="AI13" s="8">
        <f t="shared" si="8"/>
        <v>24500</v>
      </c>
      <c r="AJ13" s="8">
        <f t="shared" si="9"/>
        <v>589571</v>
      </c>
    </row>
    <row r="14" spans="1:36" s="5" customFormat="1" ht="18" customHeight="1" x14ac:dyDescent="0.25">
      <c r="A14" s="5" t="s">
        <v>8</v>
      </c>
      <c r="B14" s="17"/>
      <c r="C14" s="15"/>
      <c r="D14" s="15"/>
      <c r="E14" s="16"/>
      <c r="F14" s="7"/>
      <c r="G14" s="1"/>
      <c r="H14" s="3">
        <f t="shared" si="10"/>
        <v>46103</v>
      </c>
      <c r="I14" s="13">
        <v>500273</v>
      </c>
      <c r="J14" s="13">
        <v>0</v>
      </c>
      <c r="K14" s="13">
        <v>424838</v>
      </c>
      <c r="L14" s="13">
        <v>0</v>
      </c>
      <c r="M14" s="13">
        <v>296708</v>
      </c>
      <c r="N14" s="13">
        <v>0</v>
      </c>
      <c r="P14" s="6" t="str">
        <f t="shared" si="0"/>
        <v/>
      </c>
      <c r="Q14" s="6" cm="1">
        <f t="array" ref="Q14">IF(I14="",_xlfn.LET(
    _xlpm.vals,_xlfn._xlws.FILTER($J$9:J13,$J$9:J13&lt;&gt;"",""),
    _xlpm.avgJ,IF(COUNTA(_xlpm.vals)=0,0,AVERAGE(_xlfn.TAKE(_xlpm.vals,-MIN(7,ROWS(_xlpm.vals))))),
    _xlpm.addship,IF(P14="",0,P14),
    IF(
        AND(I13="",I14=""),
        Q13-_xlpm.avgJ+_xlpm.addship,
        IF(
            I14="",
            I13-_xlpm.avgJ+_xlpm.addship,
            ""
        )
    )
),I14)</f>
        <v>500273</v>
      </c>
      <c r="R14" s="6" t="str">
        <f t="shared" si="1"/>
        <v/>
      </c>
      <c r="S14" s="6" cm="1">
        <f t="array" ref="S14">IF(K14="",_xlfn.LET(
    _xlpm.vals,_xlfn._xlws.FILTER($L$9:L13,$L$9:L13&lt;&gt;"",""),
    _xlpm.avgJ,IF(COUNTA(_xlpm.vals)=0,0,AVERAGE(_xlfn.TAKE(_xlpm.vals,-MIN(7,ROWS(_xlpm.vals))))),
    _xlpm.addship,IF(R14="",0,R14),
    IF(
        AND(K13="",K14=""),
        S13-_xlpm.avgJ+_xlpm.addship,
        IF(
            K14="",
            K13-_xlpm.avgJ+_xlpm.addship,
            ""
        )
    )
),K14)</f>
        <v>424838</v>
      </c>
      <c r="T14" s="6" t="str">
        <f t="shared" si="3"/>
        <v/>
      </c>
      <c r="U14" s="6" cm="1">
        <f t="array" ref="U14">IF(M14="",_xlfn.LET(
    _xlpm.vals,_xlfn._xlws.FILTER($N$9:N13,$N$9:N13&lt;&gt;"",""),
    _xlpm.avgJ,IF(COUNTA(_xlpm.vals)=0,0,AVERAGE(_xlfn.TAKE(_xlpm.vals,-MIN(7,ROWS(_xlpm.vals))))),
    _xlpm.addship,IF(T14="",0,T14),
    IF(
        AND(M13="",M14=""),
        U13-_xlpm.avgJ+_xlpm.addship,
        IF(
            M14="",
            M13-_xlpm.avgJ+_xlpm.addship,
            ""
        )
    )
),M14)</f>
        <v>296708</v>
      </c>
      <c r="V14" s="7" t="str">
        <f t="shared" si="2"/>
        <v/>
      </c>
      <c r="AE14" s="8">
        <f t="shared" si="4"/>
        <v>47000</v>
      </c>
      <c r="AF14" s="8">
        <f t="shared" si="5"/>
        <v>1223106</v>
      </c>
      <c r="AG14" s="8">
        <f t="shared" si="6"/>
        <v>45000</v>
      </c>
      <c r="AH14" s="8">
        <f t="shared" si="7"/>
        <v>858361</v>
      </c>
      <c r="AI14" s="8">
        <f t="shared" si="8"/>
        <v>24500</v>
      </c>
      <c r="AJ14" s="8">
        <f t="shared" si="9"/>
        <v>589571</v>
      </c>
    </row>
    <row r="15" spans="1:36" s="5" customFormat="1" ht="18" customHeight="1" x14ac:dyDescent="0.25">
      <c r="A15" s="5" t="s">
        <v>9</v>
      </c>
      <c r="B15" s="17"/>
      <c r="C15" s="15"/>
      <c r="D15" s="15"/>
      <c r="E15" s="16"/>
      <c r="F15" s="7"/>
      <c r="G15" s="1"/>
      <c r="H15" s="3">
        <f t="shared" si="10"/>
        <v>46104</v>
      </c>
      <c r="I15" s="13">
        <v>400940</v>
      </c>
      <c r="J15" s="13">
        <v>99540</v>
      </c>
      <c r="K15" s="13">
        <v>376262</v>
      </c>
      <c r="L15" s="13">
        <v>48800</v>
      </c>
      <c r="M15" s="13">
        <v>296696</v>
      </c>
      <c r="N15" s="13">
        <v>200</v>
      </c>
      <c r="P15" s="6" t="str">
        <f t="shared" si="0"/>
        <v/>
      </c>
      <c r="Q15" s="6" cm="1">
        <f t="array" ref="Q15">IF(I15="",_xlfn.LET(
    _xlpm.vals,_xlfn._xlws.FILTER($J$9:J14,$J$9:J14&lt;&gt;"",""),
    _xlpm.avgJ,IF(COUNTA(_xlpm.vals)=0,0,AVERAGE(_xlfn.TAKE(_xlpm.vals,-MIN(7,ROWS(_xlpm.vals))))),
    _xlpm.addship,IF(P15="",0,P15),
    IF(
        AND(I14="",I15=""),
        Q14-_xlpm.avgJ+_xlpm.addship,
        IF(
            I15="",
            I14-_xlpm.avgJ+_xlpm.addship,
            ""
        )
    )
),I15)</f>
        <v>400940</v>
      </c>
      <c r="R15" s="6" t="str">
        <f t="shared" si="1"/>
        <v/>
      </c>
      <c r="S15" s="6" cm="1">
        <f t="array" ref="S15">IF(K15="",_xlfn.LET(
    _xlpm.vals,_xlfn._xlws.FILTER($L$9:L14,$L$9:L14&lt;&gt;"",""),
    _xlpm.avgJ,IF(COUNTA(_xlpm.vals)=0,0,AVERAGE(_xlfn.TAKE(_xlpm.vals,-MIN(7,ROWS(_xlpm.vals))))),
    _xlpm.addship,IF(R15="",0,R15),
    IF(
        AND(K14="",K15=""),
        S14-_xlpm.avgJ+_xlpm.addship,
        IF(
            K15="",
            K14-_xlpm.avgJ+_xlpm.addship,
            ""
        )
    )
),K15)</f>
        <v>376262</v>
      </c>
      <c r="T15" s="6" t="str">
        <f t="shared" si="3"/>
        <v/>
      </c>
      <c r="U15" s="6" cm="1">
        <f t="array" ref="U15">IF(M15="",_xlfn.LET(
    _xlpm.vals,_xlfn._xlws.FILTER($N$9:N14,$N$9:N14&lt;&gt;"",""),
    _xlpm.avgJ,IF(COUNTA(_xlpm.vals)=0,0,AVERAGE(_xlfn.TAKE(_xlpm.vals,-MIN(7,ROWS(_xlpm.vals))))),
    _xlpm.addship,IF(T15="",0,T15),
    IF(
        AND(M14="",M15=""),
        U14-_xlpm.avgJ+_xlpm.addship,
        IF(
            M15="",
            M14-_xlpm.avgJ+_xlpm.addship,
            ""
        )
    )
),M15)</f>
        <v>296696</v>
      </c>
      <c r="V15" s="7" t="str">
        <f t="shared" si="2"/>
        <v/>
      </c>
      <c r="AE15" s="8">
        <f t="shared" si="4"/>
        <v>47000</v>
      </c>
      <c r="AF15" s="8">
        <f t="shared" si="5"/>
        <v>1223106</v>
      </c>
      <c r="AG15" s="8">
        <f t="shared" si="6"/>
        <v>45000</v>
      </c>
      <c r="AH15" s="8">
        <f t="shared" si="7"/>
        <v>858361</v>
      </c>
      <c r="AI15" s="8">
        <f t="shared" si="8"/>
        <v>24500</v>
      </c>
      <c r="AJ15" s="8">
        <f t="shared" si="9"/>
        <v>589571</v>
      </c>
    </row>
    <row r="16" spans="1:36" s="5" customFormat="1" ht="18" customHeight="1" x14ac:dyDescent="0.25">
      <c r="F16" s="7"/>
      <c r="G16" s="1"/>
      <c r="H16" s="3">
        <f t="shared" si="10"/>
        <v>46105</v>
      </c>
      <c r="I16" s="13">
        <v>341003</v>
      </c>
      <c r="J16" s="13">
        <v>59800</v>
      </c>
      <c r="K16" s="13">
        <v>348535</v>
      </c>
      <c r="L16" s="13">
        <v>27800</v>
      </c>
      <c r="M16" s="13">
        <v>237758</v>
      </c>
      <c r="N16" s="13">
        <v>46600</v>
      </c>
      <c r="P16" s="6" t="str">
        <f t="shared" si="0"/>
        <v/>
      </c>
      <c r="Q16" s="6" cm="1">
        <f t="array" ref="Q16">IF(I16="",_xlfn.LET(
    _xlpm.vals,_xlfn._xlws.FILTER($J$9:J15,$J$9:J15&lt;&gt;"",""),
    _xlpm.avgJ,IF(COUNTA(_xlpm.vals)=0,0,AVERAGE(_xlfn.TAKE(_xlpm.vals,-MIN(7,ROWS(_xlpm.vals))))),
    _xlpm.addship,IF(P16="",0,P16),
    IF(
        AND(I15="",I16=""),
        Q15-_xlpm.avgJ+_xlpm.addship,
        IF(
            I16="",
            I15-_xlpm.avgJ+_xlpm.addship,
            ""
        )
    )
),I16)</f>
        <v>341003</v>
      </c>
      <c r="R16" s="6" t="str">
        <f t="shared" si="1"/>
        <v/>
      </c>
      <c r="S16" s="6" cm="1">
        <f t="array" ref="S16">IF(K16="",_xlfn.LET(
    _xlpm.vals,_xlfn._xlws.FILTER($L$9:L15,$L$9:L15&lt;&gt;"",""),
    _xlpm.avgJ,IF(COUNTA(_xlpm.vals)=0,0,AVERAGE(_xlfn.TAKE(_xlpm.vals,-MIN(7,ROWS(_xlpm.vals))))),
    _xlpm.addship,IF(R16="",0,R16),
    IF(
        AND(K15="",K16=""),
        S15-_xlpm.avgJ+_xlpm.addship,
        IF(
            K16="",
            K15-_xlpm.avgJ+_xlpm.addship,
            ""
        )
    )
),K16)</f>
        <v>348535</v>
      </c>
      <c r="T16" s="6" t="str">
        <f t="shared" si="3"/>
        <v/>
      </c>
      <c r="U16" s="6" cm="1">
        <f t="array" ref="U16">IF(M16="",_xlfn.LET(
    _xlpm.vals,_xlfn._xlws.FILTER($N$9:N15,$N$9:N15&lt;&gt;"",""),
    _xlpm.avgJ,IF(COUNTA(_xlpm.vals)=0,0,AVERAGE(_xlfn.TAKE(_xlpm.vals,-MIN(7,ROWS(_xlpm.vals))))),
    _xlpm.addship,IF(T16="",0,T16),
    IF(
        AND(M15="",M16=""),
        U15-_xlpm.avgJ+_xlpm.addship,
        IF(
            M16="",
            M15-_xlpm.avgJ+_xlpm.addship,
            ""
        )
    )
),M16)</f>
        <v>237758</v>
      </c>
      <c r="V16" s="7" t="str">
        <f t="shared" si="2"/>
        <v/>
      </c>
      <c r="AE16" s="8">
        <f t="shared" si="4"/>
        <v>47000</v>
      </c>
      <c r="AF16" s="8">
        <f t="shared" si="5"/>
        <v>1223106</v>
      </c>
      <c r="AG16" s="8">
        <f t="shared" si="6"/>
        <v>45000</v>
      </c>
      <c r="AH16" s="8">
        <f t="shared" si="7"/>
        <v>858361</v>
      </c>
      <c r="AI16" s="8">
        <f t="shared" si="8"/>
        <v>24500</v>
      </c>
      <c r="AJ16" s="8">
        <f t="shared" si="9"/>
        <v>589571</v>
      </c>
    </row>
    <row r="17" spans="1:36" s="5" customFormat="1" ht="18" customHeight="1" x14ac:dyDescent="0.25">
      <c r="A17" s="18"/>
      <c r="B17" s="19"/>
      <c r="C17" s="20"/>
      <c r="D17" s="20"/>
      <c r="E17" s="20"/>
      <c r="F17" s="21"/>
      <c r="G17" s="1"/>
      <c r="H17" s="3">
        <f t="shared" si="10"/>
        <v>46106</v>
      </c>
      <c r="I17" s="13">
        <v>289512</v>
      </c>
      <c r="J17" s="13">
        <v>51500</v>
      </c>
      <c r="K17" s="13">
        <v>318704</v>
      </c>
      <c r="L17" s="13">
        <v>30000</v>
      </c>
      <c r="M17" s="13">
        <v>246962</v>
      </c>
      <c r="N17" s="13">
        <v>2400</v>
      </c>
      <c r="P17" s="6" t="str">
        <f t="shared" si="0"/>
        <v/>
      </c>
      <c r="Q17" s="6" cm="1">
        <f t="array" ref="Q17">IF(I17="",_xlfn.LET(
    _xlpm.vals,_xlfn._xlws.FILTER($J$9:J16,$J$9:J16&lt;&gt;"",""),
    _xlpm.avgJ,IF(COUNTA(_xlpm.vals)=0,0,AVERAGE(_xlfn.TAKE(_xlpm.vals,-MIN(7,ROWS(_xlpm.vals))))),
    _xlpm.addship,IF(P17="",0,P17),
    IF(
        AND(I16="",I17=""),
        Q16-_xlpm.avgJ+_xlpm.addship,
        IF(
            I17="",
            I16-_xlpm.avgJ+_xlpm.addship,
            ""
        )
    )
),I17)</f>
        <v>289512</v>
      </c>
      <c r="R17" s="6" t="str">
        <f t="shared" si="1"/>
        <v/>
      </c>
      <c r="S17" s="6" cm="1">
        <f t="array" ref="S17">IF(K17="",_xlfn.LET(
    _xlpm.vals,_xlfn._xlws.FILTER($L$9:L16,$L$9:L16&lt;&gt;"",""),
    _xlpm.avgJ,IF(COUNTA(_xlpm.vals)=0,0,AVERAGE(_xlfn.TAKE(_xlpm.vals,-MIN(7,ROWS(_xlpm.vals))))),
    _xlpm.addship,IF(R17="",0,R17),
    IF(
        AND(K16="",K17=""),
        S16-_xlpm.avgJ+_xlpm.addship,
        IF(
            K17="",
            K16-_xlpm.avgJ+_xlpm.addship,
            ""
        )
    )
),K17)</f>
        <v>318704</v>
      </c>
      <c r="T17" s="6" t="str">
        <f t="shared" si="3"/>
        <v/>
      </c>
      <c r="U17" s="6" cm="1">
        <f t="array" ref="U17">IF(M17="",_xlfn.LET(
    _xlpm.vals,_xlfn._xlws.FILTER($N$9:N16,$N$9:N16&lt;&gt;"",""),
    _xlpm.avgJ,IF(COUNTA(_xlpm.vals)=0,0,AVERAGE(_xlfn.TAKE(_xlpm.vals,-MIN(7,ROWS(_xlpm.vals))))),
    _xlpm.addship,IF(T17="",0,T17),
    IF(
        AND(M16="",M17=""),
        U16-_xlpm.avgJ+_xlpm.addship,
        IF(
            M17="",
            M16-_xlpm.avgJ+_xlpm.addship,
            ""
        )
    )
),M17)</f>
        <v>246962</v>
      </c>
      <c r="V17" s="7" t="str">
        <f t="shared" si="2"/>
        <v/>
      </c>
      <c r="AE17" s="8">
        <f t="shared" si="4"/>
        <v>47000</v>
      </c>
      <c r="AF17" s="8">
        <f t="shared" si="5"/>
        <v>1223106</v>
      </c>
      <c r="AG17" s="8">
        <f t="shared" si="6"/>
        <v>45000</v>
      </c>
      <c r="AH17" s="8">
        <f t="shared" si="7"/>
        <v>858361</v>
      </c>
      <c r="AI17" s="8">
        <f t="shared" si="8"/>
        <v>24500</v>
      </c>
      <c r="AJ17" s="8">
        <f t="shared" si="9"/>
        <v>589571</v>
      </c>
    </row>
    <row r="18" spans="1:36" s="5" customFormat="1" ht="18" customHeight="1" x14ac:dyDescent="0.25">
      <c r="A18" s="22"/>
      <c r="B18" s="23"/>
      <c r="C18" s="24"/>
      <c r="D18" s="25" t="str" cm="1">
        <f t="array" ref="D18:D19">_xlfn.LET(
    _xlpm.pDate,IFERROR(INDEX(H9:H505,MATCH(TRUE,ISNUMBER(SEARCH("Petrol stock out",V9:V505)),0)),""),
    _xlpm.dDate,IFERROR(INDEX(H9:H505,MATCH(TRUE,ISNUMBER(SEARCH("Diesel stock out",V9:V505)),0)),""),
    _xlpm.kDate,IFERROR(INDEX(H9:H505,MATCH(TRUE,ISNUMBER(SEARCH("Kero stock out",V9:V505)),0)),""),
    _xlpm.results,_xlfn.VSTACK(
        IF(_xlpm.pDate&lt;&gt;"","First petrol stock out: "&amp;TEXT(_xlpm.pDate,"d-mmm-yy")&amp;", cargo needed before this date",""),
        IF(_xlpm.dDate&lt;&gt;"","First diesel stock out: "&amp;TEXT(_xlpm.dDate,"d-mmm-yy")&amp;", cargo needed before this date",""),
        IF(_xlpm.kDate&lt;&gt;"","First kero stock out: "&amp;TEXT(_xlpm.kDate,"d-mmm-yy")&amp;", cargo needed before this date","")
    ),
    _xlpm.filtered,_xlfn._xlws.FILTER(_xlpm.results,_xlpm.results&lt;&gt;""),
    IFERROR(_xlpm.filtered,"No stock outs forecast")
)</f>
        <v>First petrol stock out: 17-Apr-26, cargo needed before this date</v>
      </c>
      <c r="E18" s="25"/>
      <c r="F18" s="26"/>
      <c r="G18" s="1"/>
      <c r="H18" s="3">
        <f t="shared" si="10"/>
        <v>46107</v>
      </c>
      <c r="I18" s="13">
        <v>226543</v>
      </c>
      <c r="J18" s="13">
        <v>63300</v>
      </c>
      <c r="K18" s="13">
        <v>281351</v>
      </c>
      <c r="L18" s="13">
        <v>26900</v>
      </c>
      <c r="M18" s="13">
        <v>228225</v>
      </c>
      <c r="N18" s="13">
        <v>18700</v>
      </c>
      <c r="P18" s="6" t="str">
        <f t="shared" si="0"/>
        <v/>
      </c>
      <c r="Q18" s="6" cm="1">
        <f t="array" ref="Q18">IF(I18="",_xlfn.LET(
    _xlpm.vals,_xlfn._xlws.FILTER($J$9:J17,$J$9:J17&lt;&gt;"",""),
    _xlpm.avgJ,IF(COUNTA(_xlpm.vals)=0,0,AVERAGE(_xlfn.TAKE(_xlpm.vals,-MIN(7,ROWS(_xlpm.vals))))),
    _xlpm.addship,IF(P18="",0,P18),
    IF(
        AND(I17="",I18=""),
        Q17-_xlpm.avgJ+_xlpm.addship,
        IF(
            I18="",
            I17-_xlpm.avgJ+_xlpm.addship,
            ""
        )
    )
),I18)</f>
        <v>226543</v>
      </c>
      <c r="R18" s="6" t="str">
        <f t="shared" si="1"/>
        <v/>
      </c>
      <c r="S18" s="6" cm="1">
        <f t="array" ref="S18">IF(K18="",_xlfn.LET(
    _xlpm.vals,_xlfn._xlws.FILTER($L$9:L17,$L$9:L17&lt;&gt;"",""),
    _xlpm.avgJ,IF(COUNTA(_xlpm.vals)=0,0,AVERAGE(_xlfn.TAKE(_xlpm.vals,-MIN(7,ROWS(_xlpm.vals))))),
    _xlpm.addship,IF(R18="",0,R18),
    IF(
        AND(K17="",K18=""),
        S17-_xlpm.avgJ+_xlpm.addship,
        IF(
            K18="",
            K17-_xlpm.avgJ+_xlpm.addship,
            ""
        )
    )
),K18)</f>
        <v>281351</v>
      </c>
      <c r="T18" s="6" t="str">
        <f t="shared" si="3"/>
        <v/>
      </c>
      <c r="U18" s="6" cm="1">
        <f t="array" ref="U18">IF(M18="",_xlfn.LET(
    _xlpm.vals,_xlfn._xlws.FILTER($N$9:N17,$N$9:N17&lt;&gt;"",""),
    _xlpm.avgJ,IF(COUNTA(_xlpm.vals)=0,0,AVERAGE(_xlfn.TAKE(_xlpm.vals,-MIN(7,ROWS(_xlpm.vals))))),
    _xlpm.addship,IF(T18="",0,T18),
    IF(
        AND(M17="",M18=""),
        U17-_xlpm.avgJ+_xlpm.addship,
        IF(
            M18="",
            M17-_xlpm.avgJ+_xlpm.addship,
            ""
        )
    )
),M18)</f>
        <v>228225</v>
      </c>
      <c r="V18" s="7" t="str">
        <f t="shared" si="2"/>
        <v/>
      </c>
      <c r="AE18" s="8">
        <f t="shared" si="4"/>
        <v>47000</v>
      </c>
      <c r="AF18" s="8">
        <f t="shared" si="5"/>
        <v>1223106</v>
      </c>
      <c r="AG18" s="8">
        <f t="shared" si="6"/>
        <v>45000</v>
      </c>
      <c r="AH18" s="8">
        <f t="shared" si="7"/>
        <v>858361</v>
      </c>
      <c r="AI18" s="8">
        <f t="shared" si="8"/>
        <v>24500</v>
      </c>
      <c r="AJ18" s="8">
        <f t="shared" si="9"/>
        <v>589571</v>
      </c>
    </row>
    <row r="19" spans="1:36" s="5" customFormat="1" ht="18" customHeight="1" x14ac:dyDescent="0.25">
      <c r="A19" s="27"/>
      <c r="B19" s="24"/>
      <c r="C19" s="24"/>
      <c r="D19" s="25" t="str">
        <v>First diesel stock out: 16-Apr-26, cargo needed before this date</v>
      </c>
      <c r="E19" s="25"/>
      <c r="F19" s="26"/>
      <c r="G19" s="1"/>
      <c r="H19" s="3">
        <f t="shared" si="10"/>
        <v>46108</v>
      </c>
      <c r="I19" s="13">
        <v>965601</v>
      </c>
      <c r="J19" s="13">
        <v>92400</v>
      </c>
      <c r="K19" s="13">
        <v>639390</v>
      </c>
      <c r="L19" s="13">
        <v>43500</v>
      </c>
      <c r="M19" s="13">
        <v>595090</v>
      </c>
      <c r="N19" s="13">
        <v>400</v>
      </c>
      <c r="P19" s="6" t="str">
        <f t="shared" si="0"/>
        <v/>
      </c>
      <c r="Q19" s="6" cm="1">
        <f t="array" ref="Q19">IF(I19="",_xlfn.LET(
    _xlpm.vals,_xlfn._xlws.FILTER($J$9:J18,$J$9:J18&lt;&gt;"",""),
    _xlpm.avgJ,IF(COUNTA(_xlpm.vals)=0,0,AVERAGE(_xlfn.TAKE(_xlpm.vals,-MIN(7,ROWS(_xlpm.vals))))),
    _xlpm.addship,IF(P19="",0,P19),
    IF(
        AND(I18="",I19=""),
        Q18-_xlpm.avgJ+_xlpm.addship,
        IF(
            I19="",
            I18-_xlpm.avgJ+_xlpm.addship,
            ""
        )
    )
),I19)</f>
        <v>965601</v>
      </c>
      <c r="R19" s="6" t="str">
        <f t="shared" si="1"/>
        <v/>
      </c>
      <c r="S19" s="6" cm="1">
        <f t="array" ref="S19">IF(K19="",_xlfn.LET(
    _xlpm.vals,_xlfn._xlws.FILTER($L$9:L18,$L$9:L18&lt;&gt;"",""),
    _xlpm.avgJ,IF(COUNTA(_xlpm.vals)=0,0,AVERAGE(_xlfn.TAKE(_xlpm.vals,-MIN(7,ROWS(_xlpm.vals))))),
    _xlpm.addship,IF(R19="",0,R19),
    IF(
        AND(K18="",K19=""),
        S18-_xlpm.avgJ+_xlpm.addship,
        IF(
            K19="",
            K18-_xlpm.avgJ+_xlpm.addship,
            ""
        )
    )
),K19)</f>
        <v>639390</v>
      </c>
      <c r="T19" s="6" t="str">
        <f t="shared" si="3"/>
        <v/>
      </c>
      <c r="U19" s="6" cm="1">
        <f t="array" ref="U19">IF(M19="",_xlfn.LET(
    _xlpm.vals,_xlfn._xlws.FILTER($N$9:N18,$N$9:N18&lt;&gt;"",""),
    _xlpm.avgJ,IF(COUNTA(_xlpm.vals)=0,0,AVERAGE(_xlfn.TAKE(_xlpm.vals,-MIN(7,ROWS(_xlpm.vals))))),
    _xlpm.addship,IF(T19="",0,T19),
    IF(
        AND(M18="",M19=""),
        U18-_xlpm.avgJ+_xlpm.addship,
        IF(
            M19="",
            M18-_xlpm.avgJ+_xlpm.addship,
            ""
        )
    )
),M19)</f>
        <v>595090</v>
      </c>
      <c r="V19" s="7" t="str">
        <f t="shared" si="2"/>
        <v>Kero over capacity</v>
      </c>
      <c r="AE19" s="8">
        <f t="shared" si="4"/>
        <v>47000</v>
      </c>
      <c r="AF19" s="8">
        <f t="shared" si="5"/>
        <v>1223106</v>
      </c>
      <c r="AG19" s="8">
        <f t="shared" si="6"/>
        <v>45000</v>
      </c>
      <c r="AH19" s="8">
        <f t="shared" si="7"/>
        <v>858361</v>
      </c>
      <c r="AI19" s="8">
        <f t="shared" si="8"/>
        <v>24500</v>
      </c>
      <c r="AJ19" s="8">
        <f t="shared" si="9"/>
        <v>589571</v>
      </c>
    </row>
    <row r="20" spans="1:36" s="5" customFormat="1" ht="18" customHeight="1" x14ac:dyDescent="0.25">
      <c r="A20" s="27"/>
      <c r="B20" s="25"/>
      <c r="C20" s="25"/>
      <c r="D20" s="25"/>
      <c r="E20" s="24"/>
      <c r="F20" s="28"/>
      <c r="G20" s="1"/>
      <c r="H20" s="3">
        <f t="shared" si="10"/>
        <v>46109</v>
      </c>
      <c r="I20" s="13">
        <v>965601</v>
      </c>
      <c r="J20" s="13">
        <v>0</v>
      </c>
      <c r="K20" s="13">
        <v>639390</v>
      </c>
      <c r="L20" s="13">
        <v>0</v>
      </c>
      <c r="M20" s="13">
        <v>595090</v>
      </c>
      <c r="N20" s="13">
        <v>0</v>
      </c>
      <c r="P20" s="6" t="str">
        <f t="shared" si="0"/>
        <v/>
      </c>
      <c r="Q20" s="6" cm="1">
        <f t="array" ref="Q20">IF(I20="",_xlfn.LET(
    _xlpm.vals,_xlfn._xlws.FILTER($J$9:J19,$J$9:J19&lt;&gt;"",""),
    _xlpm.avgJ,IF(COUNTA(_xlpm.vals)=0,0,AVERAGE(_xlfn.TAKE(_xlpm.vals,-MIN(7,ROWS(_xlpm.vals))))),
    _xlpm.addship,IF(P20="",0,P20),
    IF(
        AND(I19="",I20=""),
        Q19-_xlpm.avgJ+_xlpm.addship,
        IF(
            I20="",
            I19-_xlpm.avgJ+_xlpm.addship,
            ""
        )
    )
),I20)</f>
        <v>965601</v>
      </c>
      <c r="R20" s="6" t="str">
        <f t="shared" si="1"/>
        <v/>
      </c>
      <c r="S20" s="6" cm="1">
        <f t="array" ref="S20">IF(K20="",_xlfn.LET(
    _xlpm.vals,_xlfn._xlws.FILTER($L$9:L19,$L$9:L19&lt;&gt;"",""),
    _xlpm.avgJ,IF(COUNTA(_xlpm.vals)=0,0,AVERAGE(_xlfn.TAKE(_xlpm.vals,-MIN(7,ROWS(_xlpm.vals))))),
    _xlpm.addship,IF(R20="",0,R20),
    IF(
        AND(K19="",K20=""),
        S19-_xlpm.avgJ+_xlpm.addship,
        IF(
            K20="",
            K19-_xlpm.avgJ+_xlpm.addship,
            ""
        )
    )
),K20)</f>
        <v>639390</v>
      </c>
      <c r="T20" s="6" t="str">
        <f t="shared" si="3"/>
        <v/>
      </c>
      <c r="U20" s="6" cm="1">
        <f t="array" ref="U20">IF(M20="",_xlfn.LET(
    _xlpm.vals,_xlfn._xlws.FILTER($N$9:N19,$N$9:N19&lt;&gt;"",""),
    _xlpm.avgJ,IF(COUNTA(_xlpm.vals)=0,0,AVERAGE(_xlfn.TAKE(_xlpm.vals,-MIN(7,ROWS(_xlpm.vals))))),
    _xlpm.addship,IF(T20="",0,T20),
    IF(
        AND(M19="",M20=""),
        U19-_xlpm.avgJ+_xlpm.addship,
        IF(
            M20="",
            M19-_xlpm.avgJ+_xlpm.addship,
            ""
        )
    )
),M20)</f>
        <v>595090</v>
      </c>
      <c r="V20" s="7" t="str">
        <f t="shared" si="2"/>
        <v>Kero over capacity</v>
      </c>
      <c r="AE20" s="8">
        <f t="shared" si="4"/>
        <v>47000</v>
      </c>
      <c r="AF20" s="8">
        <f t="shared" si="5"/>
        <v>1223106</v>
      </c>
      <c r="AG20" s="8">
        <f t="shared" si="6"/>
        <v>45000</v>
      </c>
      <c r="AH20" s="8">
        <f t="shared" si="7"/>
        <v>858361</v>
      </c>
      <c r="AI20" s="8">
        <f t="shared" si="8"/>
        <v>24500</v>
      </c>
      <c r="AJ20" s="8">
        <f t="shared" si="9"/>
        <v>589571</v>
      </c>
    </row>
    <row r="21" spans="1:36" s="5" customFormat="1" ht="18" customHeight="1" x14ac:dyDescent="0.25">
      <c r="A21" s="29"/>
      <c r="B21" s="30"/>
      <c r="C21" s="30"/>
      <c r="D21" s="30"/>
      <c r="E21" s="31"/>
      <c r="F21" s="32"/>
      <c r="G21" s="1"/>
      <c r="H21" s="3">
        <f t="shared" si="10"/>
        <v>46110</v>
      </c>
      <c r="I21" s="13">
        <v>965601</v>
      </c>
      <c r="J21" s="13">
        <v>0</v>
      </c>
      <c r="K21" s="13">
        <v>639390</v>
      </c>
      <c r="L21" s="13">
        <v>0</v>
      </c>
      <c r="M21" s="13">
        <v>595090</v>
      </c>
      <c r="N21" s="13">
        <v>0</v>
      </c>
      <c r="P21" s="6" t="str">
        <f t="shared" si="0"/>
        <v/>
      </c>
      <c r="Q21" s="6" cm="1">
        <f t="array" ref="Q21">IF(I21="",_xlfn.LET(
    _xlpm.vals,_xlfn._xlws.FILTER($J$9:J20,$J$9:J20&lt;&gt;"",""),
    _xlpm.avgJ,IF(COUNTA(_xlpm.vals)=0,0,AVERAGE(_xlfn.TAKE(_xlpm.vals,-MIN(7,ROWS(_xlpm.vals))))),
    _xlpm.addship,IF(P21="",0,P21),
    IF(
        AND(I20="",I21=""),
        Q20-_xlpm.avgJ+_xlpm.addship,
        IF(
            I21="",
            I20-_xlpm.avgJ+_xlpm.addship,
            ""
        )
    )
),I21)</f>
        <v>965601</v>
      </c>
      <c r="R21" s="6" t="str">
        <f t="shared" si="1"/>
        <v/>
      </c>
      <c r="S21" s="6" cm="1">
        <f t="array" ref="S21">IF(K21="",_xlfn.LET(
    _xlpm.vals,_xlfn._xlws.FILTER($L$9:L20,$L$9:L20&lt;&gt;"",""),
    _xlpm.avgJ,IF(COUNTA(_xlpm.vals)=0,0,AVERAGE(_xlfn.TAKE(_xlpm.vals,-MIN(7,ROWS(_xlpm.vals))))),
    _xlpm.addship,IF(R21="",0,R21),
    IF(
        AND(K20="",K21=""),
        S20-_xlpm.avgJ+_xlpm.addship,
        IF(
            K21="",
            K20-_xlpm.avgJ+_xlpm.addship,
            ""
        )
    )
),K21)</f>
        <v>639390</v>
      </c>
      <c r="T21" s="6" t="str">
        <f t="shared" si="3"/>
        <v/>
      </c>
      <c r="U21" s="6" cm="1">
        <f t="array" ref="U21">IF(M21="",_xlfn.LET(
    _xlpm.vals,_xlfn._xlws.FILTER($N$9:N20,$N$9:N20&lt;&gt;"",""),
    _xlpm.avgJ,IF(COUNTA(_xlpm.vals)=0,0,AVERAGE(_xlfn.TAKE(_xlpm.vals,-MIN(7,ROWS(_xlpm.vals))))),
    _xlpm.addship,IF(T21="",0,T21),
    IF(
        AND(M20="",M21=""),
        U20-_xlpm.avgJ+_xlpm.addship,
        IF(
            M21="",
            M20-_xlpm.avgJ+_xlpm.addship,
            ""
        )
    )
),M21)</f>
        <v>595090</v>
      </c>
      <c r="V21" s="7" t="str">
        <f t="shared" si="2"/>
        <v>Kero over capacity</v>
      </c>
      <c r="AE21" s="8">
        <f t="shared" si="4"/>
        <v>47000</v>
      </c>
      <c r="AF21" s="8">
        <f t="shared" si="5"/>
        <v>1223106</v>
      </c>
      <c r="AG21" s="8">
        <f t="shared" si="6"/>
        <v>45000</v>
      </c>
      <c r="AH21" s="8">
        <f t="shared" si="7"/>
        <v>858361</v>
      </c>
      <c r="AI21" s="8">
        <f t="shared" si="8"/>
        <v>24500</v>
      </c>
      <c r="AJ21" s="8">
        <f t="shared" si="9"/>
        <v>589571</v>
      </c>
    </row>
    <row r="22" spans="1:36" s="5" customFormat="1" ht="18" customHeight="1" x14ac:dyDescent="0.25">
      <c r="A22" s="7"/>
      <c r="F22" s="7"/>
      <c r="G22" s="1"/>
      <c r="H22" s="3">
        <f t="shared" si="10"/>
        <v>46111</v>
      </c>
      <c r="I22" s="13">
        <v>794190</v>
      </c>
      <c r="J22" s="13">
        <v>143450</v>
      </c>
      <c r="K22" s="13">
        <v>515573</v>
      </c>
      <c r="L22" s="13">
        <v>120400</v>
      </c>
      <c r="M22" s="13">
        <v>400527</v>
      </c>
      <c r="N22" s="13">
        <v>10200</v>
      </c>
      <c r="P22" s="6" t="str">
        <f t="shared" si="0"/>
        <v/>
      </c>
      <c r="Q22" s="6" cm="1">
        <f t="array" ref="Q22">IF(I22="",_xlfn.LET(
    _xlpm.vals,_xlfn._xlws.FILTER($J$9:J21,$J$9:J21&lt;&gt;"",""),
    _xlpm.avgJ,IF(COUNTA(_xlpm.vals)=0,0,AVERAGE(_xlfn.TAKE(_xlpm.vals,-MIN(7,ROWS(_xlpm.vals))))),
    _xlpm.addship,IF(P22="",0,P22),
    IF(
        AND(I21="",I22=""),
        Q21-_xlpm.avgJ+_xlpm.addship,
        IF(
            I22="",
            I21-_xlpm.avgJ+_xlpm.addship,
            ""
        )
    )
),I22)</f>
        <v>794190</v>
      </c>
      <c r="R22" s="6" t="str">
        <f t="shared" si="1"/>
        <v/>
      </c>
      <c r="S22" s="6" cm="1">
        <f t="array" ref="S22">IF(K22="",_xlfn.LET(
    _xlpm.vals,_xlfn._xlws.FILTER($L$9:L21,$L$9:L21&lt;&gt;"",""),
    _xlpm.avgJ,IF(COUNTA(_xlpm.vals)=0,0,AVERAGE(_xlfn.TAKE(_xlpm.vals,-MIN(7,ROWS(_xlpm.vals))))),
    _xlpm.addship,IF(R22="",0,R22),
    IF(
        AND(K21="",K22=""),
        S21-_xlpm.avgJ+_xlpm.addship,
        IF(
            K22="",
            K21-_xlpm.avgJ+_xlpm.addship,
            ""
        )
    )
),K22)</f>
        <v>515573</v>
      </c>
      <c r="T22" s="6" t="str">
        <f t="shared" si="3"/>
        <v/>
      </c>
      <c r="U22" s="6" cm="1">
        <f t="array" ref="U22">IF(M22="",_xlfn.LET(
    _xlpm.vals,_xlfn._xlws.FILTER($N$9:N21,$N$9:N21&lt;&gt;"",""),
    _xlpm.avgJ,IF(COUNTA(_xlpm.vals)=0,0,AVERAGE(_xlfn.TAKE(_xlpm.vals,-MIN(7,ROWS(_xlpm.vals))))),
    _xlpm.addship,IF(T22="",0,T22),
    IF(
        AND(M21="",M22=""),
        U21-_xlpm.avgJ+_xlpm.addship,
        IF(
            M22="",
            M21-_xlpm.avgJ+_xlpm.addship,
            ""
        )
    )
),M22)</f>
        <v>400527</v>
      </c>
      <c r="V22" s="7" t="str">
        <f t="shared" si="2"/>
        <v/>
      </c>
      <c r="AE22" s="8">
        <f t="shared" si="4"/>
        <v>47000</v>
      </c>
      <c r="AF22" s="8">
        <f t="shared" si="5"/>
        <v>1223106</v>
      </c>
      <c r="AG22" s="8">
        <f t="shared" si="6"/>
        <v>45000</v>
      </c>
      <c r="AH22" s="8">
        <f t="shared" si="7"/>
        <v>858361</v>
      </c>
      <c r="AI22" s="8">
        <f t="shared" si="8"/>
        <v>24500</v>
      </c>
      <c r="AJ22" s="8">
        <f t="shared" si="9"/>
        <v>589571</v>
      </c>
    </row>
    <row r="23" spans="1:36" s="5" customFormat="1" ht="18" customHeight="1" x14ac:dyDescent="0.25">
      <c r="A23" s="9" t="s">
        <v>0</v>
      </c>
      <c r="C23" s="48" t="s">
        <v>10</v>
      </c>
      <c r="D23" s="49"/>
      <c r="E23" s="50"/>
      <c r="F23" s="7"/>
      <c r="G23" s="1"/>
      <c r="H23" s="3">
        <f t="shared" si="10"/>
        <v>46112</v>
      </c>
      <c r="I23" s="13">
        <v>634730</v>
      </c>
      <c r="J23" s="13">
        <v>158100</v>
      </c>
      <c r="K23" s="13">
        <v>358173</v>
      </c>
      <c r="L23" s="13">
        <v>157300</v>
      </c>
      <c r="M23" s="13">
        <v>349463</v>
      </c>
      <c r="N23" s="13">
        <v>46000</v>
      </c>
      <c r="P23" s="6" t="str">
        <f t="shared" si="0"/>
        <v/>
      </c>
      <c r="Q23" s="6" cm="1">
        <f t="array" ref="Q23">IF(I23="",_xlfn.LET(
    _xlpm.vals,_xlfn._xlws.FILTER($J$9:J22,$J$9:J22&lt;&gt;"",""),
    _xlpm.avgJ,IF(COUNTA(_xlpm.vals)=0,0,AVERAGE(_xlfn.TAKE(_xlpm.vals,-MIN(7,ROWS(_xlpm.vals))))),
    _xlpm.addship,IF(P23="",0,P23),
    IF(
        AND(I22="",I23=""),
        Q22-_xlpm.avgJ+_xlpm.addship,
        IF(
            I23="",
            I22-_xlpm.avgJ+_xlpm.addship,
            ""
        )
    )
),I23)</f>
        <v>634730</v>
      </c>
      <c r="R23" s="6" t="str">
        <f t="shared" si="1"/>
        <v/>
      </c>
      <c r="S23" s="6" cm="1">
        <f t="array" ref="S23">IF(K23="",_xlfn.LET(
    _xlpm.vals,_xlfn._xlws.FILTER($L$9:L22,$L$9:L22&lt;&gt;"",""),
    _xlpm.avgJ,IF(COUNTA(_xlpm.vals)=0,0,AVERAGE(_xlfn.TAKE(_xlpm.vals,-MIN(7,ROWS(_xlpm.vals))))),
    _xlpm.addship,IF(R23="",0,R23),
    IF(
        AND(K22="",K23=""),
        S22-_xlpm.avgJ+_xlpm.addship,
        IF(
            K23="",
            K22-_xlpm.avgJ+_xlpm.addship,
            ""
        )
    )
),K23)</f>
        <v>358173</v>
      </c>
      <c r="T23" s="6" t="str">
        <f t="shared" si="3"/>
        <v/>
      </c>
      <c r="U23" s="6" cm="1">
        <f t="array" ref="U23">IF(M23="",_xlfn.LET(
    _xlpm.vals,_xlfn._xlws.FILTER($N$9:N22,$N$9:N22&lt;&gt;"",""),
    _xlpm.avgJ,IF(COUNTA(_xlpm.vals)=0,0,AVERAGE(_xlfn.TAKE(_xlpm.vals,-MIN(7,ROWS(_xlpm.vals))))),
    _xlpm.addship,IF(T23="",0,T23),
    IF(
        AND(M22="",M23=""),
        U22-_xlpm.avgJ+_xlpm.addship,
        IF(
            M23="",
            M22-_xlpm.avgJ+_xlpm.addship,
            ""
        )
    )
),M23)</f>
        <v>349463</v>
      </c>
      <c r="V23" s="7" t="str">
        <f t="shared" si="2"/>
        <v/>
      </c>
      <c r="AE23" s="8">
        <f t="shared" si="4"/>
        <v>47000</v>
      </c>
      <c r="AF23" s="8">
        <f t="shared" si="5"/>
        <v>1223106</v>
      </c>
      <c r="AG23" s="8">
        <f t="shared" si="6"/>
        <v>45000</v>
      </c>
      <c r="AH23" s="8">
        <f t="shared" si="7"/>
        <v>858361</v>
      </c>
      <c r="AI23" s="8">
        <f t="shared" si="8"/>
        <v>24500</v>
      </c>
      <c r="AJ23" s="8">
        <f t="shared" si="9"/>
        <v>589571</v>
      </c>
    </row>
    <row r="24" spans="1:36" s="5" customFormat="1" ht="18" customHeight="1" x14ac:dyDescent="0.25">
      <c r="A24" s="33" t="s">
        <v>11</v>
      </c>
      <c r="B24" s="34"/>
      <c r="C24" s="35" t="s">
        <v>12</v>
      </c>
      <c r="D24" s="36" t="s">
        <v>13</v>
      </c>
      <c r="E24" s="37" t="s">
        <v>26</v>
      </c>
      <c r="F24" s="7"/>
      <c r="G24" s="1"/>
      <c r="H24" s="3">
        <f t="shared" si="10"/>
        <v>46113</v>
      </c>
      <c r="I24" s="13">
        <v>628492</v>
      </c>
      <c r="J24" s="13">
        <v>5400</v>
      </c>
      <c r="K24" s="13">
        <v>348251</v>
      </c>
      <c r="L24" s="13">
        <v>10000</v>
      </c>
      <c r="M24" s="13">
        <v>325604</v>
      </c>
      <c r="N24" s="13">
        <v>23700</v>
      </c>
      <c r="P24" s="6" t="str">
        <f t="shared" si="0"/>
        <v/>
      </c>
      <c r="Q24" s="6" cm="1">
        <f t="array" ref="Q24">IF(I24="",_xlfn.LET(
    _xlpm.vals,_xlfn._xlws.FILTER($J$9:J23,$J$9:J23&lt;&gt;"",""),
    _xlpm.avgJ,IF(COUNTA(_xlpm.vals)=0,0,AVERAGE(_xlfn.TAKE(_xlpm.vals,-MIN(7,ROWS(_xlpm.vals))))),
    _xlpm.addship,IF(P24="",0,P24),
    IF(
        AND(I23="",I24=""),
        Q23-_xlpm.avgJ+_xlpm.addship,
        IF(
            I24="",
            I23-_xlpm.avgJ+_xlpm.addship,
            ""
        )
    )
),I24)</f>
        <v>628492</v>
      </c>
      <c r="R24" s="6" t="str">
        <f t="shared" si="1"/>
        <v/>
      </c>
      <c r="S24" s="6" cm="1">
        <f t="array" ref="S24">IF(K24="",_xlfn.LET(
    _xlpm.vals,_xlfn._xlws.FILTER($L$9:L23,$L$9:L23&lt;&gt;"",""),
    _xlpm.avgJ,IF(COUNTA(_xlpm.vals)=0,0,AVERAGE(_xlfn.TAKE(_xlpm.vals,-MIN(7,ROWS(_xlpm.vals))))),
    _xlpm.addship,IF(R24="",0,R24),
    IF(
        AND(K23="",K24=""),
        S23-_xlpm.avgJ+_xlpm.addship,
        IF(
            K24="",
            K23-_xlpm.avgJ+_xlpm.addship,
            ""
        )
    )
),K24)</f>
        <v>348251</v>
      </c>
      <c r="T24" s="6" t="str">
        <f t="shared" si="3"/>
        <v/>
      </c>
      <c r="U24" s="6" cm="1">
        <f t="array" ref="U24">IF(M24="",_xlfn.LET(
    _xlpm.vals,_xlfn._xlws.FILTER($N$9:N23,$N$9:N23&lt;&gt;"",""),
    _xlpm.avgJ,IF(COUNTA(_xlpm.vals)=0,0,AVERAGE(_xlfn.TAKE(_xlpm.vals,-MIN(7,ROWS(_xlpm.vals))))),
    _xlpm.addship,IF(T24="",0,T24),
    IF(
        AND(M23="",M24=""),
        U23-_xlpm.avgJ+_xlpm.addship,
        IF(
            M24="",
            M23-_xlpm.avgJ+_xlpm.addship,
            ""
        )
    )
),M24)</f>
        <v>325604</v>
      </c>
      <c r="V24" s="7" t="str">
        <f t="shared" si="2"/>
        <v/>
      </c>
      <c r="AE24" s="8">
        <f t="shared" si="4"/>
        <v>47000</v>
      </c>
      <c r="AF24" s="8">
        <f t="shared" si="5"/>
        <v>1223106</v>
      </c>
      <c r="AG24" s="8">
        <f t="shared" si="6"/>
        <v>45000</v>
      </c>
      <c r="AH24" s="8">
        <f t="shared" si="7"/>
        <v>858361</v>
      </c>
      <c r="AI24" s="8">
        <f t="shared" si="8"/>
        <v>24500</v>
      </c>
      <c r="AJ24" s="8">
        <f t="shared" si="9"/>
        <v>589571</v>
      </c>
    </row>
    <row r="25" spans="1:36" s="5" customFormat="1" ht="18" customHeight="1" x14ac:dyDescent="0.25">
      <c r="A25" s="5" t="s">
        <v>14</v>
      </c>
      <c r="B25" s="34" t="s">
        <v>15</v>
      </c>
      <c r="C25" s="38">
        <v>1223106</v>
      </c>
      <c r="D25" s="38">
        <v>858361</v>
      </c>
      <c r="E25" s="38">
        <v>589571</v>
      </c>
      <c r="F25" s="33"/>
      <c r="G25" s="1"/>
      <c r="H25" s="3">
        <f t="shared" si="10"/>
        <v>46114</v>
      </c>
      <c r="I25" s="39">
        <v>500125</v>
      </c>
      <c r="J25" s="39">
        <v>127700</v>
      </c>
      <c r="K25" s="39">
        <v>313734</v>
      </c>
      <c r="L25" s="39">
        <v>34400</v>
      </c>
      <c r="M25" s="39">
        <v>269126</v>
      </c>
      <c r="N25" s="39">
        <v>56300</v>
      </c>
      <c r="O25" s="33"/>
      <c r="P25" s="6" t="str">
        <f t="shared" si="0"/>
        <v/>
      </c>
      <c r="Q25" s="6" cm="1">
        <f t="array" ref="Q25">IF(I25="",_xlfn.LET(
    _xlpm.vals,_xlfn._xlws.FILTER($J$9:J24,$J$9:J24&lt;&gt;"",""),
    _xlpm.avgJ,IF(COUNTA(_xlpm.vals)=0,0,AVERAGE(_xlfn.TAKE(_xlpm.vals,-MIN(7,ROWS(_xlpm.vals))))),
    _xlpm.addship,IF(P25="",0,P25),
    IF(
        AND(I24="",I25=""),
        Q24-_xlpm.avgJ+_xlpm.addship,
        IF(
            I25="",
            I24-_xlpm.avgJ+_xlpm.addship,
            ""
        )
    )
),I25)</f>
        <v>500125</v>
      </c>
      <c r="R25" s="6" t="str">
        <f t="shared" si="1"/>
        <v/>
      </c>
      <c r="S25" s="6" cm="1">
        <f t="array" ref="S25">IF(K25="",_xlfn.LET(
    _xlpm.vals,_xlfn._xlws.FILTER($L$9:L24,$L$9:L24&lt;&gt;"",""),
    _xlpm.avgJ,IF(COUNTA(_xlpm.vals)=0,0,AVERAGE(_xlfn.TAKE(_xlpm.vals,-MIN(7,ROWS(_xlpm.vals))))),
    _xlpm.addship,IF(R25="",0,R25),
    IF(
        AND(K24="",K25=""),
        S24-_xlpm.avgJ+_xlpm.addship,
        IF(
            K25="",
            K24-_xlpm.avgJ+_xlpm.addship,
            ""
        )
    )
),K25)</f>
        <v>313734</v>
      </c>
      <c r="T25" s="6" t="str">
        <f t="shared" si="3"/>
        <v/>
      </c>
      <c r="U25" s="6" cm="1">
        <f t="array" ref="U25">IF(M25="",_xlfn.LET(
    _xlpm.vals,_xlfn._xlws.FILTER($N$9:N24,$N$9:N24&lt;&gt;"",""),
    _xlpm.avgJ,IF(COUNTA(_xlpm.vals)=0,0,AVERAGE(_xlfn.TAKE(_xlpm.vals,-MIN(7,ROWS(_xlpm.vals))))),
    _xlpm.addship,IF(T25="",0,T25),
    IF(
        AND(M24="",M25=""),
        U24-_xlpm.avgJ+_xlpm.addship,
        IF(
            M25="",
            M24-_xlpm.avgJ+_xlpm.addship,
            ""
        )
    )
),M25)</f>
        <v>269126</v>
      </c>
      <c r="V25" s="7" t="str">
        <f t="shared" si="2"/>
        <v/>
      </c>
      <c r="W25" s="33"/>
      <c r="X25" s="33"/>
      <c r="AE25" s="8">
        <f t="shared" si="4"/>
        <v>47000</v>
      </c>
      <c r="AF25" s="8">
        <f t="shared" si="5"/>
        <v>1223106</v>
      </c>
      <c r="AG25" s="8">
        <f t="shared" si="6"/>
        <v>45000</v>
      </c>
      <c r="AH25" s="8">
        <f t="shared" si="7"/>
        <v>858361</v>
      </c>
      <c r="AI25" s="8">
        <f t="shared" si="8"/>
        <v>24500</v>
      </c>
      <c r="AJ25" s="8">
        <f t="shared" si="9"/>
        <v>589571</v>
      </c>
    </row>
    <row r="26" spans="1:36" s="5" customFormat="1" ht="18" customHeight="1" x14ac:dyDescent="0.25">
      <c r="A26" s="5" t="s">
        <v>16</v>
      </c>
      <c r="B26" s="34" t="s">
        <v>15</v>
      </c>
      <c r="C26" s="40">
        <v>47000</v>
      </c>
      <c r="D26" s="40">
        <v>45000</v>
      </c>
      <c r="E26" s="40">
        <v>24500</v>
      </c>
      <c r="F26" s="7"/>
      <c r="G26" s="1"/>
      <c r="H26" s="3">
        <f t="shared" si="10"/>
        <v>46115</v>
      </c>
      <c r="I26" s="13">
        <v>500125</v>
      </c>
      <c r="J26" s="13">
        <v>0</v>
      </c>
      <c r="K26" s="13">
        <v>313734</v>
      </c>
      <c r="L26" s="13">
        <v>0</v>
      </c>
      <c r="M26" s="13">
        <v>269126</v>
      </c>
      <c r="N26" s="13">
        <v>0</v>
      </c>
      <c r="P26" s="6" t="str">
        <f t="shared" si="0"/>
        <v/>
      </c>
      <c r="Q26" s="6" cm="1">
        <f t="array" ref="Q26">IF(I26="",_xlfn.LET(
    _xlpm.vals,_xlfn._xlws.FILTER($J$9:J25,$J$9:J25&lt;&gt;"",""),
    _xlpm.avgJ,IF(COUNTA(_xlpm.vals)=0,0,AVERAGE(_xlfn.TAKE(_xlpm.vals,-MIN(7,ROWS(_xlpm.vals))))),
    _xlpm.addship,IF(P26="",0,P26),
    IF(
        AND(I25="",I26=""),
        Q25-_xlpm.avgJ+_xlpm.addship,
        IF(
            I26="",
            I25-_xlpm.avgJ+_xlpm.addship,
            ""
        )
    )
),I26)</f>
        <v>500125</v>
      </c>
      <c r="R26" s="6" t="str">
        <f t="shared" si="1"/>
        <v/>
      </c>
      <c r="S26" s="6" cm="1">
        <f t="array" ref="S26">IF(K26="",_xlfn.LET(
    _xlpm.vals,_xlfn._xlws.FILTER($L$9:L25,$L$9:L25&lt;&gt;"",""),
    _xlpm.avgJ,IF(COUNTA(_xlpm.vals)=0,0,AVERAGE(_xlfn.TAKE(_xlpm.vals,-MIN(7,ROWS(_xlpm.vals))))),
    _xlpm.addship,IF(R26="",0,R26),
    IF(
        AND(K25="",K26=""),
        S25-_xlpm.avgJ+_xlpm.addship,
        IF(
            K26="",
            K25-_xlpm.avgJ+_xlpm.addship,
            ""
        )
    )
),K26)</f>
        <v>313734</v>
      </c>
      <c r="T26" s="6" t="str">
        <f t="shared" si="3"/>
        <v/>
      </c>
      <c r="U26" s="6" cm="1">
        <f t="array" ref="U26">IF(M26="",_xlfn.LET(
    _xlpm.vals,_xlfn._xlws.FILTER($N$9:N25,$N$9:N25&lt;&gt;"",""),
    _xlpm.avgJ,IF(COUNTA(_xlpm.vals)=0,0,AVERAGE(_xlfn.TAKE(_xlpm.vals,-MIN(7,ROWS(_xlpm.vals))))),
    _xlpm.addship,IF(T26="",0,T26),
    IF(
        AND(M25="",M26=""),
        U25-_xlpm.avgJ+_xlpm.addship,
        IF(
            M26="",
            M25-_xlpm.avgJ+_xlpm.addship,
            ""
        )
    )
),M26)</f>
        <v>269126</v>
      </c>
      <c r="V26" s="7" t="str">
        <f t="shared" si="2"/>
        <v/>
      </c>
      <c r="AE26" s="8">
        <f t="shared" si="4"/>
        <v>47000</v>
      </c>
      <c r="AF26" s="8">
        <f t="shared" si="5"/>
        <v>1223106</v>
      </c>
      <c r="AG26" s="8">
        <f t="shared" si="6"/>
        <v>45000</v>
      </c>
      <c r="AH26" s="8">
        <f t="shared" si="7"/>
        <v>858361</v>
      </c>
      <c r="AI26" s="8">
        <f t="shared" si="8"/>
        <v>24500</v>
      </c>
      <c r="AJ26" s="8">
        <f t="shared" si="9"/>
        <v>589571</v>
      </c>
    </row>
    <row r="27" spans="1:36" s="5" customFormat="1" ht="21.75" x14ac:dyDescent="0.25">
      <c r="A27" s="5" t="s">
        <v>17</v>
      </c>
      <c r="B27" s="34" t="s">
        <v>15</v>
      </c>
      <c r="C27" s="41">
        <f>C25-C26</f>
        <v>1176106</v>
      </c>
      <c r="D27" s="41">
        <f>D25-D26</f>
        <v>813361</v>
      </c>
      <c r="E27" s="41">
        <f>E25-E26</f>
        <v>565071</v>
      </c>
      <c r="F27" s="7"/>
      <c r="G27" s="1"/>
      <c r="H27" s="3">
        <f t="shared" si="10"/>
        <v>46116</v>
      </c>
      <c r="I27" s="13">
        <v>500125</v>
      </c>
      <c r="J27" s="13">
        <v>0</v>
      </c>
      <c r="K27" s="13">
        <v>313734</v>
      </c>
      <c r="L27" s="13">
        <v>0</v>
      </c>
      <c r="M27" s="13">
        <v>269126</v>
      </c>
      <c r="N27" s="13">
        <v>0</v>
      </c>
      <c r="P27" s="6" t="str">
        <f t="shared" si="0"/>
        <v/>
      </c>
      <c r="Q27" s="6" cm="1">
        <f t="array" ref="Q27">IF(I27="",_xlfn.LET(
    _xlpm.vals,_xlfn._xlws.FILTER($J$9:J26,$J$9:J26&lt;&gt;"",""),
    _xlpm.avgJ,IF(COUNTA(_xlpm.vals)=0,0,AVERAGE(_xlfn.TAKE(_xlpm.vals,-MIN(7,ROWS(_xlpm.vals))))),
    _xlpm.addship,IF(P27="",0,P27),
    IF(
        AND(I26="",I27=""),
        Q26-_xlpm.avgJ+_xlpm.addship,
        IF(
            I27="",
            I26-_xlpm.avgJ+_xlpm.addship,
            ""
        )
    )
),I27)</f>
        <v>500125</v>
      </c>
      <c r="R27" s="6" t="str">
        <f t="shared" si="1"/>
        <v/>
      </c>
      <c r="S27" s="6" cm="1">
        <f t="array" ref="S27">IF(K27="",_xlfn.LET(
    _xlpm.vals,_xlfn._xlws.FILTER($L$9:L26,$L$9:L26&lt;&gt;"",""),
    _xlpm.avgJ,IF(COUNTA(_xlpm.vals)=0,0,AVERAGE(_xlfn.TAKE(_xlpm.vals,-MIN(7,ROWS(_xlpm.vals))))),
    _xlpm.addship,IF(R27="",0,R27),
    IF(
        AND(K26="",K27=""),
        S26-_xlpm.avgJ+_xlpm.addship,
        IF(
            K27="",
            K26-_xlpm.avgJ+_xlpm.addship,
            ""
        )
    )
),K27)</f>
        <v>313734</v>
      </c>
      <c r="T27" s="6" t="str">
        <f t="shared" si="3"/>
        <v/>
      </c>
      <c r="U27" s="6" cm="1">
        <f t="array" ref="U27">IF(M27="",_xlfn.LET(
    _xlpm.vals,_xlfn._xlws.FILTER($N$9:N26,$N$9:N26&lt;&gt;"",""),
    _xlpm.avgJ,IF(COUNTA(_xlpm.vals)=0,0,AVERAGE(_xlfn.TAKE(_xlpm.vals,-MIN(7,ROWS(_xlpm.vals))))),
    _xlpm.addship,IF(T27="",0,T27),
    IF(
        AND(M26="",M27=""),
        U26-_xlpm.avgJ+_xlpm.addship,
        IF(
            M27="",
            M26-_xlpm.avgJ+_xlpm.addship,
            ""
        )
    )
),M27)</f>
        <v>269126</v>
      </c>
      <c r="V27" s="7" t="str">
        <f t="shared" si="2"/>
        <v/>
      </c>
      <c r="AE27" s="8">
        <f t="shared" si="4"/>
        <v>47000</v>
      </c>
      <c r="AF27" s="8">
        <f t="shared" si="5"/>
        <v>1223106</v>
      </c>
      <c r="AG27" s="8">
        <f t="shared" si="6"/>
        <v>45000</v>
      </c>
      <c r="AH27" s="8">
        <f t="shared" si="7"/>
        <v>858361</v>
      </c>
      <c r="AI27" s="8">
        <f t="shared" si="8"/>
        <v>24500</v>
      </c>
      <c r="AJ27" s="8">
        <f t="shared" si="9"/>
        <v>589571</v>
      </c>
    </row>
    <row r="28" spans="1:36" s="33" customFormat="1" ht="18" customHeight="1" x14ac:dyDescent="0.25">
      <c r="F28" s="7"/>
      <c r="G28" s="1"/>
      <c r="H28" s="3">
        <f t="shared" si="10"/>
        <v>46117</v>
      </c>
      <c r="I28" s="39">
        <v>500125</v>
      </c>
      <c r="J28" s="39">
        <v>0</v>
      </c>
      <c r="K28" s="39">
        <v>313734</v>
      </c>
      <c r="L28" s="39">
        <v>0</v>
      </c>
      <c r="M28" s="39">
        <v>269126</v>
      </c>
      <c r="N28" s="39">
        <v>0</v>
      </c>
      <c r="P28" s="6" t="str">
        <f t="shared" si="0"/>
        <v/>
      </c>
      <c r="Q28" s="6" cm="1">
        <f t="array" ref="Q28">IF(I28="",_xlfn.LET(
    _xlpm.vals,_xlfn._xlws.FILTER($J$9:J27,$J$9:J27&lt;&gt;"",""),
    _xlpm.avgJ,IF(COUNTA(_xlpm.vals)=0,0,AVERAGE(_xlfn.TAKE(_xlpm.vals,-MIN(7,ROWS(_xlpm.vals))))),
    _xlpm.addship,IF(P28="",0,P28),
    IF(
        AND(I27="",I28=""),
        Q27-_xlpm.avgJ+_xlpm.addship,
        IF(
            I28="",
            I27-_xlpm.avgJ+_xlpm.addship,
            ""
        )
    )
),I28)</f>
        <v>500125</v>
      </c>
      <c r="R28" s="6" t="str">
        <f t="shared" si="1"/>
        <v/>
      </c>
      <c r="S28" s="6" cm="1">
        <f t="array" ref="S28">IF(K28="",_xlfn.LET(
    _xlpm.vals,_xlfn._xlws.FILTER($L$9:L27,$L$9:L27&lt;&gt;"",""),
    _xlpm.avgJ,IF(COUNTA(_xlpm.vals)=0,0,AVERAGE(_xlfn.TAKE(_xlpm.vals,-MIN(7,ROWS(_xlpm.vals))))),
    _xlpm.addship,IF(R28="",0,R28),
    IF(
        AND(K27="",K28=""),
        S27-_xlpm.avgJ+_xlpm.addship,
        IF(
            K28="",
            K27-_xlpm.avgJ+_xlpm.addship,
            ""
        )
    )
),K28)</f>
        <v>313734</v>
      </c>
      <c r="T28" s="6" t="str">
        <f t="shared" si="3"/>
        <v/>
      </c>
      <c r="U28" s="6" cm="1">
        <f t="array" ref="U28">IF(M28="",_xlfn.LET(
    _xlpm.vals,_xlfn._xlws.FILTER($N$9:N27,$N$9:N27&lt;&gt;"",""),
    _xlpm.avgJ,IF(COUNTA(_xlpm.vals)=0,0,AVERAGE(_xlfn.TAKE(_xlpm.vals,-MIN(7,ROWS(_xlpm.vals))))),
    _xlpm.addship,IF(T28="",0,T28),
    IF(
        AND(M27="",M28=""),
        U27-_xlpm.avgJ+_xlpm.addship,
        IF(
            M28="",
            M27-_xlpm.avgJ+_xlpm.addship,
            ""
        )
    )
),M28)</f>
        <v>269126</v>
      </c>
      <c r="V28" s="7" t="str">
        <f t="shared" si="2"/>
        <v/>
      </c>
      <c r="W28" s="5"/>
      <c r="X28" s="5"/>
      <c r="AE28" s="8">
        <f t="shared" si="4"/>
        <v>47000</v>
      </c>
      <c r="AF28" s="8">
        <f t="shared" si="5"/>
        <v>1223106</v>
      </c>
      <c r="AG28" s="8">
        <f t="shared" si="6"/>
        <v>45000</v>
      </c>
      <c r="AH28" s="8">
        <f t="shared" si="7"/>
        <v>858361</v>
      </c>
      <c r="AI28" s="8">
        <f t="shared" si="8"/>
        <v>24500</v>
      </c>
      <c r="AJ28" s="8">
        <f t="shared" si="9"/>
        <v>589571</v>
      </c>
    </row>
    <row r="29" spans="1:36" s="5" customFormat="1" ht="21.75" x14ac:dyDescent="0.25">
      <c r="A29" s="7"/>
      <c r="G29" s="1"/>
      <c r="H29" s="3">
        <f t="shared" si="10"/>
        <v>46118</v>
      </c>
      <c r="I29" s="13">
        <v>500125</v>
      </c>
      <c r="J29" s="13">
        <v>0</v>
      </c>
      <c r="K29" s="13">
        <v>313734</v>
      </c>
      <c r="L29" s="13">
        <v>0</v>
      </c>
      <c r="M29" s="13">
        <v>269126</v>
      </c>
      <c r="N29" s="13">
        <v>0</v>
      </c>
      <c r="P29" s="6" t="str">
        <f t="shared" si="0"/>
        <v/>
      </c>
      <c r="Q29" s="6" cm="1">
        <f t="array" ref="Q29">IF(I29="",_xlfn.LET(
    _xlpm.vals,_xlfn._xlws.FILTER($J$9:J28,$J$9:J28&lt;&gt;"",""),
    _xlpm.avgJ,IF(COUNTA(_xlpm.vals)=0,0,AVERAGE(_xlfn.TAKE(_xlpm.vals,-MIN(7,ROWS(_xlpm.vals))))),
    _xlpm.addship,IF(P29="",0,P29),
    IF(
        AND(I28="",I29=""),
        Q28-_xlpm.avgJ+_xlpm.addship,
        IF(
            I29="",
            I28-_xlpm.avgJ+_xlpm.addship,
            ""
        )
    )
),I29)</f>
        <v>500125</v>
      </c>
      <c r="R29" s="6" t="str">
        <f t="shared" si="1"/>
        <v/>
      </c>
      <c r="S29" s="6" cm="1">
        <f t="array" ref="S29">IF(K29="",_xlfn.LET(
    _xlpm.vals,_xlfn._xlws.FILTER($L$9:L28,$L$9:L28&lt;&gt;"",""),
    _xlpm.avgJ,IF(COUNTA(_xlpm.vals)=0,0,AVERAGE(_xlfn.TAKE(_xlpm.vals,-MIN(7,ROWS(_xlpm.vals))))),
    _xlpm.addship,IF(R29="",0,R29),
    IF(
        AND(K28="",K29=""),
        S28-_xlpm.avgJ+_xlpm.addship,
        IF(
            K29="",
            K28-_xlpm.avgJ+_xlpm.addship,
            ""
        )
    )
),K29)</f>
        <v>313734</v>
      </c>
      <c r="T29" s="6" t="str">
        <f t="shared" si="3"/>
        <v/>
      </c>
      <c r="U29" s="6" cm="1">
        <f t="array" ref="U29">IF(M29="",_xlfn.LET(
    _xlpm.vals,_xlfn._xlws.FILTER($N$9:N28,$N$9:N28&lt;&gt;"",""),
    _xlpm.avgJ,IF(COUNTA(_xlpm.vals)=0,0,AVERAGE(_xlfn.TAKE(_xlpm.vals,-MIN(7,ROWS(_xlpm.vals))))),
    _xlpm.addship,IF(T29="",0,T29),
    IF(
        AND(M28="",M29=""),
        U28-_xlpm.avgJ+_xlpm.addship,
        IF(
            M29="",
            M28-_xlpm.avgJ+_xlpm.addship,
            ""
        )
    )
),M29)</f>
        <v>269126</v>
      </c>
      <c r="V29" s="7" t="str">
        <f t="shared" si="2"/>
        <v/>
      </c>
      <c r="AE29" s="8">
        <f t="shared" si="4"/>
        <v>47000</v>
      </c>
      <c r="AF29" s="8">
        <f t="shared" si="5"/>
        <v>1223106</v>
      </c>
      <c r="AG29" s="8">
        <f t="shared" si="6"/>
        <v>45000</v>
      </c>
      <c r="AH29" s="8">
        <f t="shared" si="7"/>
        <v>858361</v>
      </c>
      <c r="AI29" s="8">
        <f t="shared" si="8"/>
        <v>24500</v>
      </c>
      <c r="AJ29" s="8">
        <f t="shared" si="9"/>
        <v>589571</v>
      </c>
    </row>
    <row r="30" spans="1:36" s="5" customFormat="1" ht="18" customHeight="1" x14ac:dyDescent="0.25">
      <c r="G30" s="1"/>
      <c r="H30" s="3">
        <f t="shared" si="10"/>
        <v>46119</v>
      </c>
      <c r="I30" s="13"/>
      <c r="J30" s="13"/>
      <c r="K30" s="13"/>
      <c r="L30" s="13"/>
      <c r="M30" s="13"/>
      <c r="N30" s="13"/>
      <c r="P30" s="6" t="str">
        <f t="shared" si="0"/>
        <v/>
      </c>
      <c r="Q30" s="6" cm="1">
        <f t="array" ref="Q30">IF(I30="",_xlfn.LET(
    _xlpm.vals,_xlfn._xlws.FILTER($J$9:J29,$J$9:J29&lt;&gt;"",""),
    _xlpm.avgJ,IF(COUNTA(_xlpm.vals)=0,0,AVERAGE(_xlfn.TAKE(_xlpm.vals,-MIN(7,ROWS(_xlpm.vals))))),
    _xlpm.addship,IF(P30="",0,P30),
    IF(
        AND(I29="",I30=""),
        Q29-_xlpm.avgJ+_xlpm.addship,
        IF(
            I30="",
            I29-_xlpm.avgJ+_xlpm.addship,
            ""
        )
    )
),I30)</f>
        <v>458525</v>
      </c>
      <c r="R30" s="6" t="str">
        <f t="shared" si="1"/>
        <v/>
      </c>
      <c r="S30" s="6" cm="1">
        <f t="array" ref="S30">IF(K30="",_xlfn.LET(
    _xlpm.vals,_xlfn._xlws.FILTER($L$9:L29,$L$9:L29&lt;&gt;"",""),
    _xlpm.avgJ,IF(COUNTA(_xlpm.vals)=0,0,AVERAGE(_xlfn.TAKE(_xlpm.vals,-MIN(7,ROWS(_xlpm.vals))))),
    _xlpm.addship,IF(R30="",0,R30),
    IF(
        AND(K29="",K30=""),
        S29-_xlpm.avgJ+_xlpm.addship,
        IF(
            K30="",
            K29-_xlpm.avgJ+_xlpm.addship,
            ""
        )
    )
),K30)</f>
        <v>284919.71428571426</v>
      </c>
      <c r="T30" s="6" t="str">
        <f t="shared" si="3"/>
        <v/>
      </c>
      <c r="U30" s="6" cm="1">
        <f t="array" ref="U30">IF(M30="",_xlfn.LET(
    _xlpm.vals,_xlfn._xlws.FILTER($N$9:N29,$N$9:N29&lt;&gt;"",""),
    _xlpm.avgJ,IF(COUNTA(_xlpm.vals)=0,0,AVERAGE(_xlfn.TAKE(_xlpm.vals,-MIN(7,ROWS(_xlpm.vals))))),
    _xlpm.addship,IF(T30="",0,T30),
    IF(
        AND(M29="",M30=""),
        U29-_xlpm.avgJ+_xlpm.addship,
        IF(
            M30="",
            M29-_xlpm.avgJ+_xlpm.addship,
            ""
        )
    )
),M30)</f>
        <v>251126</v>
      </c>
      <c r="V30" s="7" t="str">
        <f t="shared" si="2"/>
        <v/>
      </c>
      <c r="AE30" s="8">
        <f t="shared" si="4"/>
        <v>47000</v>
      </c>
      <c r="AF30" s="8">
        <f t="shared" si="5"/>
        <v>1223106</v>
      </c>
      <c r="AG30" s="8">
        <f t="shared" si="6"/>
        <v>45000</v>
      </c>
      <c r="AH30" s="8">
        <f t="shared" si="7"/>
        <v>858361</v>
      </c>
      <c r="AI30" s="8">
        <f t="shared" si="8"/>
        <v>24500</v>
      </c>
      <c r="AJ30" s="8">
        <f t="shared" si="9"/>
        <v>589571</v>
      </c>
    </row>
    <row r="31" spans="1:36" s="5" customFormat="1" ht="18" customHeight="1" x14ac:dyDescent="0.25">
      <c r="G31" s="1"/>
      <c r="H31" s="3">
        <f t="shared" si="10"/>
        <v>46120</v>
      </c>
      <c r="I31" s="39"/>
      <c r="J31" s="39"/>
      <c r="K31" s="39"/>
      <c r="L31" s="39"/>
      <c r="M31" s="39"/>
      <c r="N31" s="39"/>
      <c r="O31" s="33"/>
      <c r="P31" s="6" t="str">
        <f t="shared" si="0"/>
        <v/>
      </c>
      <c r="Q31" s="6" cm="1">
        <f t="array" ref="Q31">IF(I31="",_xlfn.LET(
    _xlpm.vals,_xlfn._xlws.FILTER($J$9:J30,$J$9:J30&lt;&gt;"",""),
    _xlpm.avgJ,IF(COUNTA(_xlpm.vals)=0,0,AVERAGE(_xlfn.TAKE(_xlpm.vals,-MIN(7,ROWS(_xlpm.vals))))),
    _xlpm.addship,IF(P31="",0,P31),
    IF(
        AND(I30="",I31=""),
        Q30-_xlpm.avgJ+_xlpm.addship,
        IF(
            I31="",
            I30-_xlpm.avgJ+_xlpm.addship,
            ""
        )
    )
),I31)</f>
        <v>416925</v>
      </c>
      <c r="R31" s="6" t="str">
        <f t="shared" si="1"/>
        <v/>
      </c>
      <c r="S31" s="6" cm="1">
        <f t="array" ref="S31">IF(K31="",_xlfn.LET(
    _xlpm.vals,_xlfn._xlws.FILTER($L$9:L30,$L$9:L30&lt;&gt;"",""),
    _xlpm.avgJ,IF(COUNTA(_xlpm.vals)=0,0,AVERAGE(_xlfn.TAKE(_xlpm.vals,-MIN(7,ROWS(_xlpm.vals))))),
    _xlpm.addship,IF(R31="",0,R31),
    IF(
        AND(K30="",K31=""),
        S30-_xlpm.avgJ+_xlpm.addship,
        IF(
            K31="",
            K30-_xlpm.avgJ+_xlpm.addship,
            ""
        )
    )
),K31)</f>
        <v>256105.42857142855</v>
      </c>
      <c r="T31" s="6" t="str">
        <f t="shared" si="3"/>
        <v/>
      </c>
      <c r="U31" s="6" cm="1">
        <f t="array" ref="U31">IF(M31="",_xlfn.LET(
    _xlpm.vals,_xlfn._xlws.FILTER($N$9:N30,$N$9:N30&lt;&gt;"",""),
    _xlpm.avgJ,IF(COUNTA(_xlpm.vals)=0,0,AVERAGE(_xlfn.TAKE(_xlpm.vals,-MIN(7,ROWS(_xlpm.vals))))),
    _xlpm.addship,IF(T31="",0,T31),
    IF(
        AND(M30="",M31=""),
        U30-_xlpm.avgJ+_xlpm.addship,
        IF(
            M31="",
            M30-_xlpm.avgJ+_xlpm.addship,
            ""
        )
    )
),M31)</f>
        <v>233126</v>
      </c>
      <c r="V31" s="7" t="str">
        <f t="shared" si="2"/>
        <v/>
      </c>
      <c r="AE31" s="8">
        <f t="shared" si="4"/>
        <v>47000</v>
      </c>
      <c r="AF31" s="8">
        <f t="shared" si="5"/>
        <v>1223106</v>
      </c>
      <c r="AG31" s="8">
        <f t="shared" si="6"/>
        <v>45000</v>
      </c>
      <c r="AH31" s="8">
        <f t="shared" si="7"/>
        <v>858361</v>
      </c>
      <c r="AI31" s="8">
        <f t="shared" si="8"/>
        <v>24500</v>
      </c>
      <c r="AJ31" s="8">
        <f t="shared" si="9"/>
        <v>589571</v>
      </c>
    </row>
    <row r="32" spans="1:36" s="5" customFormat="1" ht="18" customHeight="1" x14ac:dyDescent="0.25">
      <c r="A32" s="7"/>
      <c r="F32" s="7"/>
      <c r="G32" s="1"/>
      <c r="H32" s="3">
        <f t="shared" si="10"/>
        <v>46121</v>
      </c>
      <c r="I32" s="13"/>
      <c r="J32" s="13"/>
      <c r="K32" s="13"/>
      <c r="L32" s="13"/>
      <c r="M32" s="13"/>
      <c r="N32" s="13"/>
      <c r="P32" s="6" t="str">
        <f t="shared" si="0"/>
        <v/>
      </c>
      <c r="Q32" s="6" cm="1">
        <f t="array" ref="Q32">IF(I32="",_xlfn.LET(
    _xlpm.vals,_xlfn._xlws.FILTER($J$9:J31,$J$9:J31&lt;&gt;"",""),
    _xlpm.avgJ,IF(COUNTA(_xlpm.vals)=0,0,AVERAGE(_xlfn.TAKE(_xlpm.vals,-MIN(7,ROWS(_xlpm.vals))))),
    _xlpm.addship,IF(P32="",0,P32),
    IF(
        AND(I31="",I32=""),
        Q31-_xlpm.avgJ+_xlpm.addship,
        IF(
            I32="",
            I31-_xlpm.avgJ+_xlpm.addship,
            ""
        )
    )
),I32)</f>
        <v>375325</v>
      </c>
      <c r="R32" s="6" t="str">
        <f t="shared" si="1"/>
        <v/>
      </c>
      <c r="S32" s="6" cm="1">
        <f t="array" ref="S32">IF(K32="",_xlfn.LET(
    _xlpm.vals,_xlfn._xlws.FILTER($L$9:L31,$L$9:L31&lt;&gt;"",""),
    _xlpm.avgJ,IF(COUNTA(_xlpm.vals)=0,0,AVERAGE(_xlfn.TAKE(_xlpm.vals,-MIN(7,ROWS(_xlpm.vals))))),
    _xlpm.addship,IF(R32="",0,R32),
    IF(
        AND(K31="",K32=""),
        S31-_xlpm.avgJ+_xlpm.addship,
        IF(
            K32="",
            K31-_xlpm.avgJ+_xlpm.addship,
            ""
        )
    )
),K32)</f>
        <v>227291.14285714284</v>
      </c>
      <c r="T32" s="6" t="str">
        <f t="shared" si="3"/>
        <v/>
      </c>
      <c r="U32" s="6" cm="1">
        <f t="array" ref="U32">IF(M32="",_xlfn.LET(
    _xlpm.vals,_xlfn._xlws.FILTER($N$9:N31,$N$9:N31&lt;&gt;"",""),
    _xlpm.avgJ,IF(COUNTA(_xlpm.vals)=0,0,AVERAGE(_xlfn.TAKE(_xlpm.vals,-MIN(7,ROWS(_xlpm.vals))))),
    _xlpm.addship,IF(T32="",0,T32),
    IF(
        AND(M31="",M32=""),
        U31-_xlpm.avgJ+_xlpm.addship,
        IF(
            M32="",
            M31-_xlpm.avgJ+_xlpm.addship,
            ""
        )
    )
),M32)</f>
        <v>215126</v>
      </c>
      <c r="V32" s="7" t="str">
        <f t="shared" si="2"/>
        <v/>
      </c>
      <c r="AE32" s="8">
        <f t="shared" si="4"/>
        <v>47000</v>
      </c>
      <c r="AF32" s="8">
        <f t="shared" si="5"/>
        <v>1223106</v>
      </c>
      <c r="AG32" s="8">
        <f t="shared" si="6"/>
        <v>45000</v>
      </c>
      <c r="AH32" s="8">
        <f t="shared" si="7"/>
        <v>858361</v>
      </c>
      <c r="AI32" s="8">
        <f t="shared" si="8"/>
        <v>24500</v>
      </c>
      <c r="AJ32" s="8">
        <f t="shared" si="9"/>
        <v>589571</v>
      </c>
    </row>
    <row r="33" spans="1:36" s="5" customFormat="1" ht="18" customHeight="1" x14ac:dyDescent="0.25">
      <c r="A33" s="7"/>
      <c r="F33" s="7"/>
      <c r="G33" s="1"/>
      <c r="H33" s="3">
        <f t="shared" si="10"/>
        <v>46122</v>
      </c>
      <c r="I33" s="13"/>
      <c r="J33" s="13"/>
      <c r="K33" s="13"/>
      <c r="L33" s="13"/>
      <c r="M33" s="13"/>
      <c r="N33" s="13"/>
      <c r="P33" s="6" t="str">
        <f t="shared" si="0"/>
        <v/>
      </c>
      <c r="Q33" s="6" cm="1">
        <f t="array" ref="Q33">IF(I33="",_xlfn.LET(
    _xlpm.vals,_xlfn._xlws.FILTER($J$9:J32,$J$9:J32&lt;&gt;"",""),
    _xlpm.avgJ,IF(COUNTA(_xlpm.vals)=0,0,AVERAGE(_xlfn.TAKE(_xlpm.vals,-MIN(7,ROWS(_xlpm.vals))))),
    _xlpm.addship,IF(P33="",0,P33),
    IF(
        AND(I32="",I33=""),
        Q32-_xlpm.avgJ+_xlpm.addship,
        IF(
            I33="",
            I32-_xlpm.avgJ+_xlpm.addship,
            ""
        )
    )
),I33)</f>
        <v>333725</v>
      </c>
      <c r="R33" s="6" t="str">
        <f t="shared" si="1"/>
        <v/>
      </c>
      <c r="S33" s="6" cm="1">
        <f t="array" ref="S33">IF(K33="",_xlfn.LET(
    _xlpm.vals,_xlfn._xlws.FILTER($L$9:L32,$L$9:L32&lt;&gt;"",""),
    _xlpm.avgJ,IF(COUNTA(_xlpm.vals)=0,0,AVERAGE(_xlfn.TAKE(_xlpm.vals,-MIN(7,ROWS(_xlpm.vals))))),
    _xlpm.addship,IF(R33="",0,R33),
    IF(
        AND(K32="",K33=""),
        S32-_xlpm.avgJ+_xlpm.addship,
        IF(
            K33="",
            K32-_xlpm.avgJ+_xlpm.addship,
            ""
        )
    )
),K33)</f>
        <v>198476.85714285713</v>
      </c>
      <c r="T33" s="6" t="str">
        <f t="shared" si="3"/>
        <v/>
      </c>
      <c r="U33" s="6" cm="1">
        <f t="array" ref="U33">IF(M33="",_xlfn.LET(
    _xlpm.vals,_xlfn._xlws.FILTER($N$9:N32,$N$9:N32&lt;&gt;"",""),
    _xlpm.avgJ,IF(COUNTA(_xlpm.vals)=0,0,AVERAGE(_xlfn.TAKE(_xlpm.vals,-MIN(7,ROWS(_xlpm.vals))))),
    _xlpm.addship,IF(T33="",0,T33),
    IF(
        AND(M32="",M33=""),
        U32-_xlpm.avgJ+_xlpm.addship,
        IF(
            M33="",
            M32-_xlpm.avgJ+_xlpm.addship,
            ""
        )
    )
),M33)</f>
        <v>197126</v>
      </c>
      <c r="V33" s="7" t="str">
        <f t="shared" si="2"/>
        <v/>
      </c>
      <c r="AE33" s="8">
        <f t="shared" si="4"/>
        <v>47000</v>
      </c>
      <c r="AF33" s="8">
        <f t="shared" si="5"/>
        <v>1223106</v>
      </c>
      <c r="AG33" s="8">
        <f t="shared" si="6"/>
        <v>45000</v>
      </c>
      <c r="AH33" s="8">
        <f t="shared" si="7"/>
        <v>858361</v>
      </c>
      <c r="AI33" s="8">
        <f t="shared" si="8"/>
        <v>24500</v>
      </c>
      <c r="AJ33" s="8">
        <f t="shared" si="9"/>
        <v>589571</v>
      </c>
    </row>
    <row r="34" spans="1:36" s="5" customFormat="1" ht="18" customHeight="1" x14ac:dyDescent="0.25">
      <c r="A34" s="7"/>
      <c r="F34" s="7"/>
      <c r="G34" s="7"/>
      <c r="H34" s="3">
        <f t="shared" si="10"/>
        <v>46123</v>
      </c>
      <c r="I34" s="13"/>
      <c r="J34" s="13"/>
      <c r="K34" s="13"/>
      <c r="L34" s="13"/>
      <c r="M34" s="13"/>
      <c r="N34" s="13"/>
      <c r="P34" s="6" t="str">
        <f t="shared" si="0"/>
        <v/>
      </c>
      <c r="Q34" s="6" cm="1">
        <f t="array" ref="Q34">IF(I34="",_xlfn.LET(
    _xlpm.vals,_xlfn._xlws.FILTER($J$9:J33,$J$9:J33&lt;&gt;"",""),
    _xlpm.avgJ,IF(COUNTA(_xlpm.vals)=0,0,AVERAGE(_xlfn.TAKE(_xlpm.vals,-MIN(7,ROWS(_xlpm.vals))))),
    _xlpm.addship,IF(P34="",0,P34),
    IF(
        AND(I33="",I34=""),
        Q33-_xlpm.avgJ+_xlpm.addship,
        IF(
            I34="",
            I33-_xlpm.avgJ+_xlpm.addship,
            ""
        )
    )
),I34)</f>
        <v>292125</v>
      </c>
      <c r="R34" s="6" t="str">
        <f t="shared" si="1"/>
        <v/>
      </c>
      <c r="S34" s="6" cm="1">
        <f t="array" ref="S34">IF(K34="",_xlfn.LET(
    _xlpm.vals,_xlfn._xlws.FILTER($L$9:L33,$L$9:L33&lt;&gt;"",""),
    _xlpm.avgJ,IF(COUNTA(_xlpm.vals)=0,0,AVERAGE(_xlfn.TAKE(_xlpm.vals,-MIN(7,ROWS(_xlpm.vals))))),
    _xlpm.addship,IF(R34="",0,R34),
    IF(
        AND(K33="",K34=""),
        S33-_xlpm.avgJ+_xlpm.addship,
        IF(
            K34="",
            K33-_xlpm.avgJ+_xlpm.addship,
            ""
        )
    )
),K34)</f>
        <v>169662.57142857142</v>
      </c>
      <c r="T34" s="6" t="str">
        <f t="shared" si="3"/>
        <v/>
      </c>
      <c r="U34" s="6" cm="1">
        <f t="array" ref="U34">IF(M34="",_xlfn.LET(
    _xlpm.vals,_xlfn._xlws.FILTER($N$9:N33,$N$9:N33&lt;&gt;"",""),
    _xlpm.avgJ,IF(COUNTA(_xlpm.vals)=0,0,AVERAGE(_xlfn.TAKE(_xlpm.vals,-MIN(7,ROWS(_xlpm.vals))))),
    _xlpm.addship,IF(T34="",0,T34),
    IF(
        AND(M33="",M34=""),
        U33-_xlpm.avgJ+_xlpm.addship,
        IF(
            M34="",
            M33-_xlpm.avgJ+_xlpm.addship,
            ""
        )
    )
),M34)</f>
        <v>179126</v>
      </c>
      <c r="V34" s="7" t="str">
        <f t="shared" si="2"/>
        <v/>
      </c>
      <c r="AE34" s="8">
        <f t="shared" si="4"/>
        <v>47000</v>
      </c>
      <c r="AF34" s="8">
        <f t="shared" si="5"/>
        <v>1223106</v>
      </c>
      <c r="AG34" s="8">
        <f t="shared" si="6"/>
        <v>45000</v>
      </c>
      <c r="AH34" s="8">
        <f t="shared" si="7"/>
        <v>858361</v>
      </c>
      <c r="AI34" s="8">
        <f t="shared" si="8"/>
        <v>24500</v>
      </c>
      <c r="AJ34" s="8">
        <f t="shared" si="9"/>
        <v>589571</v>
      </c>
    </row>
    <row r="35" spans="1:36" s="5" customFormat="1" ht="14.3" x14ac:dyDescent="0.25">
      <c r="A35" s="7"/>
      <c r="F35" s="7"/>
      <c r="H35" s="3">
        <f t="shared" si="10"/>
        <v>46124</v>
      </c>
      <c r="I35" s="13"/>
      <c r="J35" s="13"/>
      <c r="K35" s="13"/>
      <c r="L35" s="13"/>
      <c r="M35" s="13"/>
      <c r="N35" s="13"/>
      <c r="P35" s="6" t="str">
        <f t="shared" si="0"/>
        <v/>
      </c>
      <c r="Q35" s="6" cm="1">
        <f t="array" ref="Q35">IF(I35="",_xlfn.LET(
    _xlpm.vals,_xlfn._xlws.FILTER($J$9:J34,$J$9:J34&lt;&gt;"",""),
    _xlpm.avgJ,IF(COUNTA(_xlpm.vals)=0,0,AVERAGE(_xlfn.TAKE(_xlpm.vals,-MIN(7,ROWS(_xlpm.vals))))),
    _xlpm.addship,IF(P35="",0,P35),
    IF(
        AND(I34="",I35=""),
        Q34-_xlpm.avgJ+_xlpm.addship,
        IF(
            I35="",
            I34-_xlpm.avgJ+_xlpm.addship,
            ""
        )
    )
),I35)</f>
        <v>250525</v>
      </c>
      <c r="R35" s="6" t="str">
        <f t="shared" si="1"/>
        <v/>
      </c>
      <c r="S35" s="6" cm="1">
        <f t="array" ref="S35">IF(K35="",_xlfn.LET(
    _xlpm.vals,_xlfn._xlws.FILTER($L$9:L34,$L$9:L34&lt;&gt;"",""),
    _xlpm.avgJ,IF(COUNTA(_xlpm.vals)=0,0,AVERAGE(_xlfn.TAKE(_xlpm.vals,-MIN(7,ROWS(_xlpm.vals))))),
    _xlpm.addship,IF(R35="",0,R35),
    IF(
        AND(K34="",K35=""),
        S34-_xlpm.avgJ+_xlpm.addship,
        IF(
            K35="",
            K34-_xlpm.avgJ+_xlpm.addship,
            ""
        )
    )
),K35)</f>
        <v>140848.28571428571</v>
      </c>
      <c r="T35" s="6" t="str">
        <f t="shared" si="3"/>
        <v/>
      </c>
      <c r="U35" s="6" cm="1">
        <f t="array" ref="U35">IF(M35="",_xlfn.LET(
    _xlpm.vals,_xlfn._xlws.FILTER($N$9:N34,$N$9:N34&lt;&gt;"",""),
    _xlpm.avgJ,IF(COUNTA(_xlpm.vals)=0,0,AVERAGE(_xlfn.TAKE(_xlpm.vals,-MIN(7,ROWS(_xlpm.vals))))),
    _xlpm.addship,IF(T35="",0,T35),
    IF(
        AND(M34="",M35=""),
        U34-_xlpm.avgJ+_xlpm.addship,
        IF(
            M35="",
            M34-_xlpm.avgJ+_xlpm.addship,
            ""
        )
    )
),M35)</f>
        <v>161126</v>
      </c>
      <c r="V35" s="7" t="str">
        <f t="shared" si="2"/>
        <v/>
      </c>
      <c r="AE35" s="8">
        <f t="shared" si="4"/>
        <v>47000</v>
      </c>
      <c r="AF35" s="8">
        <f t="shared" si="5"/>
        <v>1223106</v>
      </c>
      <c r="AG35" s="8">
        <f t="shared" si="6"/>
        <v>45000</v>
      </c>
      <c r="AH35" s="8">
        <f t="shared" si="7"/>
        <v>858361</v>
      </c>
      <c r="AI35" s="8">
        <f t="shared" si="8"/>
        <v>24500</v>
      </c>
      <c r="AJ35" s="8">
        <f t="shared" si="9"/>
        <v>589571</v>
      </c>
    </row>
    <row r="36" spans="1:36" s="5" customFormat="1" ht="18" customHeight="1" x14ac:dyDescent="0.25">
      <c r="A36" s="7"/>
      <c r="F36" s="7"/>
      <c r="H36" s="3">
        <f t="shared" si="10"/>
        <v>46125</v>
      </c>
      <c r="I36" s="13"/>
      <c r="J36" s="13"/>
      <c r="K36" s="13"/>
      <c r="L36" s="13"/>
      <c r="M36" s="13"/>
      <c r="N36" s="13"/>
      <c r="P36" s="6" t="str">
        <f t="shared" si="0"/>
        <v/>
      </c>
      <c r="Q36" s="6" cm="1">
        <f t="array" ref="Q36">IF(I36="",_xlfn.LET(
    _xlpm.vals,_xlfn._xlws.FILTER($J$9:J35,$J$9:J35&lt;&gt;"",""),
    _xlpm.avgJ,IF(COUNTA(_xlpm.vals)=0,0,AVERAGE(_xlfn.TAKE(_xlpm.vals,-MIN(7,ROWS(_xlpm.vals))))),
    _xlpm.addship,IF(P36="",0,P36),
    IF(
        AND(I35="",I36=""),
        Q35-_xlpm.avgJ+_xlpm.addship,
        IF(
            I36="",
            I35-_xlpm.avgJ+_xlpm.addship,
            ""
        )
    )
),I36)</f>
        <v>208925</v>
      </c>
      <c r="R36" s="6" t="str">
        <f t="shared" si="1"/>
        <v/>
      </c>
      <c r="S36" s="6" cm="1">
        <f t="array" ref="S36">IF(K36="",_xlfn.LET(
    _xlpm.vals,_xlfn._xlws.FILTER($L$9:L35,$L$9:L35&lt;&gt;"",""),
    _xlpm.avgJ,IF(COUNTA(_xlpm.vals)=0,0,AVERAGE(_xlfn.TAKE(_xlpm.vals,-MIN(7,ROWS(_xlpm.vals))))),
    _xlpm.addship,IF(R36="",0,R36),
    IF(
        AND(K35="",K36=""),
        S35-_xlpm.avgJ+_xlpm.addship,
        IF(
            K36="",
            K35-_xlpm.avgJ+_xlpm.addship,
            ""
        )
    )
),K36)</f>
        <v>112034</v>
      </c>
      <c r="T36" s="6" t="str">
        <f t="shared" si="3"/>
        <v/>
      </c>
      <c r="U36" s="6" cm="1">
        <f t="array" ref="U36">IF(M36="",_xlfn.LET(
    _xlpm.vals,_xlfn._xlws.FILTER($N$9:N35,$N$9:N35&lt;&gt;"",""),
    _xlpm.avgJ,IF(COUNTA(_xlpm.vals)=0,0,AVERAGE(_xlfn.TAKE(_xlpm.vals,-MIN(7,ROWS(_xlpm.vals))))),
    _xlpm.addship,IF(T36="",0,T36),
    IF(
        AND(M35="",M36=""),
        U35-_xlpm.avgJ+_xlpm.addship,
        IF(
            M36="",
            M35-_xlpm.avgJ+_xlpm.addship,
            ""
        )
    )
),M36)</f>
        <v>143126</v>
      </c>
      <c r="V36" s="7" t="str">
        <f t="shared" si="2"/>
        <v/>
      </c>
      <c r="AE36" s="8">
        <f t="shared" si="4"/>
        <v>47000</v>
      </c>
      <c r="AF36" s="8">
        <f t="shared" si="5"/>
        <v>1223106</v>
      </c>
      <c r="AG36" s="8">
        <f t="shared" si="6"/>
        <v>45000</v>
      </c>
      <c r="AH36" s="8">
        <f t="shared" si="7"/>
        <v>858361</v>
      </c>
      <c r="AI36" s="8">
        <f t="shared" si="8"/>
        <v>24500</v>
      </c>
      <c r="AJ36" s="8">
        <f t="shared" si="9"/>
        <v>589571</v>
      </c>
    </row>
    <row r="37" spans="1:36" s="5" customFormat="1" ht="18" customHeight="1" x14ac:dyDescent="0.25">
      <c r="A37" s="7"/>
      <c r="F37" s="7"/>
      <c r="H37" s="3">
        <f t="shared" si="10"/>
        <v>46126</v>
      </c>
      <c r="I37" s="13"/>
      <c r="J37" s="13"/>
      <c r="K37" s="13"/>
      <c r="L37" s="13"/>
      <c r="M37" s="13"/>
      <c r="N37" s="13"/>
      <c r="P37" s="6" t="str">
        <f t="shared" si="0"/>
        <v/>
      </c>
      <c r="Q37" s="6" cm="1">
        <f t="array" ref="Q37">IF(I37="",_xlfn.LET(
    _xlpm.vals,_xlfn._xlws.FILTER($J$9:J36,$J$9:J36&lt;&gt;"",""),
    _xlpm.avgJ,IF(COUNTA(_xlpm.vals)=0,0,AVERAGE(_xlfn.TAKE(_xlpm.vals,-MIN(7,ROWS(_xlpm.vals))))),
    _xlpm.addship,IF(P37="",0,P37),
    IF(
        AND(I36="",I37=""),
        Q36-_xlpm.avgJ+_xlpm.addship,
        IF(
            I37="",
            I36-_xlpm.avgJ+_xlpm.addship,
            ""
        )
    )
),I37)</f>
        <v>167325</v>
      </c>
      <c r="R37" s="6" t="str">
        <f t="shared" si="1"/>
        <v/>
      </c>
      <c r="S37" s="6" cm="1">
        <f t="array" ref="S37">IF(K37="",_xlfn.LET(
    _xlpm.vals,_xlfn._xlws.FILTER($L$9:L36,$L$9:L36&lt;&gt;"",""),
    _xlpm.avgJ,IF(COUNTA(_xlpm.vals)=0,0,AVERAGE(_xlfn.TAKE(_xlpm.vals,-MIN(7,ROWS(_xlpm.vals))))),
    _xlpm.addship,IF(R37="",0,R37),
    IF(
        AND(K36="",K37=""),
        S36-_xlpm.avgJ+_xlpm.addship,
        IF(
            K37="",
            K36-_xlpm.avgJ+_xlpm.addship,
            ""
        )
    )
),K37)</f>
        <v>83219.71428571429</v>
      </c>
      <c r="T37" s="6" t="str">
        <f t="shared" si="3"/>
        <v/>
      </c>
      <c r="U37" s="6" cm="1">
        <f t="array" ref="U37">IF(M37="",_xlfn.LET(
    _xlpm.vals,_xlfn._xlws.FILTER($N$9:N36,$N$9:N36&lt;&gt;"",""),
    _xlpm.avgJ,IF(COUNTA(_xlpm.vals)=0,0,AVERAGE(_xlfn.TAKE(_xlpm.vals,-MIN(7,ROWS(_xlpm.vals))))),
    _xlpm.addship,IF(T37="",0,T37),
    IF(
        AND(M36="",M37=""),
        U36-_xlpm.avgJ+_xlpm.addship,
        IF(
            M37="",
            M36-_xlpm.avgJ+_xlpm.addship,
            ""
        )
    )
),M37)</f>
        <v>125126</v>
      </c>
      <c r="V37" s="7" t="str">
        <f t="shared" si="2"/>
        <v/>
      </c>
      <c r="AE37" s="8">
        <f t="shared" si="4"/>
        <v>47000</v>
      </c>
      <c r="AF37" s="8">
        <f t="shared" si="5"/>
        <v>1223106</v>
      </c>
      <c r="AG37" s="8">
        <f t="shared" si="6"/>
        <v>45000</v>
      </c>
      <c r="AH37" s="8">
        <f t="shared" si="7"/>
        <v>858361</v>
      </c>
      <c r="AI37" s="8">
        <f t="shared" si="8"/>
        <v>24500</v>
      </c>
      <c r="AJ37" s="8">
        <f t="shared" si="9"/>
        <v>589571</v>
      </c>
    </row>
    <row r="38" spans="1:36" s="5" customFormat="1" ht="18" customHeight="1" x14ac:dyDescent="0.25">
      <c r="A38" s="7"/>
      <c r="F38" s="42"/>
      <c r="H38" s="3">
        <f t="shared" si="10"/>
        <v>46127</v>
      </c>
      <c r="I38" s="13"/>
      <c r="J38" s="13"/>
      <c r="K38" s="13"/>
      <c r="L38" s="13"/>
      <c r="M38" s="13"/>
      <c r="N38" s="13"/>
      <c r="P38" s="6" t="str">
        <f t="shared" si="0"/>
        <v/>
      </c>
      <c r="Q38" s="6" cm="1">
        <f t="array" ref="Q38">IF(I38="",_xlfn.LET(
    _xlpm.vals,_xlfn._xlws.FILTER($J$9:J37,$J$9:J37&lt;&gt;"",""),
    _xlpm.avgJ,IF(COUNTA(_xlpm.vals)=0,0,AVERAGE(_xlfn.TAKE(_xlpm.vals,-MIN(7,ROWS(_xlpm.vals))))),
    _xlpm.addship,IF(P38="",0,P38),
    IF(
        AND(I37="",I38=""),
        Q37-_xlpm.avgJ+_xlpm.addship,
        IF(
            I38="",
            I37-_xlpm.avgJ+_xlpm.addship,
            ""
        )
    )
),I38)</f>
        <v>125725</v>
      </c>
      <c r="R38" s="6" t="str">
        <f t="shared" si="1"/>
        <v/>
      </c>
      <c r="S38" s="6" cm="1">
        <f t="array" ref="S38">IF(K38="",_xlfn.LET(
    _xlpm.vals,_xlfn._xlws.FILTER($L$9:L37,$L$9:L37&lt;&gt;"",""),
    _xlpm.avgJ,IF(COUNTA(_xlpm.vals)=0,0,AVERAGE(_xlfn.TAKE(_xlpm.vals,-MIN(7,ROWS(_xlpm.vals))))),
    _xlpm.addship,IF(R38="",0,R38),
    IF(
        AND(K37="",K38=""),
        S37-_xlpm.avgJ+_xlpm.addship,
        IF(
            K38="",
            K37-_xlpm.avgJ+_xlpm.addship,
            ""
        )
    )
),K38)</f>
        <v>54405.42857142858</v>
      </c>
      <c r="T38" s="6" t="str">
        <f t="shared" si="3"/>
        <v/>
      </c>
      <c r="U38" s="6" cm="1">
        <f t="array" ref="U38">IF(M38="",_xlfn.LET(
    _xlpm.vals,_xlfn._xlws.FILTER($N$9:N37,$N$9:N37&lt;&gt;"",""),
    _xlpm.avgJ,IF(COUNTA(_xlpm.vals)=0,0,AVERAGE(_xlfn.TAKE(_xlpm.vals,-MIN(7,ROWS(_xlpm.vals))))),
    _xlpm.addship,IF(T38="",0,T38),
    IF(
        AND(M37="",M38=""),
        U37-_xlpm.avgJ+_xlpm.addship,
        IF(
            M38="",
            M37-_xlpm.avgJ+_xlpm.addship,
            ""
        )
    )
),M38)</f>
        <v>107126</v>
      </c>
      <c r="V38" s="7" t="str">
        <f t="shared" si="2"/>
        <v/>
      </c>
      <c r="AE38" s="8">
        <f t="shared" si="4"/>
        <v>47000</v>
      </c>
      <c r="AF38" s="8">
        <f t="shared" si="5"/>
        <v>1223106</v>
      </c>
      <c r="AG38" s="8">
        <f t="shared" si="6"/>
        <v>45000</v>
      </c>
      <c r="AH38" s="8">
        <f t="shared" si="7"/>
        <v>858361</v>
      </c>
      <c r="AI38" s="8">
        <f t="shared" si="8"/>
        <v>24500</v>
      </c>
      <c r="AJ38" s="8">
        <f t="shared" si="9"/>
        <v>589571</v>
      </c>
    </row>
    <row r="39" spans="1:36" s="5" customFormat="1" ht="18" customHeight="1" x14ac:dyDescent="0.25">
      <c r="A39" s="7"/>
      <c r="F39" s="7"/>
      <c r="H39" s="3">
        <f t="shared" si="10"/>
        <v>46128</v>
      </c>
      <c r="I39" s="13"/>
      <c r="J39" s="13"/>
      <c r="K39" s="13"/>
      <c r="L39" s="13"/>
      <c r="M39" s="13"/>
      <c r="N39" s="13"/>
      <c r="P39" s="6" t="str">
        <f t="shared" si="0"/>
        <v/>
      </c>
      <c r="Q39" s="6" cm="1">
        <f t="array" ref="Q39">IF(I39="",_xlfn.LET(
    _xlpm.vals,_xlfn._xlws.FILTER($J$9:J38,$J$9:J38&lt;&gt;"",""),
    _xlpm.avgJ,IF(COUNTA(_xlpm.vals)=0,0,AVERAGE(_xlfn.TAKE(_xlpm.vals,-MIN(7,ROWS(_xlpm.vals))))),
    _xlpm.addship,IF(P39="",0,P39),
    IF(
        AND(I38="",I39=""),
        Q38-_xlpm.avgJ+_xlpm.addship,
        IF(
            I39="",
            I38-_xlpm.avgJ+_xlpm.addship,
            ""
        )
    )
),I39)</f>
        <v>84125</v>
      </c>
      <c r="R39" s="6" t="str">
        <f t="shared" si="1"/>
        <v/>
      </c>
      <c r="S39" s="6" cm="1">
        <f t="array" ref="S39">IF(K39="",_xlfn.LET(
    _xlpm.vals,_xlfn._xlws.FILTER($L$9:L38,$L$9:L38&lt;&gt;"",""),
    _xlpm.avgJ,IF(COUNTA(_xlpm.vals)=0,0,AVERAGE(_xlfn.TAKE(_xlpm.vals,-MIN(7,ROWS(_xlpm.vals))))),
    _xlpm.addship,IF(R39="",0,R39),
    IF(
        AND(K38="",K39=""),
        S38-_xlpm.avgJ+_xlpm.addship,
        IF(
            K39="",
            K38-_xlpm.avgJ+_xlpm.addship,
            ""
        )
    )
),K39)</f>
        <v>25591.142857142866</v>
      </c>
      <c r="T39" s="6" t="str">
        <f t="shared" si="3"/>
        <v/>
      </c>
      <c r="U39" s="6" cm="1">
        <f t="array" ref="U39">IF(M39="",_xlfn.LET(
    _xlpm.vals,_xlfn._xlws.FILTER($N$9:N38,$N$9:N38&lt;&gt;"",""),
    _xlpm.avgJ,IF(COUNTA(_xlpm.vals)=0,0,AVERAGE(_xlfn.TAKE(_xlpm.vals,-MIN(7,ROWS(_xlpm.vals))))),
    _xlpm.addship,IF(T39="",0,T39),
    IF(
        AND(M38="",M39=""),
        U38-_xlpm.avgJ+_xlpm.addship,
        IF(
            M39="",
            M38-_xlpm.avgJ+_xlpm.addship,
            ""
        )
    )
),M39)</f>
        <v>89126</v>
      </c>
      <c r="V39" s="7" t="str">
        <f t="shared" si="2"/>
        <v>Diesel stock out</v>
      </c>
      <c r="AE39" s="8">
        <f t="shared" si="4"/>
        <v>47000</v>
      </c>
      <c r="AF39" s="8">
        <f t="shared" si="5"/>
        <v>1223106</v>
      </c>
      <c r="AG39" s="8">
        <f t="shared" si="6"/>
        <v>45000</v>
      </c>
      <c r="AH39" s="8">
        <f t="shared" si="7"/>
        <v>858361</v>
      </c>
      <c r="AI39" s="8">
        <f t="shared" si="8"/>
        <v>24500</v>
      </c>
      <c r="AJ39" s="8">
        <f t="shared" si="9"/>
        <v>589571</v>
      </c>
    </row>
    <row r="40" spans="1:36" s="5" customFormat="1" ht="18" customHeight="1" x14ac:dyDescent="0.25">
      <c r="A40" s="7"/>
      <c r="F40" s="7"/>
      <c r="H40" s="3">
        <f t="shared" si="10"/>
        <v>46129</v>
      </c>
      <c r="I40" s="13"/>
      <c r="J40" s="13"/>
      <c r="K40" s="13"/>
      <c r="L40" s="13"/>
      <c r="M40" s="13"/>
      <c r="N40" s="13"/>
      <c r="P40" s="6" t="str">
        <f t="shared" si="0"/>
        <v/>
      </c>
      <c r="Q40" s="6" cm="1">
        <f t="array" ref="Q40">IF(I40="",_xlfn.LET(
    _xlpm.vals,_xlfn._xlws.FILTER($J$9:J39,$J$9:J39&lt;&gt;"",""),
    _xlpm.avgJ,IF(COUNTA(_xlpm.vals)=0,0,AVERAGE(_xlfn.TAKE(_xlpm.vals,-MIN(7,ROWS(_xlpm.vals))))),
    _xlpm.addship,IF(P40="",0,P40),
    IF(
        AND(I39="",I40=""),
        Q39-_xlpm.avgJ+_xlpm.addship,
        IF(
            I40="",
            I39-_xlpm.avgJ+_xlpm.addship,
            ""
        )
    )
),I40)</f>
        <v>42525</v>
      </c>
      <c r="R40" s="6" t="str">
        <f t="shared" si="1"/>
        <v/>
      </c>
      <c r="S40" s="6" cm="1">
        <f t="array" ref="S40">IF(K40="",_xlfn.LET(
    _xlpm.vals,_xlfn._xlws.FILTER($L$9:L39,$L$9:L39&lt;&gt;"",""),
    _xlpm.avgJ,IF(COUNTA(_xlpm.vals)=0,0,AVERAGE(_xlfn.TAKE(_xlpm.vals,-MIN(7,ROWS(_xlpm.vals))))),
    _xlpm.addship,IF(R40="",0,R40),
    IF(
        AND(K39="",K40=""),
        S39-_xlpm.avgJ+_xlpm.addship,
        IF(
            K40="",
            K39-_xlpm.avgJ+_xlpm.addship,
            ""
        )
    )
),K40)</f>
        <v>-3223.1428571428478</v>
      </c>
      <c r="T40" s="6" t="str">
        <f t="shared" si="3"/>
        <v/>
      </c>
      <c r="U40" s="6" cm="1">
        <f t="array" ref="U40">IF(M40="",_xlfn.LET(
    _xlpm.vals,_xlfn._xlws.FILTER($N$9:N39,$N$9:N39&lt;&gt;"",""),
    _xlpm.avgJ,IF(COUNTA(_xlpm.vals)=0,0,AVERAGE(_xlfn.TAKE(_xlpm.vals,-MIN(7,ROWS(_xlpm.vals))))),
    _xlpm.addship,IF(T40="",0,T40),
    IF(
        AND(M39="",M40=""),
        U39-_xlpm.avgJ+_xlpm.addship,
        IF(
            M40="",
            M39-_xlpm.avgJ+_xlpm.addship,
            ""
        )
    )
),M40)</f>
        <v>71126</v>
      </c>
      <c r="V40" s="7" t="str">
        <f t="shared" si="2"/>
        <v>Petrol stock out | Diesel stock out</v>
      </c>
      <c r="AE40" s="8">
        <f t="shared" si="4"/>
        <v>47000</v>
      </c>
      <c r="AF40" s="8">
        <f t="shared" si="5"/>
        <v>1223106</v>
      </c>
      <c r="AG40" s="8">
        <f t="shared" si="6"/>
        <v>45000</v>
      </c>
      <c r="AH40" s="8">
        <f t="shared" si="7"/>
        <v>858361</v>
      </c>
      <c r="AI40" s="8">
        <f t="shared" si="8"/>
        <v>24500</v>
      </c>
      <c r="AJ40" s="8">
        <f t="shared" si="9"/>
        <v>589571</v>
      </c>
    </row>
  </sheetData>
  <mergeCells count="11">
    <mergeCell ref="C23:E23"/>
    <mergeCell ref="C3:D3"/>
    <mergeCell ref="I6:N6"/>
    <mergeCell ref="P6:U6"/>
    <mergeCell ref="A2:AC2"/>
    <mergeCell ref="I7:J7"/>
    <mergeCell ref="K7:L7"/>
    <mergeCell ref="M7:N7"/>
    <mergeCell ref="P7:Q7"/>
    <mergeCell ref="R7:S7"/>
    <mergeCell ref="T7:U7"/>
  </mergeCells>
  <conditionalFormatting sqref="Q9:Q40">
    <cfRule type="expression" dxfId="7" priority="1">
      <formula>AND(Q9&gt;$C$25,Q9&lt;&gt;"")</formula>
    </cfRule>
    <cfRule type="expression" dxfId="6" priority="2">
      <formula>AND(Q9&lt;$C$26,Q9&lt;&gt;"")</formula>
    </cfRule>
  </conditionalFormatting>
  <conditionalFormatting sqref="S9:S40 U9:U40">
    <cfRule type="expression" dxfId="5" priority="3">
      <formula>AND(S9&gt;$D$25,S9&lt;&gt;"")</formula>
    </cfRule>
    <cfRule type="expression" dxfId="4" priority="4">
      <formula>AND(S9&lt;$D$26,S9&lt;&gt;"")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922FC-26D4-4BD0-8499-91CDB9297806}">
  <dimension ref="A1:AC110"/>
  <sheetViews>
    <sheetView workbookViewId="0">
      <selection activeCell="F20" sqref="F20"/>
    </sheetView>
  </sheetViews>
  <sheetFormatPr defaultRowHeight="13.6" x14ac:dyDescent="0.25"/>
  <cols>
    <col min="2" max="2" width="12.140625" bestFit="1" customWidth="1"/>
    <col min="3" max="4" width="11" customWidth="1"/>
    <col min="7" max="7" width="13.28515625" customWidth="1"/>
    <col min="8" max="16" width="12.28515625" customWidth="1"/>
  </cols>
  <sheetData>
    <row r="1" spans="1:29" s="1" customFormat="1" ht="23.95" customHeight="1" x14ac:dyDescent="0.4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</row>
    <row r="2" spans="1:29" s="1" customFormat="1" ht="21.75" x14ac:dyDescent="0.25">
      <c r="A2" s="51" t="s">
        <v>31</v>
      </c>
      <c r="D2" s="52" t="s">
        <v>27</v>
      </c>
      <c r="E2" s="53"/>
      <c r="H2" s="46" t="s">
        <v>18</v>
      </c>
      <c r="I2" s="46"/>
      <c r="J2" s="46"/>
      <c r="K2" s="46"/>
      <c r="M2" s="46" t="s">
        <v>19</v>
      </c>
      <c r="N2" s="46"/>
      <c r="O2" s="46"/>
      <c r="P2" s="46"/>
      <c r="Z2" s="8"/>
      <c r="AA2" s="8"/>
      <c r="AB2" s="8"/>
      <c r="AC2" s="8"/>
    </row>
    <row r="3" spans="1:29" s="1" customFormat="1" ht="21.75" x14ac:dyDescent="0.25">
      <c r="A3" s="51"/>
      <c r="E3" s="2"/>
      <c r="H3" s="54" t="s">
        <v>2</v>
      </c>
      <c r="I3" s="55"/>
      <c r="J3" s="56" t="s">
        <v>3</v>
      </c>
      <c r="K3" s="57"/>
      <c r="L3" s="5"/>
      <c r="M3" s="48" t="s">
        <v>2</v>
      </c>
      <c r="N3" s="49"/>
      <c r="O3" s="49" t="s">
        <v>3</v>
      </c>
      <c r="P3" s="50"/>
      <c r="Q3" s="5"/>
      <c r="R3" s="5"/>
      <c r="S3" s="5"/>
      <c r="Z3" s="8" t="s">
        <v>12</v>
      </c>
      <c r="AA3" s="8"/>
      <c r="AB3" s="8" t="s">
        <v>13</v>
      </c>
      <c r="AC3" s="8"/>
    </row>
    <row r="4" spans="1:29" s="1" customFormat="1" ht="28.55" x14ac:dyDescent="0.25">
      <c r="B4" s="2"/>
      <c r="C4" s="2"/>
      <c r="D4" s="2"/>
      <c r="E4" s="2"/>
      <c r="H4" s="58" t="s">
        <v>20</v>
      </c>
      <c r="I4" s="59" t="s">
        <v>21</v>
      </c>
      <c r="J4" s="60" t="s">
        <v>20</v>
      </c>
      <c r="K4" s="61" t="s">
        <v>21</v>
      </c>
      <c r="L4" s="5"/>
      <c r="M4" s="43" t="s">
        <v>22</v>
      </c>
      <c r="N4" s="44" t="s">
        <v>20</v>
      </c>
      <c r="O4" s="44" t="s">
        <v>22</v>
      </c>
      <c r="P4" s="45" t="s">
        <v>20</v>
      </c>
      <c r="Q4" s="5"/>
      <c r="R4" s="5"/>
      <c r="S4" s="5"/>
      <c r="Z4" s="8" t="s">
        <v>28</v>
      </c>
      <c r="AA4" s="8" t="s">
        <v>29</v>
      </c>
      <c r="AB4" s="8" t="s">
        <v>28</v>
      </c>
      <c r="AC4" s="8" t="s">
        <v>29</v>
      </c>
    </row>
    <row r="5" spans="1:29" s="5" customFormat="1" ht="18" customHeight="1" x14ac:dyDescent="0.25">
      <c r="A5" s="1"/>
      <c r="B5" s="1"/>
      <c r="C5" s="1"/>
      <c r="D5" s="1"/>
      <c r="E5" s="2"/>
      <c r="F5" s="1"/>
      <c r="G5" s="3">
        <v>46098</v>
      </c>
      <c r="H5" s="13">
        <v>185205</v>
      </c>
      <c r="I5" s="13">
        <v>18500</v>
      </c>
      <c r="J5" s="13">
        <v>213744</v>
      </c>
      <c r="K5" s="13">
        <v>7000</v>
      </c>
      <c r="M5" s="6" t="str">
        <f t="shared" ref="M5:M68" si="0">IF(H5="",IFERROR(_xlfn.XLOOKUP(G5,$B$7:$B$11,$C$7:$C$11,""),""),"")</f>
        <v/>
      </c>
      <c r="N5" s="6" cm="1">
        <f t="array" ref="N5">IF(H5="",_xlfn.LET(
    _xlpm.vals,_xlfn._xlws.FILTER($I4:I$5,$I4:I$5&lt;&gt;"",""),
    _xlpm.avgJ,IF(COUNTA(_xlpm.vals)=0,0,AVERAGE(_xlfn.TAKE(_xlpm.vals,-MIN(7,ROWS(_xlpm.vals))))),
    _xlpm.addship,IF(M5="",0,M5),
    IF(
        AND(H4="",H5=""),
        N4-_xlpm.avgJ+_xlpm.addship,
        IF(
            H5="",
            H4-_xlpm.avgJ+_xlpm.addship,
            ""
        )
    )
),H5)</f>
        <v>185205</v>
      </c>
      <c r="O5" s="6" t="str">
        <f t="shared" ref="O5:O68" si="1">IF(J5="",IFERROR(_xlfn.XLOOKUP(G5,$B$7:$B$11,$D$7:$D$11,""),""),"")</f>
        <v/>
      </c>
      <c r="P5" s="6" cm="1">
        <f t="array" ref="P5">IF(J5="",_xlfn.LET(
    _xlpm.vals,_xlfn._xlws.FILTER($K4:K$5,$K4:K$5&lt;&gt;"",""),
    _xlpm.avgJ,IF(COUNTA(_xlpm.vals)=0,0,AVERAGE(_xlfn.TAKE(_xlpm.vals,-MIN(7,ROWS(_xlpm.vals))))),
    _xlpm.addship,IF(O5="",0,O5),
    IF(
        AND(J4="",J5=""),
        P4-_xlpm.avgJ+_xlpm.addship,
        IF(
            J5="",
            J4-_xlpm.avgJ+_xlpm.addship,
            ""
        )
    )
),J5)</f>
        <v>213744</v>
      </c>
      <c r="Q5" s="7" t="str">
        <f t="shared" ref="Q5:Q68" si="2">IF(AND(N5="",P5=""),"",
_xlfn.LET(
_xlpm.msgs,
_xlfn.TEXTJOIN(" | ",TRUE,
IF(N5&gt;$C$20,"Petrol over capacity",""),
IF(N5&lt;$C$21,"Petrol stock out",""),
IF(P5&gt;$D$20,"Diesel over capacity",""),
IF(P5&lt;$D$21,"Diesel stock out","")
),
IF(_xlpm.msgs="","",_xlpm.msgs)
))</f>
        <v/>
      </c>
      <c r="T5" s="1"/>
      <c r="U5" s="1"/>
      <c r="V5" s="1"/>
      <c r="W5" s="1"/>
      <c r="X5" s="1"/>
      <c r="Y5" s="1"/>
      <c r="Z5" s="8">
        <f>$C$21</f>
        <v>26800</v>
      </c>
      <c r="AA5" s="8">
        <f>$C$20</f>
        <v>357582</v>
      </c>
      <c r="AB5" s="8">
        <f>$D$21</f>
        <v>16165</v>
      </c>
      <c r="AC5" s="8">
        <f>$D$20</f>
        <v>289500</v>
      </c>
    </row>
    <row r="6" spans="1:29" s="5" customFormat="1" ht="18" customHeight="1" x14ac:dyDescent="0.25">
      <c r="A6" s="9" t="s">
        <v>0</v>
      </c>
      <c r="B6" s="10" t="s">
        <v>1</v>
      </c>
      <c r="C6" s="11" t="s">
        <v>2</v>
      </c>
      <c r="D6" s="12" t="s">
        <v>3</v>
      </c>
      <c r="E6" s="7"/>
      <c r="F6" s="1"/>
      <c r="G6" s="3">
        <f>G5+1</f>
        <v>46099</v>
      </c>
      <c r="H6" s="13">
        <v>179281</v>
      </c>
      <c r="I6" s="13">
        <v>6000</v>
      </c>
      <c r="J6" s="13">
        <v>208512</v>
      </c>
      <c r="K6" s="13">
        <v>5200</v>
      </c>
      <c r="M6" s="6" t="str">
        <f t="shared" si="0"/>
        <v/>
      </c>
      <c r="N6" s="6" cm="1">
        <f t="array" ref="N6">IF(H6="",_xlfn.LET(
    _xlpm.vals,_xlfn._xlws.FILTER($I5:I$5,$I5:I$5&lt;&gt;"",""),
    _xlpm.avgJ,IF(COUNTA(_xlpm.vals)=0,0,AVERAGE(_xlfn.TAKE(_xlpm.vals,-MIN(7,ROWS(_xlpm.vals))))),
    _xlpm.addship,IF(M6="",0,M6),
    IF(
        AND(H5="",H6=""),
        N5-_xlpm.avgJ+_xlpm.addship,
        IF(
            H6="",
            H5-_xlpm.avgJ+_xlpm.addship,
            ""
        )
    )
),H6)</f>
        <v>179281</v>
      </c>
      <c r="O6" s="6" t="str">
        <f t="shared" si="1"/>
        <v/>
      </c>
      <c r="P6" s="6" cm="1">
        <f t="array" ref="P6">IF(J6="",_xlfn.LET(
    _xlpm.vals,_xlfn._xlws.FILTER($K5:K$5,$K5:K$5&lt;&gt;"",""),
    _xlpm.avgJ,IF(COUNTA(_xlpm.vals)=0,0,AVERAGE(_xlfn.TAKE(_xlpm.vals,-MIN(7,ROWS(_xlpm.vals))))),
    _xlpm.addship,IF(O6="",0,O6),
    IF(
        AND(J5="",J6=""),
        P5-_xlpm.avgJ+_xlpm.addship,
        IF(
            J6="",
            J5-_xlpm.avgJ+_xlpm.addship,
            ""
        )
    )
),J6)</f>
        <v>208512</v>
      </c>
      <c r="Q6" s="7" t="str">
        <f t="shared" si="2"/>
        <v/>
      </c>
      <c r="Z6" s="8">
        <f t="shared" ref="Z6:Z69" si="3">$C$21</f>
        <v>26800</v>
      </c>
      <c r="AA6" s="8">
        <f t="shared" ref="AA6:AA69" si="4">$C$20</f>
        <v>357582</v>
      </c>
      <c r="AB6" s="8">
        <f t="shared" ref="AB6:AB69" si="5">$D$21</f>
        <v>16165</v>
      </c>
      <c r="AC6" s="8">
        <f t="shared" ref="AC6:AC69" si="6">$D$20</f>
        <v>289500</v>
      </c>
    </row>
    <row r="7" spans="1:29" s="5" customFormat="1" ht="18" customHeight="1" x14ac:dyDescent="0.25">
      <c r="A7" s="5" t="s">
        <v>5</v>
      </c>
      <c r="B7" s="14">
        <v>46115</v>
      </c>
      <c r="C7" s="15">
        <v>303600</v>
      </c>
      <c r="D7" s="15">
        <v>132000</v>
      </c>
      <c r="E7" s="7"/>
      <c r="F7" s="1"/>
      <c r="G7" s="3">
        <f t="shared" ref="G7:G70" si="7">G6+1</f>
        <v>46100</v>
      </c>
      <c r="H7" s="13">
        <v>163265</v>
      </c>
      <c r="I7" s="13">
        <v>16000</v>
      </c>
      <c r="J7" s="13">
        <v>198105</v>
      </c>
      <c r="K7" s="13">
        <v>10250</v>
      </c>
      <c r="M7" s="6" t="str">
        <f t="shared" si="0"/>
        <v/>
      </c>
      <c r="N7" s="6" cm="1">
        <f t="array" ref="N7">IF(H7="",_xlfn.LET(
    _xlpm.vals,_xlfn._xlws.FILTER($I$5:I6,$I$5:I6&lt;&gt;"",""),
    _xlpm.avgJ,IF(COUNTA(_xlpm.vals)=0,0,AVERAGE(_xlfn.TAKE(_xlpm.vals,-MIN(7,ROWS(_xlpm.vals))))),
    _xlpm.addship,IF(M7="",0,M7),
    IF(
        AND(H6="",H7=""),
        N6-_xlpm.avgJ+_xlpm.addship,
        IF(
            H7="",
            H6-_xlpm.avgJ+_xlpm.addship,
            ""
        )
    )
),H7)</f>
        <v>163265</v>
      </c>
      <c r="O7" s="6" t="str">
        <f t="shared" si="1"/>
        <v/>
      </c>
      <c r="P7" s="6" cm="1">
        <f t="array" ref="P7">IF(J7="",_xlfn.LET(
    _xlpm.vals,_xlfn._xlws.FILTER($K$5:K6,$K$5:K6&lt;&gt;"",""),
    _xlpm.avgJ,IF(COUNTA(_xlpm.vals)=0,0,AVERAGE(_xlfn.TAKE(_xlpm.vals,-MIN(7,ROWS(_xlpm.vals))))),
    _xlpm.addship,IF(O7="",0,O7),
    IF(
        AND(J6="",J7=""),
        P6-_xlpm.avgJ+_xlpm.addship,
        IF(
            J7="",
            J6-_xlpm.avgJ+_xlpm.addship,
            ""
        )
    )
),J7)</f>
        <v>198105</v>
      </c>
      <c r="Q7" s="7" t="str">
        <f t="shared" si="2"/>
        <v/>
      </c>
      <c r="Z7" s="8">
        <f t="shared" si="3"/>
        <v>26800</v>
      </c>
      <c r="AA7" s="8">
        <f t="shared" si="4"/>
        <v>357582</v>
      </c>
      <c r="AB7" s="8">
        <f t="shared" si="5"/>
        <v>16165</v>
      </c>
      <c r="AC7" s="8">
        <f t="shared" si="6"/>
        <v>289500</v>
      </c>
    </row>
    <row r="8" spans="1:29" s="5" customFormat="1" ht="18" customHeight="1" x14ac:dyDescent="0.25">
      <c r="A8" s="5" t="s">
        <v>6</v>
      </c>
      <c r="B8" s="17"/>
      <c r="C8" s="15"/>
      <c r="D8" s="15"/>
      <c r="E8" s="7"/>
      <c r="F8" s="1"/>
      <c r="G8" s="3">
        <f t="shared" si="7"/>
        <v>46101</v>
      </c>
      <c r="H8" s="13">
        <v>159199</v>
      </c>
      <c r="I8" s="13">
        <v>4000</v>
      </c>
      <c r="J8" s="13">
        <v>194409</v>
      </c>
      <c r="K8" s="13">
        <v>4000</v>
      </c>
      <c r="M8" s="6" t="str">
        <f t="shared" si="0"/>
        <v/>
      </c>
      <c r="N8" s="6" cm="1">
        <f t="array" ref="N8">IF(H8="",_xlfn.LET(
    _xlpm.vals,_xlfn._xlws.FILTER($I$5:I7,$I$5:I7&lt;&gt;"",""),
    _xlpm.avgJ,IF(COUNTA(_xlpm.vals)=0,0,AVERAGE(_xlfn.TAKE(_xlpm.vals,-MIN(7,ROWS(_xlpm.vals))))),
    _xlpm.addship,IF(M8="",0,M8),
    IF(
        AND(H7="",H8=""),
        N7-_xlpm.avgJ+_xlpm.addship,
        IF(
            H8="",
            H7-_xlpm.avgJ+_xlpm.addship,
            ""
        )
    )
),H8)</f>
        <v>159199</v>
      </c>
      <c r="O8" s="6" t="str">
        <f t="shared" si="1"/>
        <v/>
      </c>
      <c r="P8" s="6" cm="1">
        <f t="array" ref="P8">IF(J8="",_xlfn.LET(
    _xlpm.vals,_xlfn._xlws.FILTER($K$5:K7,$K$5:K7&lt;&gt;"",""),
    _xlpm.avgJ,IF(COUNTA(_xlpm.vals)=0,0,AVERAGE(_xlfn.TAKE(_xlpm.vals,-MIN(7,ROWS(_xlpm.vals))))),
    _xlpm.addship,IF(O8="",0,O8),
    IF(
        AND(J7="",J8=""),
        P7-_xlpm.avgJ+_xlpm.addship,
        IF(
            J8="",
            J7-_xlpm.avgJ+_xlpm.addship,
            ""
        )
    )
),J8)</f>
        <v>194409</v>
      </c>
      <c r="Q8" s="7" t="str">
        <f t="shared" si="2"/>
        <v/>
      </c>
      <c r="Z8" s="8">
        <f t="shared" si="3"/>
        <v>26800</v>
      </c>
      <c r="AA8" s="8">
        <f t="shared" si="4"/>
        <v>357582</v>
      </c>
      <c r="AB8" s="8">
        <f t="shared" si="5"/>
        <v>16165</v>
      </c>
      <c r="AC8" s="8">
        <f t="shared" si="6"/>
        <v>289500</v>
      </c>
    </row>
    <row r="9" spans="1:29" s="5" customFormat="1" ht="18" customHeight="1" x14ac:dyDescent="0.25">
      <c r="A9" s="5" t="s">
        <v>7</v>
      </c>
      <c r="B9" s="17"/>
      <c r="C9" s="15"/>
      <c r="D9" s="15"/>
      <c r="F9" s="1"/>
      <c r="G9" s="3">
        <f t="shared" si="7"/>
        <v>46102</v>
      </c>
      <c r="H9" s="13">
        <v>159199</v>
      </c>
      <c r="I9" s="13">
        <v>0</v>
      </c>
      <c r="J9" s="13">
        <v>194409</v>
      </c>
      <c r="K9" s="13">
        <v>0</v>
      </c>
      <c r="M9" s="6" t="str">
        <f t="shared" si="0"/>
        <v/>
      </c>
      <c r="N9" s="6" cm="1">
        <f t="array" ref="N9">IF(H9="",_xlfn.LET(
    _xlpm.vals,_xlfn._xlws.FILTER($I$5:I8,$I$5:I8&lt;&gt;"",""),
    _xlpm.avgJ,IF(COUNTA(_xlpm.vals)=0,0,AVERAGE(_xlfn.TAKE(_xlpm.vals,-MIN(7,ROWS(_xlpm.vals))))),
    _xlpm.addship,IF(M9="",0,M9),
    IF(
        AND(H8="",H9=""),
        N8-_xlpm.avgJ+_xlpm.addship,
        IF(
            H9="",
            H8-_xlpm.avgJ+_xlpm.addship,
            ""
        )
    )
),H9)</f>
        <v>159199</v>
      </c>
      <c r="O9" s="6" t="str">
        <f t="shared" si="1"/>
        <v/>
      </c>
      <c r="P9" s="6" cm="1">
        <f t="array" ref="P9">IF(J9="",_xlfn.LET(
    _xlpm.vals,_xlfn._xlws.FILTER($K$5:K8,$K$5:K8&lt;&gt;"",""),
    _xlpm.avgJ,IF(COUNTA(_xlpm.vals)=0,0,AVERAGE(_xlfn.TAKE(_xlpm.vals,-MIN(7,ROWS(_xlpm.vals))))),
    _xlpm.addship,IF(O9="",0,O9),
    IF(
        AND(J8="",J9=""),
        P8-_xlpm.avgJ+_xlpm.addship,
        IF(
            J9="",
            J8-_xlpm.avgJ+_xlpm.addship,
            ""
        )
    )
),J9)</f>
        <v>194409</v>
      </c>
      <c r="Q9" s="7" t="str">
        <f t="shared" si="2"/>
        <v/>
      </c>
      <c r="Z9" s="8">
        <f t="shared" si="3"/>
        <v>26800</v>
      </c>
      <c r="AA9" s="8">
        <f t="shared" si="4"/>
        <v>357582</v>
      </c>
      <c r="AB9" s="8">
        <f t="shared" si="5"/>
        <v>16165</v>
      </c>
      <c r="AC9" s="8">
        <f t="shared" si="6"/>
        <v>289500</v>
      </c>
    </row>
    <row r="10" spans="1:29" s="5" customFormat="1" ht="18" customHeight="1" x14ac:dyDescent="0.25">
      <c r="A10" s="5" t="s">
        <v>8</v>
      </c>
      <c r="B10" s="17"/>
      <c r="C10" s="15"/>
      <c r="D10" s="15"/>
      <c r="E10" s="7"/>
      <c r="F10" s="1"/>
      <c r="G10" s="3">
        <f t="shared" si="7"/>
        <v>46103</v>
      </c>
      <c r="H10" s="13">
        <v>159199</v>
      </c>
      <c r="I10" s="13">
        <v>0</v>
      </c>
      <c r="J10" s="13">
        <v>194409</v>
      </c>
      <c r="K10" s="13">
        <v>0</v>
      </c>
      <c r="M10" s="6" t="str">
        <f t="shared" si="0"/>
        <v/>
      </c>
      <c r="N10" s="6" cm="1">
        <f t="array" ref="N10">IF(H10="",_xlfn.LET(
    _xlpm.vals,_xlfn._xlws.FILTER($I$5:I9,$I$5:I9&lt;&gt;"",""),
    _xlpm.avgJ,IF(COUNTA(_xlpm.vals)=0,0,AVERAGE(_xlfn.TAKE(_xlpm.vals,-MIN(7,ROWS(_xlpm.vals))))),
    _xlpm.addship,IF(M10="",0,M10),
    IF(
        AND(H9="",H10=""),
        N9-_xlpm.avgJ+_xlpm.addship,
        IF(
            H10="",
            H9-_xlpm.avgJ+_xlpm.addship,
            ""
        )
    )
),H10)</f>
        <v>159199</v>
      </c>
      <c r="O10" s="6" t="str">
        <f t="shared" si="1"/>
        <v/>
      </c>
      <c r="P10" s="6" cm="1">
        <f t="array" ref="P10">IF(J10="",_xlfn.LET(
    _xlpm.vals,_xlfn._xlws.FILTER($K$5:K9,$K$5:K9&lt;&gt;"",""),
    _xlpm.avgJ,IF(COUNTA(_xlpm.vals)=0,0,AVERAGE(_xlfn.TAKE(_xlpm.vals,-MIN(7,ROWS(_xlpm.vals))))),
    _xlpm.addship,IF(O10="",0,O10),
    IF(
        AND(J9="",J10=""),
        P9-_xlpm.avgJ+_xlpm.addship,
        IF(
            J10="",
            J9-_xlpm.avgJ+_xlpm.addship,
            ""
        )
    )
),J10)</f>
        <v>194409</v>
      </c>
      <c r="Q10" s="7" t="str">
        <f t="shared" si="2"/>
        <v/>
      </c>
      <c r="Z10" s="8">
        <f t="shared" si="3"/>
        <v>26800</v>
      </c>
      <c r="AA10" s="8">
        <f t="shared" si="4"/>
        <v>357582</v>
      </c>
      <c r="AB10" s="8">
        <f t="shared" si="5"/>
        <v>16165</v>
      </c>
      <c r="AC10" s="8">
        <f t="shared" si="6"/>
        <v>289500</v>
      </c>
    </row>
    <row r="11" spans="1:29" s="5" customFormat="1" ht="18" customHeight="1" x14ac:dyDescent="0.25">
      <c r="A11" s="5" t="s">
        <v>9</v>
      </c>
      <c r="B11" s="17"/>
      <c r="C11" s="15"/>
      <c r="D11" s="15"/>
      <c r="E11" s="7"/>
      <c r="F11" s="1"/>
      <c r="G11" s="3">
        <f t="shared" si="7"/>
        <v>46104</v>
      </c>
      <c r="H11" s="13">
        <v>140170</v>
      </c>
      <c r="I11" s="13">
        <v>19000</v>
      </c>
      <c r="J11" s="13">
        <v>177520</v>
      </c>
      <c r="K11" s="13">
        <v>17000</v>
      </c>
      <c r="M11" s="6" t="str">
        <f t="shared" si="0"/>
        <v/>
      </c>
      <c r="N11" s="6" cm="1">
        <f t="array" ref="N11">IF(H11="",_xlfn.LET(
    _xlpm.vals,_xlfn._xlws.FILTER($I$5:I10,$I$5:I10&lt;&gt;"",""),
    _xlpm.avgJ,IF(COUNTA(_xlpm.vals)=0,0,AVERAGE(_xlfn.TAKE(_xlpm.vals,-MIN(7,ROWS(_xlpm.vals))))),
    _xlpm.addship,IF(M11="",0,M11),
    IF(
        AND(H10="",H11=""),
        N10-_xlpm.avgJ+_xlpm.addship,
        IF(
            H11="",
            H10-_xlpm.avgJ+_xlpm.addship,
            ""
        )
    )
),H11)</f>
        <v>140170</v>
      </c>
      <c r="O11" s="6" t="str">
        <f t="shared" si="1"/>
        <v/>
      </c>
      <c r="P11" s="6" cm="1">
        <f t="array" ref="P11">IF(J11="",_xlfn.LET(
    _xlpm.vals,_xlfn._xlws.FILTER($K$5:K10,$K$5:K10&lt;&gt;"",""),
    _xlpm.avgJ,IF(COUNTA(_xlpm.vals)=0,0,AVERAGE(_xlfn.TAKE(_xlpm.vals,-MIN(7,ROWS(_xlpm.vals))))),
    _xlpm.addship,IF(O11="",0,O11),
    IF(
        AND(J10="",J11=""),
        P10-_xlpm.avgJ+_xlpm.addship,
        IF(
            J11="",
            J10-_xlpm.avgJ+_xlpm.addship,
            ""
        )
    )
),J11)</f>
        <v>177520</v>
      </c>
      <c r="Q11" s="7" t="str">
        <f t="shared" si="2"/>
        <v/>
      </c>
      <c r="Z11" s="8">
        <f t="shared" si="3"/>
        <v>26800</v>
      </c>
      <c r="AA11" s="8">
        <f t="shared" si="4"/>
        <v>357582</v>
      </c>
      <c r="AB11" s="8">
        <f t="shared" si="5"/>
        <v>16165</v>
      </c>
      <c r="AC11" s="8">
        <f t="shared" si="6"/>
        <v>289500</v>
      </c>
    </row>
    <row r="12" spans="1:29" s="5" customFormat="1" ht="18" customHeight="1" x14ac:dyDescent="0.25">
      <c r="E12" s="7"/>
      <c r="F12" s="1"/>
      <c r="G12" s="3">
        <f t="shared" si="7"/>
        <v>46105</v>
      </c>
      <c r="H12" s="13">
        <v>125661</v>
      </c>
      <c r="I12" s="13">
        <v>14500</v>
      </c>
      <c r="J12" s="13">
        <v>172226</v>
      </c>
      <c r="K12" s="13">
        <v>5300</v>
      </c>
      <c r="M12" s="6" t="str">
        <f t="shared" si="0"/>
        <v/>
      </c>
      <c r="N12" s="6" cm="1">
        <f t="array" ref="N12">IF(H12="",_xlfn.LET(
    _xlpm.vals,_xlfn._xlws.FILTER($I$5:I11,$I$5:I11&lt;&gt;"",""),
    _xlpm.avgJ,IF(COUNTA(_xlpm.vals)=0,0,AVERAGE(_xlfn.TAKE(_xlpm.vals,-MIN(7,ROWS(_xlpm.vals))))),
    _xlpm.addship,IF(M12="",0,M12),
    IF(
        AND(H11="",H12=""),
        N11-_xlpm.avgJ+_xlpm.addship,
        IF(
            H12="",
            H11-_xlpm.avgJ+_xlpm.addship,
            ""
        )
    )
),H12)</f>
        <v>125661</v>
      </c>
      <c r="O12" s="6" t="str">
        <f t="shared" si="1"/>
        <v/>
      </c>
      <c r="P12" s="6" cm="1">
        <f t="array" ref="P12">IF(J12="",_xlfn.LET(
    _xlpm.vals,_xlfn._xlws.FILTER($K$5:K11,$K$5:K11&lt;&gt;"",""),
    _xlpm.avgJ,IF(COUNTA(_xlpm.vals)=0,0,AVERAGE(_xlfn.TAKE(_xlpm.vals,-MIN(7,ROWS(_xlpm.vals))))),
    _xlpm.addship,IF(O12="",0,O12),
    IF(
        AND(J11="",J12=""),
        P11-_xlpm.avgJ+_xlpm.addship,
        IF(
            J12="",
            J11-_xlpm.avgJ+_xlpm.addship,
            ""
        )
    )
),J12)</f>
        <v>172226</v>
      </c>
      <c r="Q12" s="7" t="str">
        <f t="shared" si="2"/>
        <v/>
      </c>
      <c r="Z12" s="8">
        <f t="shared" si="3"/>
        <v>26800</v>
      </c>
      <c r="AA12" s="8">
        <f t="shared" si="4"/>
        <v>357582</v>
      </c>
      <c r="AB12" s="8">
        <f t="shared" si="5"/>
        <v>16165</v>
      </c>
      <c r="AC12" s="8">
        <f t="shared" si="6"/>
        <v>289500</v>
      </c>
    </row>
    <row r="13" spans="1:29" s="5" customFormat="1" ht="18" customHeight="1" x14ac:dyDescent="0.25">
      <c r="A13" s="18"/>
      <c r="B13" s="19"/>
      <c r="C13" s="20"/>
      <c r="D13" s="20"/>
      <c r="E13" s="21"/>
      <c r="F13" s="1"/>
      <c r="G13" s="3">
        <f t="shared" si="7"/>
        <v>46106</v>
      </c>
      <c r="H13" s="13">
        <v>125360</v>
      </c>
      <c r="I13" s="13">
        <v>0</v>
      </c>
      <c r="J13" s="13">
        <v>168786</v>
      </c>
      <c r="K13" s="13">
        <v>3500</v>
      </c>
      <c r="M13" s="6" t="str">
        <f t="shared" si="0"/>
        <v/>
      </c>
      <c r="N13" s="6" cm="1">
        <f t="array" ref="N13">IF(H13="",_xlfn.LET(
    _xlpm.vals,_xlfn._xlws.FILTER($I$5:I12,$I$5:I12&lt;&gt;"",""),
    _xlpm.avgJ,IF(COUNTA(_xlpm.vals)=0,0,AVERAGE(_xlfn.TAKE(_xlpm.vals,-MIN(7,ROWS(_xlpm.vals))))),
    _xlpm.addship,IF(M13="",0,M13),
    IF(
        AND(H12="",H13=""),
        N12-_xlpm.avgJ+_xlpm.addship,
        IF(
            H13="",
            H12-_xlpm.avgJ+_xlpm.addship,
            ""
        )
    )
),H13)</f>
        <v>125360</v>
      </c>
      <c r="O13" s="6" t="str">
        <f t="shared" si="1"/>
        <v/>
      </c>
      <c r="P13" s="6" cm="1">
        <f t="array" ref="P13">IF(J13="",_xlfn.LET(
    _xlpm.vals,_xlfn._xlws.FILTER($K$5:K12,$K$5:K12&lt;&gt;"",""),
    _xlpm.avgJ,IF(COUNTA(_xlpm.vals)=0,0,AVERAGE(_xlfn.TAKE(_xlpm.vals,-MIN(7,ROWS(_xlpm.vals))))),
    _xlpm.addship,IF(O13="",0,O13),
    IF(
        AND(J12="",J13=""),
        P12-_xlpm.avgJ+_xlpm.addship,
        IF(
            J13="",
            J12-_xlpm.avgJ+_xlpm.addship,
            ""
        )
    )
),J13)</f>
        <v>168786</v>
      </c>
      <c r="Q13" s="7" t="str">
        <f t="shared" si="2"/>
        <v/>
      </c>
      <c r="Z13" s="8">
        <f t="shared" si="3"/>
        <v>26800</v>
      </c>
      <c r="AA13" s="8">
        <f t="shared" si="4"/>
        <v>357582</v>
      </c>
      <c r="AB13" s="8">
        <f t="shared" si="5"/>
        <v>16165</v>
      </c>
      <c r="AC13" s="8">
        <f t="shared" si="6"/>
        <v>289500</v>
      </c>
    </row>
    <row r="14" spans="1:29" s="5" customFormat="1" ht="18" customHeight="1" x14ac:dyDescent="0.25">
      <c r="A14" s="22"/>
      <c r="B14" s="23"/>
      <c r="C14" s="24"/>
      <c r="D14" s="25" t="str" cm="1">
        <f t="array" ref="D14:D15">_xlfn.LET(
    _xlpm.pDate,IFERROR(INDEX(G5:G501,MATCH(TRUE,ISNUMBER(SEARCH("Petrol stock out",Q5:Q501)),0)),""),
    _xlpm.dDate,IFERROR(INDEX(G5:G501,MATCH(TRUE,ISNUMBER(SEARCH("Diesel stock out",Q5:Q501)),0)),""),
    _xlpm.results,_xlfn.VSTACK(
        IF(_xlpm.pDate&lt;&gt;"","First petrol stock out: "&amp;TEXT(_xlpm.pDate,"d-mmm-yy")&amp;", cargo needed before this date",""),
        IF(_xlpm.dDate&lt;&gt;"","First diesel stock out: "&amp;TEXT(_xlpm.dDate,"d-mmm-yy")&amp;", cargo needed before this date","")
    ),
    _xlpm.filtered,_xlfn._xlws.FILTER(_xlpm.results,_xlpm.results&lt;&gt;""),
    IFERROR(_xlpm.filtered,"No stock outs forecast")
)</f>
        <v>First petrol stock out: 8-Apr-26, cargo needed before this date</v>
      </c>
      <c r="E14" s="26"/>
      <c r="F14" s="1"/>
      <c r="G14" s="3">
        <f t="shared" si="7"/>
        <v>46107</v>
      </c>
      <c r="H14" s="13">
        <v>121445</v>
      </c>
      <c r="I14" s="13">
        <v>4000</v>
      </c>
      <c r="J14" s="13">
        <v>164156</v>
      </c>
      <c r="K14" s="13">
        <v>4500</v>
      </c>
      <c r="M14" s="6" t="str">
        <f t="shared" si="0"/>
        <v/>
      </c>
      <c r="N14" s="6" cm="1">
        <f t="array" ref="N14">IF(H14="",_xlfn.LET(
    _xlpm.vals,_xlfn._xlws.FILTER($I$5:I13,$I$5:I13&lt;&gt;"",""),
    _xlpm.avgJ,IF(COUNTA(_xlpm.vals)=0,0,AVERAGE(_xlfn.TAKE(_xlpm.vals,-MIN(7,ROWS(_xlpm.vals))))),
    _xlpm.addship,IF(M14="",0,M14),
    IF(
        AND(H13="",H14=""),
        N13-_xlpm.avgJ+_xlpm.addship,
        IF(
            H14="",
            H13-_xlpm.avgJ+_xlpm.addship,
            ""
        )
    )
),H14)</f>
        <v>121445</v>
      </c>
      <c r="O14" s="6" t="str">
        <f t="shared" si="1"/>
        <v/>
      </c>
      <c r="P14" s="6" cm="1">
        <f t="array" ref="P14">IF(J14="",_xlfn.LET(
    _xlpm.vals,_xlfn._xlws.FILTER($K$5:K13,$K$5:K13&lt;&gt;"",""),
    _xlpm.avgJ,IF(COUNTA(_xlpm.vals)=0,0,AVERAGE(_xlfn.TAKE(_xlpm.vals,-MIN(7,ROWS(_xlpm.vals))))),
    _xlpm.addship,IF(O14="",0,O14),
    IF(
        AND(J13="",J14=""),
        P13-_xlpm.avgJ+_xlpm.addship,
        IF(
            J14="",
            J13-_xlpm.avgJ+_xlpm.addship,
            ""
        )
    )
),J14)</f>
        <v>164156</v>
      </c>
      <c r="Q14" s="7" t="str">
        <f t="shared" si="2"/>
        <v/>
      </c>
      <c r="Z14" s="8">
        <f t="shared" si="3"/>
        <v>26800</v>
      </c>
      <c r="AA14" s="8">
        <f t="shared" si="4"/>
        <v>357582</v>
      </c>
      <c r="AB14" s="8">
        <f t="shared" si="5"/>
        <v>16165</v>
      </c>
      <c r="AC14" s="8">
        <f t="shared" si="6"/>
        <v>289500</v>
      </c>
    </row>
    <row r="15" spans="1:29" s="5" customFormat="1" ht="18" customHeight="1" x14ac:dyDescent="0.25">
      <c r="A15" s="27"/>
      <c r="B15" s="24"/>
      <c r="C15" s="24"/>
      <c r="D15" s="25" t="str">
        <v>First diesel stock out: 22-Apr-26, cargo needed before this date</v>
      </c>
      <c r="E15" s="26"/>
      <c r="F15" s="1"/>
      <c r="G15" s="3">
        <f t="shared" si="7"/>
        <v>46108</v>
      </c>
      <c r="H15" s="13">
        <v>105147</v>
      </c>
      <c r="I15" s="13">
        <v>16000</v>
      </c>
      <c r="J15" s="13">
        <v>157835</v>
      </c>
      <c r="K15" s="13">
        <v>6500</v>
      </c>
      <c r="M15" s="6" t="str">
        <f t="shared" si="0"/>
        <v/>
      </c>
      <c r="N15" s="6" cm="1">
        <f t="array" ref="N15">IF(H15="",_xlfn.LET(
    _xlpm.vals,_xlfn._xlws.FILTER($I$5:I14,$I$5:I14&lt;&gt;"",""),
    _xlpm.avgJ,IF(COUNTA(_xlpm.vals)=0,0,AVERAGE(_xlfn.TAKE(_xlpm.vals,-MIN(7,ROWS(_xlpm.vals))))),
    _xlpm.addship,IF(M15="",0,M15),
    IF(
        AND(H14="",H15=""),
        N14-_xlpm.avgJ+_xlpm.addship,
        IF(
            H15="",
            H14-_xlpm.avgJ+_xlpm.addship,
            ""
        )
    )
),H15)</f>
        <v>105147</v>
      </c>
      <c r="O15" s="6" t="str">
        <f t="shared" si="1"/>
        <v/>
      </c>
      <c r="P15" s="6" cm="1">
        <f t="array" ref="P15">IF(J15="",_xlfn.LET(
    _xlpm.vals,_xlfn._xlws.FILTER($K$5:K14,$K$5:K14&lt;&gt;"",""),
    _xlpm.avgJ,IF(COUNTA(_xlpm.vals)=0,0,AVERAGE(_xlfn.TAKE(_xlpm.vals,-MIN(7,ROWS(_xlpm.vals))))),
    _xlpm.addship,IF(O15="",0,O15),
    IF(
        AND(J14="",J15=""),
        P14-_xlpm.avgJ+_xlpm.addship,
        IF(
            J15="",
            J14-_xlpm.avgJ+_xlpm.addship,
            ""
        )
    )
),J15)</f>
        <v>157835</v>
      </c>
      <c r="Q15" s="7" t="str">
        <f t="shared" si="2"/>
        <v/>
      </c>
      <c r="Z15" s="8">
        <f t="shared" si="3"/>
        <v>26800</v>
      </c>
      <c r="AA15" s="8">
        <f t="shared" si="4"/>
        <v>357582</v>
      </c>
      <c r="AB15" s="8">
        <f t="shared" si="5"/>
        <v>16165</v>
      </c>
      <c r="AC15" s="8">
        <f t="shared" si="6"/>
        <v>289500</v>
      </c>
    </row>
    <row r="16" spans="1:29" s="5" customFormat="1" ht="18" customHeight="1" x14ac:dyDescent="0.25">
      <c r="A16" s="29"/>
      <c r="B16" s="31"/>
      <c r="C16" s="31"/>
      <c r="D16" s="31"/>
      <c r="E16" s="32"/>
      <c r="F16" s="1"/>
      <c r="G16" s="3">
        <f t="shared" si="7"/>
        <v>46109</v>
      </c>
      <c r="H16" s="13">
        <v>105147</v>
      </c>
      <c r="I16" s="13">
        <v>0</v>
      </c>
      <c r="J16" s="13">
        <v>157835</v>
      </c>
      <c r="K16" s="13">
        <v>0</v>
      </c>
      <c r="M16" s="6" t="str">
        <f t="shared" si="0"/>
        <v/>
      </c>
      <c r="N16" s="6" cm="1">
        <f t="array" ref="N16">IF(H16="",_xlfn.LET(
    _xlpm.vals,_xlfn._xlws.FILTER($I$5:I15,$I$5:I15&lt;&gt;"",""),
    _xlpm.avgJ,IF(COUNTA(_xlpm.vals)=0,0,AVERAGE(_xlfn.TAKE(_xlpm.vals,-MIN(7,ROWS(_xlpm.vals))))),
    _xlpm.addship,IF(M16="",0,M16),
    IF(
        AND(H15="",H16=""),
        N15-_xlpm.avgJ+_xlpm.addship,
        IF(
            H16="",
            H15-_xlpm.avgJ+_xlpm.addship,
            ""
        )
    )
),H16)</f>
        <v>105147</v>
      </c>
      <c r="O16" s="6" t="str">
        <f t="shared" si="1"/>
        <v/>
      </c>
      <c r="P16" s="6" cm="1">
        <f t="array" ref="P16">IF(J16="",_xlfn.LET(
    _xlpm.vals,_xlfn._xlws.FILTER($K$5:K15,$K$5:K15&lt;&gt;"",""),
    _xlpm.avgJ,IF(COUNTA(_xlpm.vals)=0,0,AVERAGE(_xlfn.TAKE(_xlpm.vals,-MIN(7,ROWS(_xlpm.vals))))),
    _xlpm.addship,IF(O16="",0,O16),
    IF(
        AND(J15="",J16=""),
        P15-_xlpm.avgJ+_xlpm.addship,
        IF(
            J16="",
            J15-_xlpm.avgJ+_xlpm.addship,
            ""
        )
    )
),J16)</f>
        <v>157835</v>
      </c>
      <c r="Q16" s="7" t="str">
        <f t="shared" si="2"/>
        <v/>
      </c>
      <c r="Z16" s="8">
        <f t="shared" si="3"/>
        <v>26800</v>
      </c>
      <c r="AA16" s="8">
        <f t="shared" si="4"/>
        <v>357582</v>
      </c>
      <c r="AB16" s="8">
        <f t="shared" si="5"/>
        <v>16165</v>
      </c>
      <c r="AC16" s="8">
        <f t="shared" si="6"/>
        <v>289500</v>
      </c>
    </row>
    <row r="17" spans="1:29" s="5" customFormat="1" ht="18" customHeight="1" x14ac:dyDescent="0.25">
      <c r="A17" s="7"/>
      <c r="E17" s="7"/>
      <c r="F17" s="1"/>
      <c r="G17" s="3">
        <f t="shared" si="7"/>
        <v>46110</v>
      </c>
      <c r="H17" s="13">
        <v>105147</v>
      </c>
      <c r="I17" s="13">
        <v>0</v>
      </c>
      <c r="J17" s="13">
        <v>157835</v>
      </c>
      <c r="K17" s="13">
        <v>0</v>
      </c>
      <c r="M17" s="6" t="str">
        <f t="shared" si="0"/>
        <v/>
      </c>
      <c r="N17" s="6" cm="1">
        <f t="array" ref="N17">IF(H17="",_xlfn.LET(
    _xlpm.vals,_xlfn._xlws.FILTER($I$5:I16,$I$5:I16&lt;&gt;"",""),
    _xlpm.avgJ,IF(COUNTA(_xlpm.vals)=0,0,AVERAGE(_xlfn.TAKE(_xlpm.vals,-MIN(7,ROWS(_xlpm.vals))))),
    _xlpm.addship,IF(M17="",0,M17),
    IF(
        AND(H16="",H17=""),
        N16-_xlpm.avgJ+_xlpm.addship,
        IF(
            H17="",
            H16-_xlpm.avgJ+_xlpm.addship,
            ""
        )
    )
),H17)</f>
        <v>105147</v>
      </c>
      <c r="O17" s="6" t="str">
        <f t="shared" si="1"/>
        <v/>
      </c>
      <c r="P17" s="6" cm="1">
        <f t="array" ref="P17">IF(J17="",_xlfn.LET(
    _xlpm.vals,_xlfn._xlws.FILTER($K$5:K16,$K$5:K16&lt;&gt;"",""),
    _xlpm.avgJ,IF(COUNTA(_xlpm.vals)=0,0,AVERAGE(_xlfn.TAKE(_xlpm.vals,-MIN(7,ROWS(_xlpm.vals))))),
    _xlpm.addship,IF(O17="",0,O17),
    IF(
        AND(J16="",J17=""),
        P16-_xlpm.avgJ+_xlpm.addship,
        IF(
            J17="",
            J16-_xlpm.avgJ+_xlpm.addship,
            ""
        )
    )
),J17)</f>
        <v>157835</v>
      </c>
      <c r="Q17" s="7" t="str">
        <f t="shared" si="2"/>
        <v/>
      </c>
      <c r="Z17" s="8">
        <f t="shared" si="3"/>
        <v>26800</v>
      </c>
      <c r="AA17" s="8">
        <f t="shared" si="4"/>
        <v>357582</v>
      </c>
      <c r="AB17" s="8">
        <f t="shared" si="5"/>
        <v>16165</v>
      </c>
      <c r="AC17" s="8">
        <f t="shared" si="6"/>
        <v>289500</v>
      </c>
    </row>
    <row r="18" spans="1:29" s="5" customFormat="1" ht="18" customHeight="1" x14ac:dyDescent="0.25">
      <c r="A18" s="9" t="s">
        <v>0</v>
      </c>
      <c r="C18" s="54" t="s">
        <v>30</v>
      </c>
      <c r="D18" s="57"/>
      <c r="E18" s="7"/>
      <c r="F18" s="1"/>
      <c r="G18" s="3">
        <f t="shared" si="7"/>
        <v>46111</v>
      </c>
      <c r="H18" s="13">
        <v>100083</v>
      </c>
      <c r="I18" s="13">
        <v>5000</v>
      </c>
      <c r="J18" s="13">
        <v>151790</v>
      </c>
      <c r="K18" s="13">
        <v>6000</v>
      </c>
      <c r="M18" s="6" t="str">
        <f t="shared" si="0"/>
        <v/>
      </c>
      <c r="N18" s="6" cm="1">
        <f t="array" ref="N18">IF(H18="",_xlfn.LET(
    _xlpm.vals,_xlfn._xlws.FILTER($I$5:I17,$I$5:I17&lt;&gt;"",""),
    _xlpm.avgJ,IF(COUNTA(_xlpm.vals)=0,0,AVERAGE(_xlfn.TAKE(_xlpm.vals,-MIN(7,ROWS(_xlpm.vals))))),
    _xlpm.addship,IF(M18="",0,M18),
    IF(
        AND(H17="",H18=""),
        N17-_xlpm.avgJ+_xlpm.addship,
        IF(
            H18="",
            H17-_xlpm.avgJ+_xlpm.addship,
            ""
        )
    )
),H18)</f>
        <v>100083</v>
      </c>
      <c r="O18" s="6" t="str">
        <f t="shared" si="1"/>
        <v/>
      </c>
      <c r="P18" s="6" cm="1">
        <f t="array" ref="P18">IF(J18="",_xlfn.LET(
    _xlpm.vals,_xlfn._xlws.FILTER($K$5:K17,$K$5:K17&lt;&gt;"",""),
    _xlpm.avgJ,IF(COUNTA(_xlpm.vals)=0,0,AVERAGE(_xlfn.TAKE(_xlpm.vals,-MIN(7,ROWS(_xlpm.vals))))),
    _xlpm.addship,IF(O18="",0,O18),
    IF(
        AND(J17="",J18=""),
        P17-_xlpm.avgJ+_xlpm.addship,
        IF(
            J18="",
            J17-_xlpm.avgJ+_xlpm.addship,
            ""
        )
    )
),J18)</f>
        <v>151790</v>
      </c>
      <c r="Q18" s="7" t="str">
        <f t="shared" si="2"/>
        <v/>
      </c>
      <c r="Z18" s="8">
        <f t="shared" si="3"/>
        <v>26800</v>
      </c>
      <c r="AA18" s="8">
        <f t="shared" si="4"/>
        <v>357582</v>
      </c>
      <c r="AB18" s="8">
        <f t="shared" si="5"/>
        <v>16165</v>
      </c>
      <c r="AC18" s="8">
        <f t="shared" si="6"/>
        <v>289500</v>
      </c>
    </row>
    <row r="19" spans="1:29" s="5" customFormat="1" ht="18" customHeight="1" x14ac:dyDescent="0.25">
      <c r="A19" s="33" t="s">
        <v>11</v>
      </c>
      <c r="B19" s="34"/>
      <c r="C19" s="62" t="s">
        <v>12</v>
      </c>
      <c r="D19" s="61" t="s">
        <v>13</v>
      </c>
      <c r="E19" s="7"/>
      <c r="F19" s="1"/>
      <c r="G19" s="3">
        <f t="shared" si="7"/>
        <v>46112</v>
      </c>
      <c r="H19" s="13">
        <v>47286</v>
      </c>
      <c r="I19" s="13">
        <v>52700</v>
      </c>
      <c r="J19" s="13">
        <v>111464</v>
      </c>
      <c r="K19" s="13">
        <v>40200</v>
      </c>
      <c r="M19" s="6" t="str">
        <f t="shared" si="0"/>
        <v/>
      </c>
      <c r="N19" s="6" cm="1">
        <f t="array" ref="N19">IF(H19="",_xlfn.LET(
    _xlpm.vals,_xlfn._xlws.FILTER($I$5:I18,$I$5:I18&lt;&gt;"",""),
    _xlpm.avgJ,IF(COUNTA(_xlpm.vals)=0,0,AVERAGE(_xlfn.TAKE(_xlpm.vals,-MIN(7,ROWS(_xlpm.vals))))),
    _xlpm.addship,IF(M19="",0,M19),
    IF(
        AND(H18="",H19=""),
        N18-_xlpm.avgJ+_xlpm.addship,
        IF(
            H19="",
            H18-_xlpm.avgJ+_xlpm.addship,
            ""
        )
    )
),H19)</f>
        <v>47286</v>
      </c>
      <c r="O19" s="6" t="str">
        <f t="shared" si="1"/>
        <v/>
      </c>
      <c r="P19" s="6" cm="1">
        <f t="array" ref="P19">IF(J19="",_xlfn.LET(
    _xlpm.vals,_xlfn._xlws.FILTER($K$5:K18,$K$5:K18&lt;&gt;"",""),
    _xlpm.avgJ,IF(COUNTA(_xlpm.vals)=0,0,AVERAGE(_xlfn.TAKE(_xlpm.vals,-MIN(7,ROWS(_xlpm.vals))))),
    _xlpm.addship,IF(O19="",0,O19),
    IF(
        AND(J18="",J19=""),
        P18-_xlpm.avgJ+_xlpm.addship,
        IF(
            J19="",
            J18-_xlpm.avgJ+_xlpm.addship,
            ""
        )
    )
),J19)</f>
        <v>111464</v>
      </c>
      <c r="Q19" s="7" t="str">
        <f t="shared" si="2"/>
        <v/>
      </c>
      <c r="Z19" s="8">
        <f t="shared" si="3"/>
        <v>26800</v>
      </c>
      <c r="AA19" s="8">
        <f t="shared" si="4"/>
        <v>357582</v>
      </c>
      <c r="AB19" s="8">
        <f t="shared" si="5"/>
        <v>16165</v>
      </c>
      <c r="AC19" s="8">
        <f t="shared" si="6"/>
        <v>289500</v>
      </c>
    </row>
    <row r="20" spans="1:29" s="5" customFormat="1" ht="18" customHeight="1" x14ac:dyDescent="0.25">
      <c r="A20" s="5" t="s">
        <v>14</v>
      </c>
      <c r="B20" s="34" t="s">
        <v>15</v>
      </c>
      <c r="C20" s="40">
        <v>357582</v>
      </c>
      <c r="D20" s="40">
        <v>289500</v>
      </c>
      <c r="E20" s="7"/>
      <c r="F20" s="1"/>
      <c r="G20" s="3">
        <f t="shared" si="7"/>
        <v>46113</v>
      </c>
      <c r="H20" s="13">
        <v>47186</v>
      </c>
      <c r="I20" s="13">
        <v>0</v>
      </c>
      <c r="J20" s="13">
        <v>111316</v>
      </c>
      <c r="K20" s="13">
        <v>0</v>
      </c>
      <c r="M20" s="6" t="str">
        <f t="shared" si="0"/>
        <v/>
      </c>
      <c r="N20" s="6" cm="1">
        <f t="array" ref="N20">IF(H20="",_xlfn.LET(
    _xlpm.vals,_xlfn._xlws.FILTER($I$5:I19,$I$5:I19&lt;&gt;"",""),
    _xlpm.avgJ,IF(COUNTA(_xlpm.vals)=0,0,AVERAGE(_xlfn.TAKE(_xlpm.vals,-MIN(7,ROWS(_xlpm.vals))))),
    _xlpm.addship,IF(M20="",0,M20),
    IF(
        AND(H19="",H20=""),
        N19-_xlpm.avgJ+_xlpm.addship,
        IF(
            H20="",
            H19-_xlpm.avgJ+_xlpm.addship,
            ""
        )
    )
),H20)</f>
        <v>47186</v>
      </c>
      <c r="O20" s="6" t="str">
        <f t="shared" si="1"/>
        <v/>
      </c>
      <c r="P20" s="6" cm="1">
        <f t="array" ref="P20">IF(J20="",_xlfn.LET(
    _xlpm.vals,_xlfn._xlws.FILTER($K$5:K19,$K$5:K19&lt;&gt;"",""),
    _xlpm.avgJ,IF(COUNTA(_xlpm.vals)=0,0,AVERAGE(_xlfn.TAKE(_xlpm.vals,-MIN(7,ROWS(_xlpm.vals))))),
    _xlpm.addship,IF(O20="",0,O20),
    IF(
        AND(J19="",J20=""),
        P19-_xlpm.avgJ+_xlpm.addship,
        IF(
            J20="",
            J19-_xlpm.avgJ+_xlpm.addship,
            ""
        )
    )
),J20)</f>
        <v>111316</v>
      </c>
      <c r="Q20" s="7" t="str">
        <f t="shared" si="2"/>
        <v/>
      </c>
      <c r="Z20" s="8">
        <f t="shared" si="3"/>
        <v>26800</v>
      </c>
      <c r="AA20" s="8">
        <f t="shared" si="4"/>
        <v>357582</v>
      </c>
      <c r="AB20" s="8">
        <f t="shared" si="5"/>
        <v>16165</v>
      </c>
      <c r="AC20" s="8">
        <f t="shared" si="6"/>
        <v>289500</v>
      </c>
    </row>
    <row r="21" spans="1:29" s="5" customFormat="1" ht="18" customHeight="1" x14ac:dyDescent="0.25">
      <c r="A21" s="5" t="s">
        <v>16</v>
      </c>
      <c r="B21" s="34" t="s">
        <v>15</v>
      </c>
      <c r="C21" s="40">
        <v>26800</v>
      </c>
      <c r="D21" s="40">
        <v>16165</v>
      </c>
      <c r="E21" s="33"/>
      <c r="F21" s="1"/>
      <c r="G21" s="3">
        <f t="shared" si="7"/>
        <v>46114</v>
      </c>
      <c r="H21" s="39">
        <v>37116</v>
      </c>
      <c r="I21" s="39">
        <v>10000</v>
      </c>
      <c r="J21" s="39">
        <v>109381</v>
      </c>
      <c r="K21" s="39">
        <v>2000</v>
      </c>
      <c r="L21" s="33"/>
      <c r="M21" s="6" t="str">
        <f t="shared" si="0"/>
        <v/>
      </c>
      <c r="N21" s="6" cm="1">
        <f t="array" ref="N21">IF(H21="",_xlfn.LET(
    _xlpm.vals,_xlfn._xlws.FILTER($I$5:I20,$I$5:I20&lt;&gt;"",""),
    _xlpm.avgJ,IF(COUNTA(_xlpm.vals)=0,0,AVERAGE(_xlfn.TAKE(_xlpm.vals,-MIN(7,ROWS(_xlpm.vals))))),
    _xlpm.addship,IF(M21="",0,M21),
    IF(
        AND(H20="",H21=""),
        N20-_xlpm.avgJ+_xlpm.addship,
        IF(
            H21="",
            H20-_xlpm.avgJ+_xlpm.addship,
            ""
        )
    )
),H21)</f>
        <v>37116</v>
      </c>
      <c r="O21" s="6" t="str">
        <f t="shared" si="1"/>
        <v/>
      </c>
      <c r="P21" s="6" cm="1">
        <f t="array" ref="P21">IF(J21="",_xlfn.LET(
    _xlpm.vals,_xlfn._xlws.FILTER($K$5:K20,$K$5:K20&lt;&gt;"",""),
    _xlpm.avgJ,IF(COUNTA(_xlpm.vals)=0,0,AVERAGE(_xlfn.TAKE(_xlpm.vals,-MIN(7,ROWS(_xlpm.vals))))),
    _xlpm.addship,IF(O21="",0,O21),
    IF(
        AND(J20="",J21=""),
        P20-_xlpm.avgJ+_xlpm.addship,
        IF(
            J21="",
            J20-_xlpm.avgJ+_xlpm.addship,
            ""
        )
    )
),J21)</f>
        <v>109381</v>
      </c>
      <c r="Q21" s="7" t="str">
        <f t="shared" si="2"/>
        <v/>
      </c>
      <c r="R21" s="33"/>
      <c r="S21" s="33"/>
      <c r="Z21" s="8">
        <f t="shared" si="3"/>
        <v>26800</v>
      </c>
      <c r="AA21" s="8">
        <f t="shared" si="4"/>
        <v>357582</v>
      </c>
      <c r="AB21" s="8">
        <f t="shared" si="5"/>
        <v>16165</v>
      </c>
      <c r="AC21" s="8">
        <f t="shared" si="6"/>
        <v>289500</v>
      </c>
    </row>
    <row r="22" spans="1:29" s="5" customFormat="1" ht="21.75" x14ac:dyDescent="0.25">
      <c r="A22" s="5" t="s">
        <v>17</v>
      </c>
      <c r="B22" s="34" t="s">
        <v>15</v>
      </c>
      <c r="C22" s="41">
        <f>C20-C21</f>
        <v>330782</v>
      </c>
      <c r="D22" s="41">
        <f>D20-D21</f>
        <v>273335</v>
      </c>
      <c r="E22" s="7"/>
      <c r="F22" s="1"/>
      <c r="G22" s="3">
        <f t="shared" si="7"/>
        <v>46115</v>
      </c>
      <c r="H22" s="13">
        <v>37116</v>
      </c>
      <c r="I22" s="13">
        <v>0</v>
      </c>
      <c r="J22" s="13">
        <v>109381</v>
      </c>
      <c r="K22" s="13">
        <v>0</v>
      </c>
      <c r="M22" s="6" t="str">
        <f t="shared" si="0"/>
        <v/>
      </c>
      <c r="N22" s="6" cm="1">
        <f t="array" ref="N22">IF(H22="",_xlfn.LET(
    _xlpm.vals,_xlfn._xlws.FILTER($I$5:I21,$I$5:I21&lt;&gt;"",""),
    _xlpm.avgJ,IF(COUNTA(_xlpm.vals)=0,0,AVERAGE(_xlfn.TAKE(_xlpm.vals,-MIN(7,ROWS(_xlpm.vals))))),
    _xlpm.addship,IF(M22="",0,M22),
    IF(
        AND(H21="",H22=""),
        N21-_xlpm.avgJ+_xlpm.addship,
        IF(
            H22="",
            H21-_xlpm.avgJ+_xlpm.addship,
            ""
        )
    )
),H22)</f>
        <v>37116</v>
      </c>
      <c r="O22" s="6" t="str">
        <f t="shared" si="1"/>
        <v/>
      </c>
      <c r="P22" s="6" cm="1">
        <f t="array" ref="P22">IF(J22="",_xlfn.LET(
    _xlpm.vals,_xlfn._xlws.FILTER($K$5:K21,$K$5:K21&lt;&gt;"",""),
    _xlpm.avgJ,IF(COUNTA(_xlpm.vals)=0,0,AVERAGE(_xlfn.TAKE(_xlpm.vals,-MIN(7,ROWS(_xlpm.vals))))),
    _xlpm.addship,IF(O22="",0,O22),
    IF(
        AND(J21="",J22=""),
        P21-_xlpm.avgJ+_xlpm.addship,
        IF(
            J22="",
            J21-_xlpm.avgJ+_xlpm.addship,
            ""
        )
    )
),J22)</f>
        <v>109381</v>
      </c>
      <c r="Q22" s="7" t="str">
        <f t="shared" si="2"/>
        <v/>
      </c>
      <c r="Z22" s="8">
        <f t="shared" si="3"/>
        <v>26800</v>
      </c>
      <c r="AA22" s="8">
        <f t="shared" si="4"/>
        <v>357582</v>
      </c>
      <c r="AB22" s="8">
        <f t="shared" si="5"/>
        <v>16165</v>
      </c>
      <c r="AC22" s="8">
        <f t="shared" si="6"/>
        <v>289500</v>
      </c>
    </row>
    <row r="23" spans="1:29" s="33" customFormat="1" ht="18" customHeight="1" x14ac:dyDescent="0.25">
      <c r="A23" s="7"/>
      <c r="B23" s="5"/>
      <c r="C23" s="5"/>
      <c r="D23" s="5"/>
      <c r="E23" s="7"/>
      <c r="F23" s="1"/>
      <c r="G23" s="3">
        <f t="shared" si="7"/>
        <v>46116</v>
      </c>
      <c r="H23" s="13">
        <v>37116</v>
      </c>
      <c r="I23" s="13">
        <v>0</v>
      </c>
      <c r="J23" s="13">
        <v>109381</v>
      </c>
      <c r="K23" s="13">
        <v>0</v>
      </c>
      <c r="L23" s="5"/>
      <c r="M23" s="6" t="str">
        <f t="shared" si="0"/>
        <v/>
      </c>
      <c r="N23" s="6" cm="1">
        <f t="array" ref="N23">IF(H23="",_xlfn.LET(
    _xlpm.vals,_xlfn._xlws.FILTER($I$5:I22,$I$5:I22&lt;&gt;"",""),
    _xlpm.avgJ,IF(COUNTA(_xlpm.vals)=0,0,AVERAGE(_xlfn.TAKE(_xlpm.vals,-MIN(7,ROWS(_xlpm.vals))))),
    _xlpm.addship,IF(M23="",0,M23),
    IF(
        AND(H22="",H23=""),
        N22-_xlpm.avgJ+_xlpm.addship,
        IF(
            H23="",
            H22-_xlpm.avgJ+_xlpm.addship,
            ""
        )
    )
),H23)</f>
        <v>37116</v>
      </c>
      <c r="O23" s="6" t="str">
        <f t="shared" si="1"/>
        <v/>
      </c>
      <c r="P23" s="6" cm="1">
        <f t="array" ref="P23">IF(J23="",_xlfn.LET(
    _xlpm.vals,_xlfn._xlws.FILTER($K$5:K22,$K$5:K22&lt;&gt;"",""),
    _xlpm.avgJ,IF(COUNTA(_xlpm.vals)=0,0,AVERAGE(_xlfn.TAKE(_xlpm.vals,-MIN(7,ROWS(_xlpm.vals))))),
    _xlpm.addship,IF(O23="",0,O23),
    IF(
        AND(J22="",J23=""),
        P22-_xlpm.avgJ+_xlpm.addship,
        IF(
            J23="",
            J22-_xlpm.avgJ+_xlpm.addship,
            ""
        )
    )
),J23)</f>
        <v>109381</v>
      </c>
      <c r="Q23" s="7" t="str">
        <f t="shared" si="2"/>
        <v/>
      </c>
      <c r="R23" s="5"/>
      <c r="S23" s="5"/>
      <c r="T23" s="5"/>
      <c r="U23" s="5"/>
      <c r="V23" s="5"/>
      <c r="W23" s="5"/>
      <c r="X23" s="5"/>
      <c r="Y23" s="5"/>
      <c r="Z23" s="8">
        <f t="shared" si="3"/>
        <v>26800</v>
      </c>
      <c r="AA23" s="8">
        <f t="shared" si="4"/>
        <v>357582</v>
      </c>
      <c r="AB23" s="8">
        <f t="shared" si="5"/>
        <v>16165</v>
      </c>
      <c r="AC23" s="8">
        <f t="shared" si="6"/>
        <v>289500</v>
      </c>
    </row>
    <row r="24" spans="1:29" s="5" customFormat="1" ht="21.75" x14ac:dyDescent="0.25">
      <c r="A24" s="33"/>
      <c r="B24" s="33"/>
      <c r="C24" s="33"/>
      <c r="D24" s="33"/>
      <c r="E24" s="7"/>
      <c r="F24" s="1"/>
      <c r="G24" s="3">
        <f t="shared" si="7"/>
        <v>46117</v>
      </c>
      <c r="H24" s="39">
        <v>37116</v>
      </c>
      <c r="I24" s="39">
        <v>0</v>
      </c>
      <c r="J24" s="39">
        <v>109381</v>
      </c>
      <c r="K24" s="39">
        <v>0</v>
      </c>
      <c r="L24" s="33"/>
      <c r="M24" s="6" t="str">
        <f t="shared" si="0"/>
        <v/>
      </c>
      <c r="N24" s="6" cm="1">
        <f t="array" ref="N24">IF(H24="",_xlfn.LET(
    _xlpm.vals,_xlfn._xlws.FILTER($I$5:I23,$I$5:I23&lt;&gt;"",""),
    _xlpm.avgJ,IF(COUNTA(_xlpm.vals)=0,0,AVERAGE(_xlfn.TAKE(_xlpm.vals,-MIN(7,ROWS(_xlpm.vals))))),
    _xlpm.addship,IF(M24="",0,M24),
    IF(
        AND(H23="",H24=""),
        N23-_xlpm.avgJ+_xlpm.addship,
        IF(
            H24="",
            H23-_xlpm.avgJ+_xlpm.addship,
            ""
        )
    )
),H24)</f>
        <v>37116</v>
      </c>
      <c r="O24" s="6" t="str">
        <f t="shared" si="1"/>
        <v/>
      </c>
      <c r="P24" s="6" cm="1">
        <f t="array" ref="P24">IF(J24="",_xlfn.LET(
    _xlpm.vals,_xlfn._xlws.FILTER($K$5:K23,$K$5:K23&lt;&gt;"",""),
    _xlpm.avgJ,IF(COUNTA(_xlpm.vals)=0,0,AVERAGE(_xlfn.TAKE(_xlpm.vals,-MIN(7,ROWS(_xlpm.vals))))),
    _xlpm.addship,IF(O24="",0,O24),
    IF(
        AND(J23="",J24=""),
        P23-_xlpm.avgJ+_xlpm.addship,
        IF(
            J24="",
            J23-_xlpm.avgJ+_xlpm.addship,
            ""
        )
    )
),J24)</f>
        <v>109381</v>
      </c>
      <c r="Q24" s="7" t="str">
        <f t="shared" si="2"/>
        <v/>
      </c>
      <c r="T24" s="33"/>
      <c r="U24" s="33"/>
      <c r="V24" s="33"/>
      <c r="W24" s="33"/>
      <c r="X24" s="33"/>
      <c r="Y24" s="33"/>
      <c r="Z24" s="8">
        <f t="shared" si="3"/>
        <v>26800</v>
      </c>
      <c r="AA24" s="8">
        <f t="shared" si="4"/>
        <v>357582</v>
      </c>
      <c r="AB24" s="8">
        <f t="shared" si="5"/>
        <v>16165</v>
      </c>
      <c r="AC24" s="8">
        <f t="shared" si="6"/>
        <v>289500</v>
      </c>
    </row>
    <row r="25" spans="1:29" s="5" customFormat="1" ht="18" customHeight="1" x14ac:dyDescent="0.25">
      <c r="A25" s="7"/>
      <c r="F25" s="1"/>
      <c r="G25" s="3">
        <f t="shared" si="7"/>
        <v>46118</v>
      </c>
      <c r="H25" s="13">
        <v>37116</v>
      </c>
      <c r="I25" s="13">
        <v>0</v>
      </c>
      <c r="J25" s="13">
        <v>109381</v>
      </c>
      <c r="K25" s="13">
        <v>0</v>
      </c>
      <c r="M25" s="6" t="str">
        <f t="shared" si="0"/>
        <v/>
      </c>
      <c r="N25" s="6" cm="1">
        <f t="array" ref="N25">IF(H25="",_xlfn.LET(
    _xlpm.vals,_xlfn._xlws.FILTER($I$5:I24,$I$5:I24&lt;&gt;"",""),
    _xlpm.avgJ,IF(COUNTA(_xlpm.vals)=0,0,AVERAGE(_xlfn.TAKE(_xlpm.vals,-MIN(7,ROWS(_xlpm.vals))))),
    _xlpm.addship,IF(M25="",0,M25),
    IF(
        AND(H24="",H25=""),
        N24-_xlpm.avgJ+_xlpm.addship,
        IF(
            H25="",
            H24-_xlpm.avgJ+_xlpm.addship,
            ""
        )
    )
),H25)</f>
        <v>37116</v>
      </c>
      <c r="O25" s="6" t="str">
        <f t="shared" si="1"/>
        <v/>
      </c>
      <c r="P25" s="6" cm="1">
        <f t="array" ref="P25">IF(J25="",_xlfn.LET(
    _xlpm.vals,_xlfn._xlws.FILTER($K$5:K24,$K$5:K24&lt;&gt;"",""),
    _xlpm.avgJ,IF(COUNTA(_xlpm.vals)=0,0,AVERAGE(_xlfn.TAKE(_xlpm.vals,-MIN(7,ROWS(_xlpm.vals))))),
    _xlpm.addship,IF(O25="",0,O25),
    IF(
        AND(J24="",J25=""),
        P24-_xlpm.avgJ+_xlpm.addship,
        IF(
            J25="",
            J24-_xlpm.avgJ+_xlpm.addship,
            ""
        )
    )
),J25)</f>
        <v>109381</v>
      </c>
      <c r="Q25" s="7" t="str">
        <f t="shared" si="2"/>
        <v/>
      </c>
      <c r="Z25" s="8">
        <f t="shared" si="3"/>
        <v>26800</v>
      </c>
      <c r="AA25" s="8">
        <f t="shared" si="4"/>
        <v>357582</v>
      </c>
      <c r="AB25" s="8">
        <f t="shared" si="5"/>
        <v>16165</v>
      </c>
      <c r="AC25" s="8">
        <f t="shared" si="6"/>
        <v>289500</v>
      </c>
    </row>
    <row r="26" spans="1:29" s="5" customFormat="1" ht="18" customHeight="1" x14ac:dyDescent="0.25">
      <c r="F26" s="1"/>
      <c r="G26" s="3">
        <f t="shared" si="7"/>
        <v>46119</v>
      </c>
      <c r="H26" s="13"/>
      <c r="I26" s="13"/>
      <c r="J26" s="13"/>
      <c r="K26" s="13"/>
      <c r="M26" s="6" t="str">
        <f t="shared" si="0"/>
        <v/>
      </c>
      <c r="N26" s="6" cm="1">
        <f t="array" ref="N26">IF(H26="",_xlfn.LET(
    _xlpm.vals,_xlfn._xlws.FILTER($I$5:I25,$I$5:I25&lt;&gt;"",""),
    _xlpm.avgJ,IF(COUNTA(_xlpm.vals)=0,0,AVERAGE(_xlfn.TAKE(_xlpm.vals,-MIN(7,ROWS(_xlpm.vals))))),
    _xlpm.addship,IF(M26="",0,M26),
    IF(
        AND(H25="",H26=""),
        N25-_xlpm.avgJ+_xlpm.addship,
        IF(
            H26="",
            H25-_xlpm.avgJ+_xlpm.addship,
            ""
        )
    )
),H26)</f>
        <v>28158.857142857145</v>
      </c>
      <c r="O26" s="6" t="str">
        <f t="shared" si="1"/>
        <v/>
      </c>
      <c r="P26" s="6" cm="1">
        <f t="array" ref="P26">IF(J26="",_xlfn.LET(
    _xlpm.vals,_xlfn._xlws.FILTER($K$5:K25,$K$5:K25&lt;&gt;"",""),
    _xlpm.avgJ,IF(COUNTA(_xlpm.vals)=0,0,AVERAGE(_xlfn.TAKE(_xlpm.vals,-MIN(7,ROWS(_xlpm.vals))))),
    _xlpm.addship,IF(O26="",0,O26),
    IF(
        AND(J25="",J26=""),
        P25-_xlpm.avgJ+_xlpm.addship,
        IF(
            J26="",
            J25-_xlpm.avgJ+_xlpm.addship,
            ""
        )
    )
),J26)</f>
        <v>103352.42857142857</v>
      </c>
      <c r="Q26" s="7" t="str">
        <f t="shared" si="2"/>
        <v/>
      </c>
      <c r="Z26" s="8">
        <f t="shared" si="3"/>
        <v>26800</v>
      </c>
      <c r="AA26" s="8">
        <f t="shared" si="4"/>
        <v>357582</v>
      </c>
      <c r="AB26" s="8">
        <f t="shared" si="5"/>
        <v>16165</v>
      </c>
      <c r="AC26" s="8">
        <f t="shared" si="6"/>
        <v>289500</v>
      </c>
    </row>
    <row r="27" spans="1:29" s="5" customFormat="1" ht="18" customHeight="1" x14ac:dyDescent="0.25">
      <c r="F27" s="1"/>
      <c r="G27" s="3">
        <f t="shared" si="7"/>
        <v>46120</v>
      </c>
      <c r="H27" s="39"/>
      <c r="I27" s="39"/>
      <c r="J27" s="39"/>
      <c r="K27" s="39"/>
      <c r="L27" s="33"/>
      <c r="M27" s="6" t="str">
        <f t="shared" si="0"/>
        <v/>
      </c>
      <c r="N27" s="6" cm="1">
        <f t="array" ref="N27">IF(H27="",_xlfn.LET(
    _xlpm.vals,_xlfn._xlws.FILTER($I$5:I26,$I$5:I26&lt;&gt;"",""),
    _xlpm.avgJ,IF(COUNTA(_xlpm.vals)=0,0,AVERAGE(_xlfn.TAKE(_xlpm.vals,-MIN(7,ROWS(_xlpm.vals))))),
    _xlpm.addship,IF(M27="",0,M27),
    IF(
        AND(H26="",H27=""),
        N26-_xlpm.avgJ+_xlpm.addship,
        IF(
            H27="",
            H26-_xlpm.avgJ+_xlpm.addship,
            ""
        )
    )
),H27)</f>
        <v>19201.71428571429</v>
      </c>
      <c r="O27" s="6" t="str">
        <f t="shared" si="1"/>
        <v/>
      </c>
      <c r="P27" s="6" cm="1">
        <f t="array" ref="P27">IF(J27="",_xlfn.LET(
    _xlpm.vals,_xlfn._xlws.FILTER($K$5:K26,$K$5:K26&lt;&gt;"",""),
    _xlpm.avgJ,IF(COUNTA(_xlpm.vals)=0,0,AVERAGE(_xlfn.TAKE(_xlpm.vals,-MIN(7,ROWS(_xlpm.vals))))),
    _xlpm.addship,IF(O27="",0,O27),
    IF(
        AND(J26="",J27=""),
        P26-_xlpm.avgJ+_xlpm.addship,
        IF(
            J27="",
            J26-_xlpm.avgJ+_xlpm.addship,
            ""
        )
    )
),J27)</f>
        <v>97323.85714285713</v>
      </c>
      <c r="Q27" s="7" t="str">
        <f t="shared" si="2"/>
        <v>Petrol stock out</v>
      </c>
      <c r="Z27" s="8">
        <f t="shared" si="3"/>
        <v>26800</v>
      </c>
      <c r="AA27" s="8">
        <f t="shared" si="4"/>
        <v>357582</v>
      </c>
      <c r="AB27" s="8">
        <f t="shared" si="5"/>
        <v>16165</v>
      </c>
      <c r="AC27" s="8">
        <f t="shared" si="6"/>
        <v>289500</v>
      </c>
    </row>
    <row r="28" spans="1:29" s="5" customFormat="1" ht="18" customHeight="1" x14ac:dyDescent="0.25">
      <c r="A28" s="7"/>
      <c r="E28" s="7"/>
      <c r="F28" s="1"/>
      <c r="G28" s="3">
        <f t="shared" si="7"/>
        <v>46121</v>
      </c>
      <c r="H28" s="13"/>
      <c r="I28" s="13"/>
      <c r="J28" s="13"/>
      <c r="K28" s="13"/>
      <c r="M28" s="6" t="str">
        <f t="shared" si="0"/>
        <v/>
      </c>
      <c r="N28" s="6" cm="1">
        <f t="array" ref="N28">IF(H28="",_xlfn.LET(
    _xlpm.vals,_xlfn._xlws.FILTER($I$5:I27,$I$5:I27&lt;&gt;"",""),
    _xlpm.avgJ,IF(COUNTA(_xlpm.vals)=0,0,AVERAGE(_xlfn.TAKE(_xlpm.vals,-MIN(7,ROWS(_xlpm.vals))))),
    _xlpm.addship,IF(M28="",0,M28),
    IF(
        AND(H27="",H28=""),
        N27-_xlpm.avgJ+_xlpm.addship,
        IF(
            H28="",
            H27-_xlpm.avgJ+_xlpm.addship,
            ""
        )
    )
),H28)</f>
        <v>10244.571428571433</v>
      </c>
      <c r="O28" s="6" t="str">
        <f t="shared" si="1"/>
        <v/>
      </c>
      <c r="P28" s="6" cm="1">
        <f t="array" ref="P28">IF(J28="",_xlfn.LET(
    _xlpm.vals,_xlfn._xlws.FILTER($K$5:K27,$K$5:K27&lt;&gt;"",""),
    _xlpm.avgJ,IF(COUNTA(_xlpm.vals)=0,0,AVERAGE(_xlfn.TAKE(_xlpm.vals,-MIN(7,ROWS(_xlpm.vals))))),
    _xlpm.addship,IF(O28="",0,O28),
    IF(
        AND(J27="",J28=""),
        P27-_xlpm.avgJ+_xlpm.addship,
        IF(
            J28="",
            J27-_xlpm.avgJ+_xlpm.addship,
            ""
        )
    )
),J28)</f>
        <v>91295.285714285696</v>
      </c>
      <c r="Q28" s="7" t="str">
        <f t="shared" si="2"/>
        <v>Petrol stock out</v>
      </c>
      <c r="Z28" s="8">
        <f t="shared" si="3"/>
        <v>26800</v>
      </c>
      <c r="AA28" s="8">
        <f t="shared" si="4"/>
        <v>357582</v>
      </c>
      <c r="AB28" s="8">
        <f t="shared" si="5"/>
        <v>16165</v>
      </c>
      <c r="AC28" s="8">
        <f t="shared" si="6"/>
        <v>289500</v>
      </c>
    </row>
    <row r="29" spans="1:29" s="5" customFormat="1" ht="18" customHeight="1" x14ac:dyDescent="0.25">
      <c r="A29" s="7"/>
      <c r="E29" s="7"/>
      <c r="F29" s="1"/>
      <c r="G29" s="3">
        <f t="shared" si="7"/>
        <v>46122</v>
      </c>
      <c r="H29" s="13"/>
      <c r="I29" s="13"/>
      <c r="J29" s="13"/>
      <c r="K29" s="13"/>
      <c r="M29" s="6" t="str">
        <f t="shared" si="0"/>
        <v/>
      </c>
      <c r="N29" s="6" cm="1">
        <f t="array" ref="N29">IF(H29="",_xlfn.LET(
    _xlpm.vals,_xlfn._xlws.FILTER($I$5:I28,$I$5:I28&lt;&gt;"",""),
    _xlpm.avgJ,IF(COUNTA(_xlpm.vals)=0,0,AVERAGE(_xlfn.TAKE(_xlpm.vals,-MIN(7,ROWS(_xlpm.vals))))),
    _xlpm.addship,IF(M29="",0,M29),
    IF(
        AND(H28="",H29=""),
        N28-_xlpm.avgJ+_xlpm.addship,
        IF(
            H29="",
            H28-_xlpm.avgJ+_xlpm.addship,
            ""
        )
    )
),H29)</f>
        <v>1287.4285714285761</v>
      </c>
      <c r="O29" s="6" t="str">
        <f t="shared" si="1"/>
        <v/>
      </c>
      <c r="P29" s="6" cm="1">
        <f t="array" ref="P29">IF(J29="",_xlfn.LET(
    _xlpm.vals,_xlfn._xlws.FILTER($K$5:K28,$K$5:K28&lt;&gt;"",""),
    _xlpm.avgJ,IF(COUNTA(_xlpm.vals)=0,0,AVERAGE(_xlfn.TAKE(_xlpm.vals,-MIN(7,ROWS(_xlpm.vals))))),
    _xlpm.addship,IF(O29="",0,O29),
    IF(
        AND(J28="",J29=""),
        P28-_xlpm.avgJ+_xlpm.addship,
        IF(
            J29="",
            J28-_xlpm.avgJ+_xlpm.addship,
            ""
        )
    )
),J29)</f>
        <v>85266.714285714261</v>
      </c>
      <c r="Q29" s="7" t="str">
        <f t="shared" si="2"/>
        <v>Petrol stock out</v>
      </c>
      <c r="Z29" s="8">
        <f t="shared" si="3"/>
        <v>26800</v>
      </c>
      <c r="AA29" s="8">
        <f t="shared" si="4"/>
        <v>357582</v>
      </c>
      <c r="AB29" s="8">
        <f t="shared" si="5"/>
        <v>16165</v>
      </c>
      <c r="AC29" s="8">
        <f t="shared" si="6"/>
        <v>289500</v>
      </c>
    </row>
    <row r="30" spans="1:29" s="5" customFormat="1" ht="14.3" x14ac:dyDescent="0.25">
      <c r="A30" s="7"/>
      <c r="E30" s="7"/>
      <c r="F30" s="7"/>
      <c r="G30" s="3">
        <f t="shared" si="7"/>
        <v>46123</v>
      </c>
      <c r="H30" s="13"/>
      <c r="I30" s="13"/>
      <c r="J30" s="13"/>
      <c r="K30" s="13"/>
      <c r="M30" s="6" t="str">
        <f t="shared" si="0"/>
        <v/>
      </c>
      <c r="N30" s="6" cm="1">
        <f t="array" ref="N30">IF(H30="",_xlfn.LET(
    _xlpm.vals,_xlfn._xlws.FILTER($I$5:I29,$I$5:I29&lt;&gt;"",""),
    _xlpm.avgJ,IF(COUNTA(_xlpm.vals)=0,0,AVERAGE(_xlfn.TAKE(_xlpm.vals,-MIN(7,ROWS(_xlpm.vals))))),
    _xlpm.addship,IF(M30="",0,M30),
    IF(
        AND(H29="",H30=""),
        N29-_xlpm.avgJ+_xlpm.addship,
        IF(
            H30="",
            H29-_xlpm.avgJ+_xlpm.addship,
            ""
        )
    )
),H30)</f>
        <v>-7669.7142857142808</v>
      </c>
      <c r="O30" s="6" t="str">
        <f t="shared" si="1"/>
        <v/>
      </c>
      <c r="P30" s="6" cm="1">
        <f t="array" ref="P30">IF(J30="",_xlfn.LET(
    _xlpm.vals,_xlfn._xlws.FILTER($K$5:K29,$K$5:K29&lt;&gt;"",""),
    _xlpm.avgJ,IF(COUNTA(_xlpm.vals)=0,0,AVERAGE(_xlfn.TAKE(_xlpm.vals,-MIN(7,ROWS(_xlpm.vals))))),
    _xlpm.addship,IF(O30="",0,O30),
    IF(
        AND(J29="",J30=""),
        P29-_xlpm.avgJ+_xlpm.addship,
        IF(
            J30="",
            J29-_xlpm.avgJ+_xlpm.addship,
            ""
        )
    )
),J30)</f>
        <v>79238.142857142826</v>
      </c>
      <c r="Q30" s="7" t="str">
        <f t="shared" si="2"/>
        <v>Petrol stock out</v>
      </c>
      <c r="Z30" s="8">
        <f t="shared" si="3"/>
        <v>26800</v>
      </c>
      <c r="AA30" s="8">
        <f t="shared" si="4"/>
        <v>357582</v>
      </c>
      <c r="AB30" s="8">
        <f t="shared" si="5"/>
        <v>16165</v>
      </c>
      <c r="AC30" s="8">
        <f t="shared" si="6"/>
        <v>289500</v>
      </c>
    </row>
    <row r="31" spans="1:29" s="5" customFormat="1" ht="18" customHeight="1" x14ac:dyDescent="0.25">
      <c r="A31" s="7"/>
      <c r="E31" s="7"/>
      <c r="G31" s="3">
        <f t="shared" si="7"/>
        <v>46124</v>
      </c>
      <c r="H31" s="13"/>
      <c r="I31" s="13"/>
      <c r="J31" s="13"/>
      <c r="K31" s="13"/>
      <c r="M31" s="6" t="str">
        <f t="shared" si="0"/>
        <v/>
      </c>
      <c r="N31" s="6" cm="1">
        <f t="array" ref="N31">IF(H31="",_xlfn.LET(
    _xlpm.vals,_xlfn._xlws.FILTER($I$5:I30,$I$5:I30&lt;&gt;"",""),
    _xlpm.avgJ,IF(COUNTA(_xlpm.vals)=0,0,AVERAGE(_xlfn.TAKE(_xlpm.vals,-MIN(7,ROWS(_xlpm.vals))))),
    _xlpm.addship,IF(M31="",0,M31),
    IF(
        AND(H30="",H31=""),
        N30-_xlpm.avgJ+_xlpm.addship,
        IF(
            H31="",
            H30-_xlpm.avgJ+_xlpm.addship,
            ""
        )
    )
),H31)</f>
        <v>-16626.857142857138</v>
      </c>
      <c r="O31" s="6" t="str">
        <f t="shared" si="1"/>
        <v/>
      </c>
      <c r="P31" s="6" cm="1">
        <f t="array" ref="P31">IF(J31="",_xlfn.LET(
    _xlpm.vals,_xlfn._xlws.FILTER($K$5:K30,$K$5:K30&lt;&gt;"",""),
    _xlpm.avgJ,IF(COUNTA(_xlpm.vals)=0,0,AVERAGE(_xlfn.TAKE(_xlpm.vals,-MIN(7,ROWS(_xlpm.vals))))),
    _xlpm.addship,IF(O31="",0,O31),
    IF(
        AND(J30="",J31=""),
        P30-_xlpm.avgJ+_xlpm.addship,
        IF(
            J31="",
            J30-_xlpm.avgJ+_xlpm.addship,
            ""
        )
    )
),J31)</f>
        <v>73209.571428571391</v>
      </c>
      <c r="Q31" s="7" t="str">
        <f t="shared" si="2"/>
        <v>Petrol stock out</v>
      </c>
      <c r="Z31" s="8">
        <f t="shared" si="3"/>
        <v>26800</v>
      </c>
      <c r="AA31" s="8">
        <f t="shared" si="4"/>
        <v>357582</v>
      </c>
      <c r="AB31" s="8">
        <f t="shared" si="5"/>
        <v>16165</v>
      </c>
      <c r="AC31" s="8">
        <f t="shared" si="6"/>
        <v>289500</v>
      </c>
    </row>
    <row r="32" spans="1:29" s="5" customFormat="1" ht="18" customHeight="1" x14ac:dyDescent="0.25">
      <c r="A32" s="7"/>
      <c r="E32" s="7"/>
      <c r="G32" s="3">
        <f t="shared" si="7"/>
        <v>46125</v>
      </c>
      <c r="H32" s="13"/>
      <c r="I32" s="13"/>
      <c r="J32" s="13"/>
      <c r="K32" s="13"/>
      <c r="M32" s="6" t="str">
        <f t="shared" si="0"/>
        <v/>
      </c>
      <c r="N32" s="6" cm="1">
        <f t="array" ref="N32">IF(H32="",_xlfn.LET(
    _xlpm.vals,_xlfn._xlws.FILTER($I$5:I31,$I$5:I31&lt;&gt;"",""),
    _xlpm.avgJ,IF(COUNTA(_xlpm.vals)=0,0,AVERAGE(_xlfn.TAKE(_xlpm.vals,-MIN(7,ROWS(_xlpm.vals))))),
    _xlpm.addship,IF(M32="",0,M32),
    IF(
        AND(H31="",H32=""),
        N31-_xlpm.avgJ+_xlpm.addship,
        IF(
            H32="",
            H31-_xlpm.avgJ+_xlpm.addship,
            ""
        )
    )
),H32)</f>
        <v>-25583.999999999993</v>
      </c>
      <c r="O32" s="6" t="str">
        <f t="shared" si="1"/>
        <v/>
      </c>
      <c r="P32" s="6" cm="1">
        <f t="array" ref="P32">IF(J32="",_xlfn.LET(
    _xlpm.vals,_xlfn._xlws.FILTER($K$5:K31,$K$5:K31&lt;&gt;"",""),
    _xlpm.avgJ,IF(COUNTA(_xlpm.vals)=0,0,AVERAGE(_xlfn.TAKE(_xlpm.vals,-MIN(7,ROWS(_xlpm.vals))))),
    _xlpm.addship,IF(O32="",0,O32),
    IF(
        AND(J31="",J32=""),
        P31-_xlpm.avgJ+_xlpm.addship,
        IF(
            J32="",
            J31-_xlpm.avgJ+_xlpm.addship,
            ""
        )
    )
),J32)</f>
        <v>67180.999999999956</v>
      </c>
      <c r="Q32" s="7" t="str">
        <f t="shared" si="2"/>
        <v>Petrol stock out</v>
      </c>
      <c r="Z32" s="8">
        <f t="shared" si="3"/>
        <v>26800</v>
      </c>
      <c r="AA32" s="8">
        <f t="shared" si="4"/>
        <v>357582</v>
      </c>
      <c r="AB32" s="8">
        <f t="shared" si="5"/>
        <v>16165</v>
      </c>
      <c r="AC32" s="8">
        <f t="shared" si="6"/>
        <v>289500</v>
      </c>
    </row>
    <row r="33" spans="1:29" s="5" customFormat="1" ht="18" customHeight="1" x14ac:dyDescent="0.25">
      <c r="A33" s="7"/>
      <c r="E33" s="7"/>
      <c r="G33" s="3">
        <f t="shared" si="7"/>
        <v>46126</v>
      </c>
      <c r="H33" s="13"/>
      <c r="I33" s="13"/>
      <c r="J33" s="13"/>
      <c r="K33" s="13"/>
      <c r="M33" s="6" t="str">
        <f t="shared" si="0"/>
        <v/>
      </c>
      <c r="N33" s="6" cm="1">
        <f t="array" ref="N33">IF(H33="",_xlfn.LET(
    _xlpm.vals,_xlfn._xlws.FILTER($I$5:I32,$I$5:I32&lt;&gt;"",""),
    _xlpm.avgJ,IF(COUNTA(_xlpm.vals)=0,0,AVERAGE(_xlfn.TAKE(_xlpm.vals,-MIN(7,ROWS(_xlpm.vals))))),
    _xlpm.addship,IF(M33="",0,M33),
    IF(
        AND(H32="",H33=""),
        N32-_xlpm.avgJ+_xlpm.addship,
        IF(
            H33="",
            H32-_xlpm.avgJ+_xlpm.addship,
            ""
        )
    )
),H33)</f>
        <v>-34541.142857142848</v>
      </c>
      <c r="O33" s="6" t="str">
        <f t="shared" si="1"/>
        <v/>
      </c>
      <c r="P33" s="6" cm="1">
        <f t="array" ref="P33">IF(J33="",_xlfn.LET(
    _xlpm.vals,_xlfn._xlws.FILTER($K$5:K32,$K$5:K32&lt;&gt;"",""),
    _xlpm.avgJ,IF(COUNTA(_xlpm.vals)=0,0,AVERAGE(_xlfn.TAKE(_xlpm.vals,-MIN(7,ROWS(_xlpm.vals))))),
    _xlpm.addship,IF(O33="",0,O33),
    IF(
        AND(J32="",J33=""),
        P32-_xlpm.avgJ+_xlpm.addship,
        IF(
            J33="",
            J32-_xlpm.avgJ+_xlpm.addship,
            ""
        )
    )
),J33)</f>
        <v>61152.428571428529</v>
      </c>
      <c r="Q33" s="7" t="str">
        <f t="shared" si="2"/>
        <v>Petrol stock out</v>
      </c>
      <c r="Z33" s="8">
        <f t="shared" si="3"/>
        <v>26800</v>
      </c>
      <c r="AA33" s="8">
        <f t="shared" si="4"/>
        <v>357582</v>
      </c>
      <c r="AB33" s="8">
        <f t="shared" si="5"/>
        <v>16165</v>
      </c>
      <c r="AC33" s="8">
        <f t="shared" si="6"/>
        <v>289500</v>
      </c>
    </row>
    <row r="34" spans="1:29" s="5" customFormat="1" ht="18" customHeight="1" x14ac:dyDescent="0.25">
      <c r="A34" s="7"/>
      <c r="E34" s="42"/>
      <c r="G34" s="3">
        <f t="shared" si="7"/>
        <v>46127</v>
      </c>
      <c r="H34" s="13"/>
      <c r="I34" s="13"/>
      <c r="J34" s="13"/>
      <c r="K34" s="13"/>
      <c r="M34" s="6" t="str">
        <f t="shared" si="0"/>
        <v/>
      </c>
      <c r="N34" s="6" cm="1">
        <f t="array" ref="N34">IF(H34="",_xlfn.LET(
    _xlpm.vals,_xlfn._xlws.FILTER($I$5:I33,$I$5:I33&lt;&gt;"",""),
    _xlpm.avgJ,IF(COUNTA(_xlpm.vals)=0,0,AVERAGE(_xlfn.TAKE(_xlpm.vals,-MIN(7,ROWS(_xlpm.vals))))),
    _xlpm.addship,IF(M34="",0,M34),
    IF(
        AND(H33="",H34=""),
        N33-_xlpm.avgJ+_xlpm.addship,
        IF(
            H34="",
            H33-_xlpm.avgJ+_xlpm.addship,
            ""
        )
    )
),H34)</f>
        <v>-43498.285714285703</v>
      </c>
      <c r="O34" s="6" t="str">
        <f t="shared" si="1"/>
        <v/>
      </c>
      <c r="P34" s="6" cm="1">
        <f t="array" ref="P34">IF(J34="",_xlfn.LET(
    _xlpm.vals,_xlfn._xlws.FILTER($K$5:K33,$K$5:K33&lt;&gt;"",""),
    _xlpm.avgJ,IF(COUNTA(_xlpm.vals)=0,0,AVERAGE(_xlfn.TAKE(_xlpm.vals,-MIN(7,ROWS(_xlpm.vals))))),
    _xlpm.addship,IF(O34="",0,O34),
    IF(
        AND(J33="",J34=""),
        P33-_xlpm.avgJ+_xlpm.addship,
        IF(
            J34="",
            J33-_xlpm.avgJ+_xlpm.addship,
            ""
        )
    )
),J34)</f>
        <v>55123.857142857101</v>
      </c>
      <c r="Q34" s="7" t="str">
        <f t="shared" si="2"/>
        <v>Petrol stock out</v>
      </c>
      <c r="Z34" s="8">
        <f t="shared" si="3"/>
        <v>26800</v>
      </c>
      <c r="AA34" s="8">
        <f t="shared" si="4"/>
        <v>357582</v>
      </c>
      <c r="AB34" s="8">
        <f t="shared" si="5"/>
        <v>16165</v>
      </c>
      <c r="AC34" s="8">
        <f t="shared" si="6"/>
        <v>289500</v>
      </c>
    </row>
    <row r="35" spans="1:29" s="5" customFormat="1" ht="18" customHeight="1" x14ac:dyDescent="0.25">
      <c r="A35" s="7"/>
      <c r="E35" s="7"/>
      <c r="G35" s="3">
        <f t="shared" si="7"/>
        <v>46128</v>
      </c>
      <c r="H35" s="13"/>
      <c r="I35" s="13"/>
      <c r="J35" s="13"/>
      <c r="K35" s="13"/>
      <c r="M35" s="6" t="str">
        <f t="shared" si="0"/>
        <v/>
      </c>
      <c r="N35" s="6" cm="1">
        <f t="array" ref="N35">IF(H35="",_xlfn.LET(
    _xlpm.vals,_xlfn._xlws.FILTER($I$5:I34,$I$5:I34&lt;&gt;"",""),
    _xlpm.avgJ,IF(COUNTA(_xlpm.vals)=0,0,AVERAGE(_xlfn.TAKE(_xlpm.vals,-MIN(7,ROWS(_xlpm.vals))))),
    _xlpm.addship,IF(M35="",0,M35),
    IF(
        AND(H34="",H35=""),
        N34-_xlpm.avgJ+_xlpm.addship,
        IF(
            H35="",
            H34-_xlpm.avgJ+_xlpm.addship,
            ""
        )
    )
),H35)</f>
        <v>-52455.428571428558</v>
      </c>
      <c r="O35" s="6" t="str">
        <f t="shared" si="1"/>
        <v/>
      </c>
      <c r="P35" s="6" cm="1">
        <f t="array" ref="P35">IF(J35="",_xlfn.LET(
    _xlpm.vals,_xlfn._xlws.FILTER($K$5:K34,$K$5:K34&lt;&gt;"",""),
    _xlpm.avgJ,IF(COUNTA(_xlpm.vals)=0,0,AVERAGE(_xlfn.TAKE(_xlpm.vals,-MIN(7,ROWS(_xlpm.vals))))),
    _xlpm.addship,IF(O35="",0,O35),
    IF(
        AND(J34="",J35=""),
        P34-_xlpm.avgJ+_xlpm.addship,
        IF(
            J35="",
            J34-_xlpm.avgJ+_xlpm.addship,
            ""
        )
    )
),J35)</f>
        <v>49095.285714285674</v>
      </c>
      <c r="Q35" s="7" t="str">
        <f t="shared" si="2"/>
        <v>Petrol stock out</v>
      </c>
      <c r="Z35" s="8">
        <f t="shared" si="3"/>
        <v>26800</v>
      </c>
      <c r="AA35" s="8">
        <f t="shared" si="4"/>
        <v>357582</v>
      </c>
      <c r="AB35" s="8">
        <f t="shared" si="5"/>
        <v>16165</v>
      </c>
      <c r="AC35" s="8">
        <f t="shared" si="6"/>
        <v>289500</v>
      </c>
    </row>
    <row r="36" spans="1:29" s="5" customFormat="1" ht="18" customHeight="1" x14ac:dyDescent="0.25">
      <c r="A36" s="7"/>
      <c r="E36" s="7"/>
      <c r="G36" s="3">
        <f t="shared" si="7"/>
        <v>46129</v>
      </c>
      <c r="H36" s="13"/>
      <c r="I36" s="13"/>
      <c r="J36" s="13"/>
      <c r="K36" s="13"/>
      <c r="M36" s="6" t="str">
        <f t="shared" si="0"/>
        <v/>
      </c>
      <c r="N36" s="6" cm="1">
        <f t="array" ref="N36">IF(H36="",_xlfn.LET(
    _xlpm.vals,_xlfn._xlws.FILTER($I$5:I35,$I$5:I35&lt;&gt;"",""),
    _xlpm.avgJ,IF(COUNTA(_xlpm.vals)=0,0,AVERAGE(_xlfn.TAKE(_xlpm.vals,-MIN(7,ROWS(_xlpm.vals))))),
    _xlpm.addship,IF(M36="",0,M36),
    IF(
        AND(H35="",H36=""),
        N35-_xlpm.avgJ+_xlpm.addship,
        IF(
            H36="",
            H35-_xlpm.avgJ+_xlpm.addship,
            ""
        )
    )
),H36)</f>
        <v>-61412.571428571413</v>
      </c>
      <c r="O36" s="6" t="str">
        <f t="shared" si="1"/>
        <v/>
      </c>
      <c r="P36" s="6" cm="1">
        <f t="array" ref="P36">IF(J36="",_xlfn.LET(
    _xlpm.vals,_xlfn._xlws.FILTER($K$5:K35,$K$5:K35&lt;&gt;"",""),
    _xlpm.avgJ,IF(COUNTA(_xlpm.vals)=0,0,AVERAGE(_xlfn.TAKE(_xlpm.vals,-MIN(7,ROWS(_xlpm.vals))))),
    _xlpm.addship,IF(O36="",0,O36),
    IF(
        AND(J35="",J36=""),
        P35-_xlpm.avgJ+_xlpm.addship,
        IF(
            J36="",
            J35-_xlpm.avgJ+_xlpm.addship,
            ""
        )
    )
),J36)</f>
        <v>43066.714285714246</v>
      </c>
      <c r="Q36" s="7" t="str">
        <f t="shared" si="2"/>
        <v>Petrol stock out</v>
      </c>
      <c r="Z36" s="8">
        <f t="shared" si="3"/>
        <v>26800</v>
      </c>
      <c r="AA36" s="8">
        <f t="shared" si="4"/>
        <v>357582</v>
      </c>
      <c r="AB36" s="8">
        <f t="shared" si="5"/>
        <v>16165</v>
      </c>
      <c r="AC36" s="8">
        <f t="shared" si="6"/>
        <v>289500</v>
      </c>
    </row>
    <row r="37" spans="1:29" s="5" customFormat="1" ht="18" customHeight="1" x14ac:dyDescent="0.25">
      <c r="A37" s="7"/>
      <c r="E37" s="7"/>
      <c r="G37" s="3">
        <f t="shared" si="7"/>
        <v>46130</v>
      </c>
      <c r="H37" s="13"/>
      <c r="I37" s="13"/>
      <c r="J37" s="13"/>
      <c r="K37" s="13"/>
      <c r="M37" s="6" t="str">
        <f t="shared" si="0"/>
        <v/>
      </c>
      <c r="N37" s="6" cm="1">
        <f t="array" ref="N37">IF(H37="",_xlfn.LET(
    _xlpm.vals,_xlfn._xlws.FILTER($I$5:I36,$I$5:I36&lt;&gt;"",""),
    _xlpm.avgJ,IF(COUNTA(_xlpm.vals)=0,0,AVERAGE(_xlfn.TAKE(_xlpm.vals,-MIN(7,ROWS(_xlpm.vals))))),
    _xlpm.addship,IF(M37="",0,M37),
    IF(
        AND(H36="",H37=""),
        N36-_xlpm.avgJ+_xlpm.addship,
        IF(
            H37="",
            H36-_xlpm.avgJ+_xlpm.addship,
            ""
        )
    )
),H37)</f>
        <v>-70369.714285714275</v>
      </c>
      <c r="O37" s="6" t="str">
        <f t="shared" si="1"/>
        <v/>
      </c>
      <c r="P37" s="6" cm="1">
        <f t="array" ref="P37">IF(J37="",_xlfn.LET(
    _xlpm.vals,_xlfn._xlws.FILTER($K$5:K36,$K$5:K36&lt;&gt;"",""),
    _xlpm.avgJ,IF(COUNTA(_xlpm.vals)=0,0,AVERAGE(_xlfn.TAKE(_xlpm.vals,-MIN(7,ROWS(_xlpm.vals))))),
    _xlpm.addship,IF(O37="",0,O37),
    IF(
        AND(J36="",J37=""),
        P36-_xlpm.avgJ+_xlpm.addship,
        IF(
            J37="",
            J36-_xlpm.avgJ+_xlpm.addship,
            ""
        )
    )
),J37)</f>
        <v>37038.142857142819</v>
      </c>
      <c r="Q37" s="7" t="str">
        <f t="shared" si="2"/>
        <v>Petrol stock out</v>
      </c>
      <c r="Z37" s="8">
        <f t="shared" si="3"/>
        <v>26800</v>
      </c>
      <c r="AA37" s="8">
        <f t="shared" si="4"/>
        <v>357582</v>
      </c>
      <c r="AB37" s="8">
        <f t="shared" si="5"/>
        <v>16165</v>
      </c>
      <c r="AC37" s="8">
        <f t="shared" si="6"/>
        <v>289500</v>
      </c>
    </row>
    <row r="38" spans="1:29" s="5" customFormat="1" ht="18" customHeight="1" x14ac:dyDescent="0.25">
      <c r="A38" s="7"/>
      <c r="E38" s="7"/>
      <c r="G38" s="3">
        <f t="shared" si="7"/>
        <v>46131</v>
      </c>
      <c r="H38" s="13"/>
      <c r="I38" s="13"/>
      <c r="J38" s="13"/>
      <c r="K38" s="13"/>
      <c r="M38" s="6" t="str">
        <f t="shared" si="0"/>
        <v/>
      </c>
      <c r="N38" s="6" cm="1">
        <f t="array" ref="N38">IF(H38="",_xlfn.LET(
    _xlpm.vals,_xlfn._xlws.FILTER($I$5:I37,$I$5:I37&lt;&gt;"",""),
    _xlpm.avgJ,IF(COUNTA(_xlpm.vals)=0,0,AVERAGE(_xlfn.TAKE(_xlpm.vals,-MIN(7,ROWS(_xlpm.vals))))),
    _xlpm.addship,IF(M38="",0,M38),
    IF(
        AND(H37="",H38=""),
        N37-_xlpm.avgJ+_xlpm.addship,
        IF(
            H38="",
            H37-_xlpm.avgJ+_xlpm.addship,
            ""
        )
    )
),H38)</f>
        <v>-79326.85714285713</v>
      </c>
      <c r="O38" s="6" t="str">
        <f t="shared" si="1"/>
        <v/>
      </c>
      <c r="P38" s="6" cm="1">
        <f t="array" ref="P38">IF(J38="",_xlfn.LET(
    _xlpm.vals,_xlfn._xlws.FILTER($K$5:K37,$K$5:K37&lt;&gt;"",""),
    _xlpm.avgJ,IF(COUNTA(_xlpm.vals)=0,0,AVERAGE(_xlfn.TAKE(_xlpm.vals,-MIN(7,ROWS(_xlpm.vals))))),
    _xlpm.addship,IF(O38="",0,O38),
    IF(
        AND(J37="",J38=""),
        P37-_xlpm.avgJ+_xlpm.addship,
        IF(
            J38="",
            J37-_xlpm.avgJ+_xlpm.addship,
            ""
        )
    )
),J38)</f>
        <v>31009.571428571391</v>
      </c>
      <c r="Q38" s="7" t="str">
        <f t="shared" si="2"/>
        <v>Petrol stock out</v>
      </c>
      <c r="Z38" s="8">
        <f t="shared" si="3"/>
        <v>26800</v>
      </c>
      <c r="AA38" s="8">
        <f t="shared" si="4"/>
        <v>357582</v>
      </c>
      <c r="AB38" s="8">
        <f t="shared" si="5"/>
        <v>16165</v>
      </c>
      <c r="AC38" s="8">
        <f t="shared" si="6"/>
        <v>289500</v>
      </c>
    </row>
    <row r="39" spans="1:29" s="5" customFormat="1" ht="18" customHeight="1" x14ac:dyDescent="0.25">
      <c r="A39" s="7"/>
      <c r="E39" s="7"/>
      <c r="G39" s="3">
        <f t="shared" si="7"/>
        <v>46132</v>
      </c>
      <c r="H39" s="13"/>
      <c r="I39" s="13"/>
      <c r="J39" s="13"/>
      <c r="K39" s="13"/>
      <c r="M39" s="6" t="str">
        <f t="shared" si="0"/>
        <v/>
      </c>
      <c r="N39" s="6" cm="1">
        <f t="array" ref="N39">IF(H39="",_xlfn.LET(
    _xlpm.vals,_xlfn._xlws.FILTER($I$5:I38,$I$5:I38&lt;&gt;"",""),
    _xlpm.avgJ,IF(COUNTA(_xlpm.vals)=0,0,AVERAGE(_xlfn.TAKE(_xlpm.vals,-MIN(7,ROWS(_xlpm.vals))))),
    _xlpm.addship,IF(M39="",0,M39),
    IF(
        AND(H38="",H39=""),
        N38-_xlpm.avgJ+_xlpm.addship,
        IF(
            H39="",
            H38-_xlpm.avgJ+_xlpm.addship,
            ""
        )
    )
),H39)</f>
        <v>-88283.999999999985</v>
      </c>
      <c r="O39" s="6" t="str">
        <f t="shared" si="1"/>
        <v/>
      </c>
      <c r="P39" s="6" cm="1">
        <f t="array" ref="P39">IF(J39="",_xlfn.LET(
    _xlpm.vals,_xlfn._xlws.FILTER($K$5:K38,$K$5:K38&lt;&gt;"",""),
    _xlpm.avgJ,IF(COUNTA(_xlpm.vals)=0,0,AVERAGE(_xlfn.TAKE(_xlpm.vals,-MIN(7,ROWS(_xlpm.vals))))),
    _xlpm.addship,IF(O39="",0,O39),
    IF(
        AND(J38="",J39=""),
        P38-_xlpm.avgJ+_xlpm.addship,
        IF(
            J39="",
            J38-_xlpm.avgJ+_xlpm.addship,
            ""
        )
    )
),J39)</f>
        <v>24980.999999999964</v>
      </c>
      <c r="Q39" s="7" t="str">
        <f t="shared" si="2"/>
        <v>Petrol stock out</v>
      </c>
      <c r="Z39" s="8">
        <f t="shared" si="3"/>
        <v>26800</v>
      </c>
      <c r="AA39" s="8">
        <f t="shared" si="4"/>
        <v>357582</v>
      </c>
      <c r="AB39" s="8">
        <f t="shared" si="5"/>
        <v>16165</v>
      </c>
      <c r="AC39" s="8">
        <f t="shared" si="6"/>
        <v>289500</v>
      </c>
    </row>
    <row r="40" spans="1:29" s="5" customFormat="1" ht="18" customHeight="1" x14ac:dyDescent="0.25">
      <c r="A40" s="7"/>
      <c r="E40" s="7"/>
      <c r="G40" s="3">
        <f t="shared" si="7"/>
        <v>46133</v>
      </c>
      <c r="H40" s="13"/>
      <c r="I40" s="13"/>
      <c r="J40" s="13"/>
      <c r="K40" s="13"/>
      <c r="M40" s="6" t="str">
        <f t="shared" si="0"/>
        <v/>
      </c>
      <c r="N40" s="6" cm="1">
        <f t="array" ref="N40">IF(H40="",_xlfn.LET(
    _xlpm.vals,_xlfn._xlws.FILTER($I$5:I39,$I$5:I39&lt;&gt;"",""),
    _xlpm.avgJ,IF(COUNTA(_xlpm.vals)=0,0,AVERAGE(_xlfn.TAKE(_xlpm.vals,-MIN(7,ROWS(_xlpm.vals))))),
    _xlpm.addship,IF(M40="",0,M40),
    IF(
        AND(H39="",H40=""),
        N39-_xlpm.avgJ+_xlpm.addship,
        IF(
            H40="",
            H39-_xlpm.avgJ+_xlpm.addship,
            ""
        )
    )
),H40)</f>
        <v>-97241.142857142841</v>
      </c>
      <c r="O40" s="6" t="str">
        <f t="shared" si="1"/>
        <v/>
      </c>
      <c r="P40" s="6" cm="1">
        <f t="array" ref="P40">IF(J40="",_xlfn.LET(
    _xlpm.vals,_xlfn._xlws.FILTER($K$5:K39,$K$5:K39&lt;&gt;"",""),
    _xlpm.avgJ,IF(COUNTA(_xlpm.vals)=0,0,AVERAGE(_xlfn.TAKE(_xlpm.vals,-MIN(7,ROWS(_xlpm.vals))))),
    _xlpm.addship,IF(O40="",0,O40),
    IF(
        AND(J39="",J40=""),
        P39-_xlpm.avgJ+_xlpm.addship,
        IF(
            J40="",
            J39-_xlpm.avgJ+_xlpm.addship,
            ""
        )
    )
),J40)</f>
        <v>18952.428571428536</v>
      </c>
      <c r="Q40" s="7" t="str">
        <f t="shared" si="2"/>
        <v>Petrol stock out</v>
      </c>
      <c r="Z40" s="8">
        <f t="shared" si="3"/>
        <v>26800</v>
      </c>
      <c r="AA40" s="8">
        <f t="shared" si="4"/>
        <v>357582</v>
      </c>
      <c r="AB40" s="8">
        <f t="shared" si="5"/>
        <v>16165</v>
      </c>
      <c r="AC40" s="8">
        <f t="shared" si="6"/>
        <v>289500</v>
      </c>
    </row>
    <row r="41" spans="1:29" s="5" customFormat="1" ht="18" customHeight="1" x14ac:dyDescent="0.25">
      <c r="A41" s="7"/>
      <c r="E41" s="7"/>
      <c r="G41" s="3">
        <f t="shared" si="7"/>
        <v>46134</v>
      </c>
      <c r="H41" s="13"/>
      <c r="I41" s="13"/>
      <c r="J41" s="13"/>
      <c r="K41" s="13"/>
      <c r="M41" s="6" t="str">
        <f t="shared" si="0"/>
        <v/>
      </c>
      <c r="N41" s="6" cm="1">
        <f t="array" ref="N41">IF(H41="",_xlfn.LET(
    _xlpm.vals,_xlfn._xlws.FILTER($I$5:I40,$I$5:I40&lt;&gt;"",""),
    _xlpm.avgJ,IF(COUNTA(_xlpm.vals)=0,0,AVERAGE(_xlfn.TAKE(_xlpm.vals,-MIN(7,ROWS(_xlpm.vals))))),
    _xlpm.addship,IF(M41="",0,M41),
    IF(
        AND(H40="",H41=""),
        N40-_xlpm.avgJ+_xlpm.addship,
        IF(
            H41="",
            H40-_xlpm.avgJ+_xlpm.addship,
            ""
        )
    )
),H41)</f>
        <v>-106198.2857142857</v>
      </c>
      <c r="O41" s="6" t="str">
        <f t="shared" si="1"/>
        <v/>
      </c>
      <c r="P41" s="6" cm="1">
        <f t="array" ref="P41">IF(J41="",_xlfn.LET(
    _xlpm.vals,_xlfn._xlws.FILTER($K$5:K40,$K$5:K40&lt;&gt;"",""),
    _xlpm.avgJ,IF(COUNTA(_xlpm.vals)=0,0,AVERAGE(_xlfn.TAKE(_xlpm.vals,-MIN(7,ROWS(_xlpm.vals))))),
    _xlpm.addship,IF(O41="",0,O41),
    IF(
        AND(J40="",J41=""),
        P40-_xlpm.avgJ+_xlpm.addship,
        IF(
            J41="",
            J40-_xlpm.avgJ+_xlpm.addship,
            ""
        )
    )
),J41)</f>
        <v>12923.857142857109</v>
      </c>
      <c r="Q41" s="7" t="str">
        <f t="shared" si="2"/>
        <v>Petrol stock out | Diesel stock out</v>
      </c>
      <c r="Z41" s="8">
        <f t="shared" si="3"/>
        <v>26800</v>
      </c>
      <c r="AA41" s="8">
        <f t="shared" si="4"/>
        <v>357582</v>
      </c>
      <c r="AB41" s="8">
        <f t="shared" si="5"/>
        <v>16165</v>
      </c>
      <c r="AC41" s="8">
        <f t="shared" si="6"/>
        <v>289500</v>
      </c>
    </row>
    <row r="42" spans="1:29" s="5" customFormat="1" ht="18" customHeight="1" x14ac:dyDescent="0.25">
      <c r="A42" s="7"/>
      <c r="E42" s="7"/>
      <c r="G42" s="3">
        <f t="shared" si="7"/>
        <v>46135</v>
      </c>
      <c r="H42" s="13"/>
      <c r="I42" s="13"/>
      <c r="J42" s="13"/>
      <c r="K42" s="13"/>
      <c r="M42" s="6" t="str">
        <f t="shared" si="0"/>
        <v/>
      </c>
      <c r="N42" s="6" cm="1">
        <f t="array" ref="N42">IF(H42="",_xlfn.LET(
    _xlpm.vals,_xlfn._xlws.FILTER($I$5:I41,$I$5:I41&lt;&gt;"",""),
    _xlpm.avgJ,IF(COUNTA(_xlpm.vals)=0,0,AVERAGE(_xlfn.TAKE(_xlpm.vals,-MIN(7,ROWS(_xlpm.vals))))),
    _xlpm.addship,IF(M42="",0,M42),
    IF(
        AND(H41="",H42=""),
        N41-_xlpm.avgJ+_xlpm.addship,
        IF(
            H42="",
            H41-_xlpm.avgJ+_xlpm.addship,
            ""
        )
    )
),H42)</f>
        <v>-115155.42857142855</v>
      </c>
      <c r="O42" s="6" t="str">
        <f t="shared" si="1"/>
        <v/>
      </c>
      <c r="P42" s="6" cm="1">
        <f t="array" ref="P42">IF(J42="",_xlfn.LET(
    _xlpm.vals,_xlfn._xlws.FILTER($K$5:K41,$K$5:K41&lt;&gt;"",""),
    _xlpm.avgJ,IF(COUNTA(_xlpm.vals)=0,0,AVERAGE(_xlfn.TAKE(_xlpm.vals,-MIN(7,ROWS(_xlpm.vals))))),
    _xlpm.addship,IF(O42="",0,O42),
    IF(
        AND(J41="",J42=""),
        P41-_xlpm.avgJ+_xlpm.addship,
        IF(
            J42="",
            J41-_xlpm.avgJ+_xlpm.addship,
            ""
        )
    )
),J42)</f>
        <v>6895.2857142856801</v>
      </c>
      <c r="Q42" s="7" t="str">
        <f t="shared" si="2"/>
        <v>Petrol stock out | Diesel stock out</v>
      </c>
      <c r="Z42" s="8">
        <f t="shared" si="3"/>
        <v>26800</v>
      </c>
      <c r="AA42" s="8">
        <f t="shared" si="4"/>
        <v>357582</v>
      </c>
      <c r="AB42" s="8">
        <f t="shared" si="5"/>
        <v>16165</v>
      </c>
      <c r="AC42" s="8">
        <f t="shared" si="6"/>
        <v>289500</v>
      </c>
    </row>
    <row r="43" spans="1:29" s="5" customFormat="1" ht="18" customHeight="1" x14ac:dyDescent="0.25">
      <c r="A43" s="7"/>
      <c r="E43" s="7"/>
      <c r="G43" s="3">
        <f t="shared" si="7"/>
        <v>46136</v>
      </c>
      <c r="H43" s="13"/>
      <c r="I43" s="13"/>
      <c r="J43" s="13"/>
      <c r="K43" s="13"/>
      <c r="M43" s="6" t="str">
        <f t="shared" si="0"/>
        <v/>
      </c>
      <c r="N43" s="6" cm="1">
        <f t="array" ref="N43">IF(H43="",_xlfn.LET(
    _xlpm.vals,_xlfn._xlws.FILTER($I$5:I42,$I$5:I42&lt;&gt;"",""),
    _xlpm.avgJ,IF(COUNTA(_xlpm.vals)=0,0,AVERAGE(_xlfn.TAKE(_xlpm.vals,-MIN(7,ROWS(_xlpm.vals))))),
    _xlpm.addship,IF(M43="",0,M43),
    IF(
        AND(H42="",H43=""),
        N42-_xlpm.avgJ+_xlpm.addship,
        IF(
            H43="",
            H42-_xlpm.avgJ+_xlpm.addship,
            ""
        )
    )
),H43)</f>
        <v>-124112.57142857141</v>
      </c>
      <c r="O43" s="6" t="str">
        <f t="shared" si="1"/>
        <v/>
      </c>
      <c r="P43" s="6" cm="1">
        <f t="array" ref="P43">IF(J43="",_xlfn.LET(
    _xlpm.vals,_xlfn._xlws.FILTER($K$5:K42,$K$5:K42&lt;&gt;"",""),
    _xlpm.avgJ,IF(COUNTA(_xlpm.vals)=0,0,AVERAGE(_xlfn.TAKE(_xlpm.vals,-MIN(7,ROWS(_xlpm.vals))))),
    _xlpm.addship,IF(O43="",0,O43),
    IF(
        AND(J42="",J43=""),
        P42-_xlpm.avgJ+_xlpm.addship,
        IF(
            J43="",
            J42-_xlpm.avgJ+_xlpm.addship,
            ""
        )
    )
),J43)</f>
        <v>866.71428571425167</v>
      </c>
      <c r="Q43" s="7" t="str">
        <f t="shared" si="2"/>
        <v>Petrol stock out | Diesel stock out</v>
      </c>
      <c r="Z43" s="8">
        <f t="shared" si="3"/>
        <v>26800</v>
      </c>
      <c r="AA43" s="8">
        <f t="shared" si="4"/>
        <v>357582</v>
      </c>
      <c r="AB43" s="8">
        <f t="shared" si="5"/>
        <v>16165</v>
      </c>
      <c r="AC43" s="8">
        <f t="shared" si="6"/>
        <v>289500</v>
      </c>
    </row>
    <row r="44" spans="1:29" s="5" customFormat="1" ht="18" customHeight="1" x14ac:dyDescent="0.25">
      <c r="A44" s="7"/>
      <c r="E44" s="7"/>
      <c r="G44" s="3">
        <f t="shared" si="7"/>
        <v>46137</v>
      </c>
      <c r="H44" s="13"/>
      <c r="I44" s="13"/>
      <c r="J44" s="13"/>
      <c r="K44" s="13"/>
      <c r="M44" s="6" t="str">
        <f t="shared" si="0"/>
        <v/>
      </c>
      <c r="N44" s="6" cm="1">
        <f t="array" ref="N44">IF(H44="",_xlfn.LET(
    _xlpm.vals,_xlfn._xlws.FILTER($I$5:I43,$I$5:I43&lt;&gt;"",""),
    _xlpm.avgJ,IF(COUNTA(_xlpm.vals)=0,0,AVERAGE(_xlfn.TAKE(_xlpm.vals,-MIN(7,ROWS(_xlpm.vals))))),
    _xlpm.addship,IF(M44="",0,M44),
    IF(
        AND(H43="",H44=""),
        N43-_xlpm.avgJ+_xlpm.addship,
        IF(
            H44="",
            H43-_xlpm.avgJ+_xlpm.addship,
            ""
        )
    )
),H44)</f>
        <v>-133069.71428571426</v>
      </c>
      <c r="O44" s="6" t="str">
        <f t="shared" si="1"/>
        <v/>
      </c>
      <c r="P44" s="6" cm="1">
        <f t="array" ref="P44">IF(J44="",_xlfn.LET(
    _xlpm.vals,_xlfn._xlws.FILTER($K$5:K43,$K$5:K43&lt;&gt;"",""),
    _xlpm.avgJ,IF(COUNTA(_xlpm.vals)=0,0,AVERAGE(_xlfn.TAKE(_xlpm.vals,-MIN(7,ROWS(_xlpm.vals))))),
    _xlpm.addship,IF(O44="",0,O44),
    IF(
        AND(J43="",J44=""),
        P43-_xlpm.avgJ+_xlpm.addship,
        IF(
            J44="",
            J43-_xlpm.avgJ+_xlpm.addship,
            ""
        )
    )
),J44)</f>
        <v>-5161.8571428571768</v>
      </c>
      <c r="Q44" s="7" t="str">
        <f t="shared" si="2"/>
        <v>Petrol stock out | Diesel stock out</v>
      </c>
      <c r="Z44" s="8">
        <f t="shared" si="3"/>
        <v>26800</v>
      </c>
      <c r="AA44" s="8">
        <f t="shared" si="4"/>
        <v>357582</v>
      </c>
      <c r="AB44" s="8">
        <f t="shared" si="5"/>
        <v>16165</v>
      </c>
      <c r="AC44" s="8">
        <f t="shared" si="6"/>
        <v>289500</v>
      </c>
    </row>
    <row r="45" spans="1:29" s="5" customFormat="1" ht="18" customHeight="1" x14ac:dyDescent="0.25">
      <c r="A45" s="7"/>
      <c r="E45" s="7"/>
      <c r="G45" s="3">
        <f t="shared" si="7"/>
        <v>46138</v>
      </c>
      <c r="H45" s="13"/>
      <c r="I45" s="13"/>
      <c r="J45" s="13"/>
      <c r="K45" s="13"/>
      <c r="M45" s="6" t="str">
        <f t="shared" si="0"/>
        <v/>
      </c>
      <c r="N45" s="6" cm="1">
        <f t="array" ref="N45">IF(H45="",_xlfn.LET(
    _xlpm.vals,_xlfn._xlws.FILTER($I$5:I44,$I$5:I44&lt;&gt;"",""),
    _xlpm.avgJ,IF(COUNTA(_xlpm.vals)=0,0,AVERAGE(_xlfn.TAKE(_xlpm.vals,-MIN(7,ROWS(_xlpm.vals))))),
    _xlpm.addship,IF(M45="",0,M45),
    IF(
        AND(H44="",H45=""),
        N44-_xlpm.avgJ+_xlpm.addship,
        IF(
            H45="",
            H44-_xlpm.avgJ+_xlpm.addship,
            ""
        )
    )
),H45)</f>
        <v>-142026.85714285713</v>
      </c>
      <c r="O45" s="6" t="str">
        <f t="shared" si="1"/>
        <v/>
      </c>
      <c r="P45" s="6" cm="1">
        <f t="array" ref="P45">IF(J45="",_xlfn.LET(
    _xlpm.vals,_xlfn._xlws.FILTER($K$5:K44,$K$5:K44&lt;&gt;"",""),
    _xlpm.avgJ,IF(COUNTA(_xlpm.vals)=0,0,AVERAGE(_xlfn.TAKE(_xlpm.vals,-MIN(7,ROWS(_xlpm.vals))))),
    _xlpm.addship,IF(O45="",0,O45),
    IF(
        AND(J44="",J45=""),
        P44-_xlpm.avgJ+_xlpm.addship,
        IF(
            J45="",
            J44-_xlpm.avgJ+_xlpm.addship,
            ""
        )
    )
),J45)</f>
        <v>-11190.428571428605</v>
      </c>
      <c r="Q45" s="7" t="str">
        <f t="shared" si="2"/>
        <v>Petrol stock out | Diesel stock out</v>
      </c>
      <c r="Z45" s="8">
        <f t="shared" si="3"/>
        <v>26800</v>
      </c>
      <c r="AA45" s="8">
        <f t="shared" si="4"/>
        <v>357582</v>
      </c>
      <c r="AB45" s="8">
        <f t="shared" si="5"/>
        <v>16165</v>
      </c>
      <c r="AC45" s="8">
        <f t="shared" si="6"/>
        <v>289500</v>
      </c>
    </row>
    <row r="46" spans="1:29" s="5" customFormat="1" ht="18" customHeight="1" x14ac:dyDescent="0.25">
      <c r="A46" s="7"/>
      <c r="E46" s="7"/>
      <c r="G46" s="3">
        <f t="shared" si="7"/>
        <v>46139</v>
      </c>
      <c r="H46" s="13"/>
      <c r="I46" s="13"/>
      <c r="J46" s="13"/>
      <c r="K46" s="13"/>
      <c r="M46" s="6" t="str">
        <f t="shared" si="0"/>
        <v/>
      </c>
      <c r="N46" s="6" cm="1">
        <f t="array" ref="N46">IF(H46="",_xlfn.LET(
    _xlpm.vals,_xlfn._xlws.FILTER($I$5:I45,$I$5:I45&lt;&gt;"",""),
    _xlpm.avgJ,IF(COUNTA(_xlpm.vals)=0,0,AVERAGE(_xlfn.TAKE(_xlpm.vals,-MIN(7,ROWS(_xlpm.vals))))),
    _xlpm.addship,IF(M46="",0,M46),
    IF(
        AND(H45="",H46=""),
        N45-_xlpm.avgJ+_xlpm.addship,
        IF(
            H46="",
            H45-_xlpm.avgJ+_xlpm.addship,
            ""
        )
    )
),H46)</f>
        <v>-150984</v>
      </c>
      <c r="O46" s="6" t="str">
        <f t="shared" si="1"/>
        <v/>
      </c>
      <c r="P46" s="6" cm="1">
        <f t="array" ref="P46">IF(J46="",_xlfn.LET(
    _xlpm.vals,_xlfn._xlws.FILTER($K$5:K45,$K$5:K45&lt;&gt;"",""),
    _xlpm.avgJ,IF(COUNTA(_xlpm.vals)=0,0,AVERAGE(_xlfn.TAKE(_xlpm.vals,-MIN(7,ROWS(_xlpm.vals))))),
    _xlpm.addship,IF(O46="",0,O46),
    IF(
        AND(J45="",J46=""),
        P45-_xlpm.avgJ+_xlpm.addship,
        IF(
            J46="",
            J45-_xlpm.avgJ+_xlpm.addship,
            ""
        )
    )
),J46)</f>
        <v>-17219.000000000033</v>
      </c>
      <c r="Q46" s="7" t="str">
        <f t="shared" si="2"/>
        <v>Petrol stock out | Diesel stock out</v>
      </c>
      <c r="Z46" s="8">
        <f t="shared" si="3"/>
        <v>26800</v>
      </c>
      <c r="AA46" s="8">
        <f t="shared" si="4"/>
        <v>357582</v>
      </c>
      <c r="AB46" s="8">
        <f t="shared" si="5"/>
        <v>16165</v>
      </c>
      <c r="AC46" s="8">
        <f t="shared" si="6"/>
        <v>289500</v>
      </c>
    </row>
    <row r="47" spans="1:29" s="5" customFormat="1" ht="18" customHeight="1" x14ac:dyDescent="0.25">
      <c r="A47" s="7"/>
      <c r="E47" s="7"/>
      <c r="G47" s="3">
        <f t="shared" si="7"/>
        <v>46140</v>
      </c>
      <c r="H47" s="13"/>
      <c r="I47" s="13"/>
      <c r="J47" s="13"/>
      <c r="K47" s="13"/>
      <c r="M47" s="6" t="str">
        <f t="shared" si="0"/>
        <v/>
      </c>
      <c r="N47" s="6" cm="1">
        <f t="array" ref="N47">IF(H47="",_xlfn.LET(
    _xlpm.vals,_xlfn._xlws.FILTER($I$5:I46,$I$5:I46&lt;&gt;"",""),
    _xlpm.avgJ,IF(COUNTA(_xlpm.vals)=0,0,AVERAGE(_xlfn.TAKE(_xlpm.vals,-MIN(7,ROWS(_xlpm.vals))))),
    _xlpm.addship,IF(M47="",0,M47),
    IF(
        AND(H46="",H47=""),
        N46-_xlpm.avgJ+_xlpm.addship,
        IF(
            H47="",
            H46-_xlpm.avgJ+_xlpm.addship,
            ""
        )
    )
),H47)</f>
        <v>-159941.14285714287</v>
      </c>
      <c r="O47" s="6" t="str">
        <f t="shared" si="1"/>
        <v/>
      </c>
      <c r="P47" s="6" cm="1">
        <f t="array" ref="P47">IF(J47="",_xlfn.LET(
    _xlpm.vals,_xlfn._xlws.FILTER($K$5:K46,$K$5:K46&lt;&gt;"",""),
    _xlpm.avgJ,IF(COUNTA(_xlpm.vals)=0,0,AVERAGE(_xlfn.TAKE(_xlpm.vals,-MIN(7,ROWS(_xlpm.vals))))),
    _xlpm.addship,IF(O47="",0,O47),
    IF(
        AND(J46="",J47=""),
        P46-_xlpm.avgJ+_xlpm.addship,
        IF(
            J47="",
            J46-_xlpm.avgJ+_xlpm.addship,
            ""
        )
    )
),J47)</f>
        <v>-23247.57142857146</v>
      </c>
      <c r="Q47" s="7" t="str">
        <f t="shared" si="2"/>
        <v>Petrol stock out | Diesel stock out</v>
      </c>
      <c r="Z47" s="8">
        <f t="shared" si="3"/>
        <v>26800</v>
      </c>
      <c r="AA47" s="8">
        <f t="shared" si="4"/>
        <v>357582</v>
      </c>
      <c r="AB47" s="8">
        <f t="shared" si="5"/>
        <v>16165</v>
      </c>
      <c r="AC47" s="8">
        <f t="shared" si="6"/>
        <v>289500</v>
      </c>
    </row>
    <row r="48" spans="1:29" s="5" customFormat="1" ht="18" customHeight="1" x14ac:dyDescent="0.25">
      <c r="A48" s="7"/>
      <c r="E48" s="7"/>
      <c r="G48" s="3">
        <f t="shared" si="7"/>
        <v>46141</v>
      </c>
      <c r="H48" s="13"/>
      <c r="I48" s="13"/>
      <c r="J48" s="13"/>
      <c r="K48" s="13"/>
      <c r="M48" s="6" t="str">
        <f t="shared" si="0"/>
        <v/>
      </c>
      <c r="N48" s="6" cm="1">
        <f t="array" ref="N48">IF(H48="",_xlfn.LET(
    _xlpm.vals,_xlfn._xlws.FILTER($I$5:I47,$I$5:I47&lt;&gt;"",""),
    _xlpm.avgJ,IF(COUNTA(_xlpm.vals)=0,0,AVERAGE(_xlfn.TAKE(_xlpm.vals,-MIN(7,ROWS(_xlpm.vals))))),
    _xlpm.addship,IF(M48="",0,M48),
    IF(
        AND(H47="",H48=""),
        N47-_xlpm.avgJ+_xlpm.addship,
        IF(
            H48="",
            H47-_xlpm.avgJ+_xlpm.addship,
            ""
        )
    )
),H48)</f>
        <v>-168898.28571428574</v>
      </c>
      <c r="O48" s="6" t="str">
        <f t="shared" si="1"/>
        <v/>
      </c>
      <c r="P48" s="6" cm="1">
        <f t="array" ref="P48">IF(J48="",_xlfn.LET(
    _xlpm.vals,_xlfn._xlws.FILTER($K$5:K47,$K$5:K47&lt;&gt;"",""),
    _xlpm.avgJ,IF(COUNTA(_xlpm.vals)=0,0,AVERAGE(_xlfn.TAKE(_xlpm.vals,-MIN(7,ROWS(_xlpm.vals))))),
    _xlpm.addship,IF(O48="",0,O48),
    IF(
        AND(J47="",J48=""),
        P47-_xlpm.avgJ+_xlpm.addship,
        IF(
            J48="",
            J47-_xlpm.avgJ+_xlpm.addship,
            ""
        )
    )
),J48)</f>
        <v>-29276.142857142888</v>
      </c>
      <c r="Q48" s="7" t="str">
        <f t="shared" si="2"/>
        <v>Petrol stock out | Diesel stock out</v>
      </c>
      <c r="Z48" s="8">
        <f t="shared" si="3"/>
        <v>26800</v>
      </c>
      <c r="AA48" s="8">
        <f t="shared" si="4"/>
        <v>357582</v>
      </c>
      <c r="AB48" s="8">
        <f t="shared" si="5"/>
        <v>16165</v>
      </c>
      <c r="AC48" s="8">
        <f t="shared" si="6"/>
        <v>289500</v>
      </c>
    </row>
    <row r="49" spans="1:29" s="5" customFormat="1" ht="18" customHeight="1" x14ac:dyDescent="0.25">
      <c r="A49" s="7"/>
      <c r="E49" s="7"/>
      <c r="G49" s="3">
        <f t="shared" si="7"/>
        <v>46142</v>
      </c>
      <c r="H49" s="13"/>
      <c r="I49" s="13"/>
      <c r="J49" s="13"/>
      <c r="K49" s="13"/>
      <c r="M49" s="6" t="str">
        <f t="shared" si="0"/>
        <v/>
      </c>
      <c r="N49" s="6" cm="1">
        <f t="array" ref="N49">IF(H49="",_xlfn.LET(
    _xlpm.vals,_xlfn._xlws.FILTER($I$5:I48,$I$5:I48&lt;&gt;"",""),
    _xlpm.avgJ,IF(COUNTA(_xlpm.vals)=0,0,AVERAGE(_xlfn.TAKE(_xlpm.vals,-MIN(7,ROWS(_xlpm.vals))))),
    _xlpm.addship,IF(M49="",0,M49),
    IF(
        AND(H48="",H49=""),
        N48-_xlpm.avgJ+_xlpm.addship,
        IF(
            H49="",
            H48-_xlpm.avgJ+_xlpm.addship,
            ""
        )
    )
),H49)</f>
        <v>-177855.42857142861</v>
      </c>
      <c r="O49" s="6" t="str">
        <f t="shared" si="1"/>
        <v/>
      </c>
      <c r="P49" s="6" cm="1">
        <f t="array" ref="P49">IF(J49="",_xlfn.LET(
    _xlpm.vals,_xlfn._xlws.FILTER($K$5:K48,$K$5:K48&lt;&gt;"",""),
    _xlpm.avgJ,IF(COUNTA(_xlpm.vals)=0,0,AVERAGE(_xlfn.TAKE(_xlpm.vals,-MIN(7,ROWS(_xlpm.vals))))),
    _xlpm.addship,IF(O49="",0,O49),
    IF(
        AND(J48="",J49=""),
        P48-_xlpm.avgJ+_xlpm.addship,
        IF(
            J49="",
            J48-_xlpm.avgJ+_xlpm.addship,
            ""
        )
    )
),J49)</f>
        <v>-35304.714285714319</v>
      </c>
      <c r="Q49" s="7" t="str">
        <f t="shared" si="2"/>
        <v>Petrol stock out | Diesel stock out</v>
      </c>
      <c r="Z49" s="8">
        <f t="shared" si="3"/>
        <v>26800</v>
      </c>
      <c r="AA49" s="8">
        <f t="shared" si="4"/>
        <v>357582</v>
      </c>
      <c r="AB49" s="8">
        <f t="shared" si="5"/>
        <v>16165</v>
      </c>
      <c r="AC49" s="8">
        <f t="shared" si="6"/>
        <v>289500</v>
      </c>
    </row>
    <row r="50" spans="1:29" s="5" customFormat="1" ht="18" customHeight="1" x14ac:dyDescent="0.25">
      <c r="A50" s="7"/>
      <c r="E50" s="7"/>
      <c r="G50" s="3">
        <f t="shared" si="7"/>
        <v>46143</v>
      </c>
      <c r="H50" s="13"/>
      <c r="I50" s="13"/>
      <c r="J50" s="13"/>
      <c r="K50" s="13"/>
      <c r="M50" s="6" t="str">
        <f t="shared" si="0"/>
        <v/>
      </c>
      <c r="N50" s="6" cm="1">
        <f t="array" ref="N50">IF(H50="",_xlfn.LET(
    _xlpm.vals,_xlfn._xlws.FILTER($I$5:I49,$I$5:I49&lt;&gt;"",""),
    _xlpm.avgJ,IF(COUNTA(_xlpm.vals)=0,0,AVERAGE(_xlfn.TAKE(_xlpm.vals,-MIN(7,ROWS(_xlpm.vals))))),
    _xlpm.addship,IF(M50="",0,M50),
    IF(
        AND(H49="",H50=""),
        N49-_xlpm.avgJ+_xlpm.addship,
        IF(
            H50="",
            H49-_xlpm.avgJ+_xlpm.addship,
            ""
        )
    )
),H50)</f>
        <v>-186812.57142857148</v>
      </c>
      <c r="O50" s="6" t="str">
        <f t="shared" si="1"/>
        <v/>
      </c>
      <c r="P50" s="6" cm="1">
        <f t="array" ref="P50">IF(J50="",_xlfn.LET(
    _xlpm.vals,_xlfn._xlws.FILTER($K$5:K49,$K$5:K49&lt;&gt;"",""),
    _xlpm.avgJ,IF(COUNTA(_xlpm.vals)=0,0,AVERAGE(_xlfn.TAKE(_xlpm.vals,-MIN(7,ROWS(_xlpm.vals))))),
    _xlpm.addship,IF(O50="",0,O50),
    IF(
        AND(J49="",J50=""),
        P49-_xlpm.avgJ+_xlpm.addship,
        IF(
            J50="",
            J49-_xlpm.avgJ+_xlpm.addship,
            ""
        )
    )
),J50)</f>
        <v>-41333.285714285747</v>
      </c>
      <c r="Q50" s="7" t="str">
        <f t="shared" si="2"/>
        <v>Petrol stock out | Diesel stock out</v>
      </c>
      <c r="Z50" s="8">
        <f t="shared" si="3"/>
        <v>26800</v>
      </c>
      <c r="AA50" s="8">
        <f t="shared" si="4"/>
        <v>357582</v>
      </c>
      <c r="AB50" s="8">
        <f t="shared" si="5"/>
        <v>16165</v>
      </c>
      <c r="AC50" s="8">
        <f t="shared" si="6"/>
        <v>289500</v>
      </c>
    </row>
    <row r="51" spans="1:29" s="5" customFormat="1" ht="18" customHeight="1" x14ac:dyDescent="0.25">
      <c r="A51" s="7"/>
      <c r="E51" s="7"/>
      <c r="G51" s="3">
        <f t="shared" si="7"/>
        <v>46144</v>
      </c>
      <c r="H51" s="13"/>
      <c r="I51" s="13"/>
      <c r="J51" s="13"/>
      <c r="K51" s="13"/>
      <c r="M51" s="6" t="str">
        <f t="shared" si="0"/>
        <v/>
      </c>
      <c r="N51" s="6" cm="1">
        <f t="array" ref="N51">IF(H51="",_xlfn.LET(
    _xlpm.vals,_xlfn._xlws.FILTER($I$5:I50,$I$5:I50&lt;&gt;"",""),
    _xlpm.avgJ,IF(COUNTA(_xlpm.vals)=0,0,AVERAGE(_xlfn.TAKE(_xlpm.vals,-MIN(7,ROWS(_xlpm.vals))))),
    _xlpm.addship,IF(M51="",0,M51),
    IF(
        AND(H50="",H51=""),
        N50-_xlpm.avgJ+_xlpm.addship,
        IF(
            H51="",
            H50-_xlpm.avgJ+_xlpm.addship,
            ""
        )
    )
),H51)</f>
        <v>-195769.71428571435</v>
      </c>
      <c r="O51" s="6" t="str">
        <f t="shared" si="1"/>
        <v/>
      </c>
      <c r="P51" s="6" cm="1">
        <f t="array" ref="P51">IF(J51="",_xlfn.LET(
    _xlpm.vals,_xlfn._xlws.FILTER($K$5:K50,$K$5:K50&lt;&gt;"",""),
    _xlpm.avgJ,IF(COUNTA(_xlpm.vals)=0,0,AVERAGE(_xlfn.TAKE(_xlpm.vals,-MIN(7,ROWS(_xlpm.vals))))),
    _xlpm.addship,IF(O51="",0,O51),
    IF(
        AND(J50="",J51=""),
        P50-_xlpm.avgJ+_xlpm.addship,
        IF(
            J51="",
            J50-_xlpm.avgJ+_xlpm.addship,
            ""
        )
    )
),J51)</f>
        <v>-47361.857142857174</v>
      </c>
      <c r="Q51" s="7" t="str">
        <f t="shared" si="2"/>
        <v>Petrol stock out | Diesel stock out</v>
      </c>
      <c r="Z51" s="8">
        <f t="shared" si="3"/>
        <v>26800</v>
      </c>
      <c r="AA51" s="8">
        <f t="shared" si="4"/>
        <v>357582</v>
      </c>
      <c r="AB51" s="8">
        <f t="shared" si="5"/>
        <v>16165</v>
      </c>
      <c r="AC51" s="8">
        <f t="shared" si="6"/>
        <v>289500</v>
      </c>
    </row>
    <row r="52" spans="1:29" s="5" customFormat="1" ht="18" customHeight="1" x14ac:dyDescent="0.25">
      <c r="A52" s="7"/>
      <c r="E52" s="7"/>
      <c r="G52" s="3">
        <f t="shared" si="7"/>
        <v>46145</v>
      </c>
      <c r="H52" s="13"/>
      <c r="I52" s="13"/>
      <c r="J52" s="13"/>
      <c r="K52" s="13"/>
      <c r="M52" s="6" t="str">
        <f t="shared" si="0"/>
        <v/>
      </c>
      <c r="N52" s="6" cm="1">
        <f t="array" ref="N52">IF(H52="",_xlfn.LET(
    _xlpm.vals,_xlfn._xlws.FILTER($I$5:I51,$I$5:I51&lt;&gt;"",""),
    _xlpm.avgJ,IF(COUNTA(_xlpm.vals)=0,0,AVERAGE(_xlfn.TAKE(_xlpm.vals,-MIN(7,ROWS(_xlpm.vals))))),
    _xlpm.addship,IF(M52="",0,M52),
    IF(
        AND(H51="",H52=""),
        N51-_xlpm.avgJ+_xlpm.addship,
        IF(
            H52="",
            H51-_xlpm.avgJ+_xlpm.addship,
            ""
        )
    )
),H52)</f>
        <v>-204726.85714285722</v>
      </c>
      <c r="O52" s="6" t="str">
        <f t="shared" si="1"/>
        <v/>
      </c>
      <c r="P52" s="6" cm="1">
        <f t="array" ref="P52">IF(J52="",_xlfn.LET(
    _xlpm.vals,_xlfn._xlws.FILTER($K$5:K51,$K$5:K51&lt;&gt;"",""),
    _xlpm.avgJ,IF(COUNTA(_xlpm.vals)=0,0,AVERAGE(_xlfn.TAKE(_xlpm.vals,-MIN(7,ROWS(_xlpm.vals))))),
    _xlpm.addship,IF(O52="",0,O52),
    IF(
        AND(J51="",J52=""),
        P51-_xlpm.avgJ+_xlpm.addship,
        IF(
            J52="",
            J51-_xlpm.avgJ+_xlpm.addship,
            ""
        )
    )
),J52)</f>
        <v>-53390.428571428602</v>
      </c>
      <c r="Q52" s="7" t="str">
        <f t="shared" si="2"/>
        <v>Petrol stock out | Diesel stock out</v>
      </c>
      <c r="Z52" s="8">
        <f t="shared" si="3"/>
        <v>26800</v>
      </c>
      <c r="AA52" s="8">
        <f t="shared" si="4"/>
        <v>357582</v>
      </c>
      <c r="AB52" s="8">
        <f t="shared" si="5"/>
        <v>16165</v>
      </c>
      <c r="AC52" s="8">
        <f t="shared" si="6"/>
        <v>289500</v>
      </c>
    </row>
    <row r="53" spans="1:29" s="5" customFormat="1" ht="18" customHeight="1" x14ac:dyDescent="0.25">
      <c r="A53" s="7"/>
      <c r="E53" s="7"/>
      <c r="G53" s="3">
        <f t="shared" si="7"/>
        <v>46146</v>
      </c>
      <c r="H53" s="13"/>
      <c r="I53" s="13"/>
      <c r="J53" s="13"/>
      <c r="K53" s="13"/>
      <c r="M53" s="6" t="str">
        <f t="shared" si="0"/>
        <v/>
      </c>
      <c r="N53" s="6" cm="1">
        <f t="array" ref="N53">IF(H53="",_xlfn.LET(
    _xlpm.vals,_xlfn._xlws.FILTER($I$5:I52,$I$5:I52&lt;&gt;"",""),
    _xlpm.avgJ,IF(COUNTA(_xlpm.vals)=0,0,AVERAGE(_xlfn.TAKE(_xlpm.vals,-MIN(7,ROWS(_xlpm.vals))))),
    _xlpm.addship,IF(M53="",0,M53),
    IF(
        AND(H52="",H53=""),
        N52-_xlpm.avgJ+_xlpm.addship,
        IF(
            H53="",
            H52-_xlpm.avgJ+_xlpm.addship,
            ""
        )
    )
),H53)</f>
        <v>-213684.00000000009</v>
      </c>
      <c r="O53" s="6" t="str">
        <f t="shared" si="1"/>
        <v/>
      </c>
      <c r="P53" s="6" cm="1">
        <f t="array" ref="P53">IF(J53="",_xlfn.LET(
    _xlpm.vals,_xlfn._xlws.FILTER($K$5:K52,$K$5:K52&lt;&gt;"",""),
    _xlpm.avgJ,IF(COUNTA(_xlpm.vals)=0,0,AVERAGE(_xlfn.TAKE(_xlpm.vals,-MIN(7,ROWS(_xlpm.vals))))),
    _xlpm.addship,IF(O53="",0,O53),
    IF(
        AND(J52="",J53=""),
        P52-_xlpm.avgJ+_xlpm.addship,
        IF(
            J53="",
            J52-_xlpm.avgJ+_xlpm.addship,
            ""
        )
    )
),J53)</f>
        <v>-59419.000000000029</v>
      </c>
      <c r="Q53" s="7" t="str">
        <f t="shared" si="2"/>
        <v>Petrol stock out | Diesel stock out</v>
      </c>
      <c r="Z53" s="8">
        <f t="shared" si="3"/>
        <v>26800</v>
      </c>
      <c r="AA53" s="8">
        <f t="shared" si="4"/>
        <v>357582</v>
      </c>
      <c r="AB53" s="8">
        <f t="shared" si="5"/>
        <v>16165</v>
      </c>
      <c r="AC53" s="8">
        <f t="shared" si="6"/>
        <v>289500</v>
      </c>
    </row>
    <row r="54" spans="1:29" s="5" customFormat="1" ht="18" customHeight="1" x14ac:dyDescent="0.25">
      <c r="A54" s="7"/>
      <c r="E54" s="7"/>
      <c r="G54" s="3">
        <f t="shared" si="7"/>
        <v>46147</v>
      </c>
      <c r="H54" s="13"/>
      <c r="I54" s="13"/>
      <c r="J54" s="13"/>
      <c r="K54" s="13"/>
      <c r="M54" s="6" t="str">
        <f t="shared" si="0"/>
        <v/>
      </c>
      <c r="N54" s="6" cm="1">
        <f t="array" ref="N54">IF(H54="",_xlfn.LET(
    _xlpm.vals,_xlfn._xlws.FILTER($I$5:I53,$I$5:I53&lt;&gt;"",""),
    _xlpm.avgJ,IF(COUNTA(_xlpm.vals)=0,0,AVERAGE(_xlfn.TAKE(_xlpm.vals,-MIN(7,ROWS(_xlpm.vals))))),
    _xlpm.addship,IF(M54="",0,M54),
    IF(
        AND(H53="",H54=""),
        N53-_xlpm.avgJ+_xlpm.addship,
        IF(
            H54="",
            H53-_xlpm.avgJ+_xlpm.addship,
            ""
        )
    )
),H54)</f>
        <v>-222641.14285714296</v>
      </c>
      <c r="O54" s="6" t="str">
        <f t="shared" si="1"/>
        <v/>
      </c>
      <c r="P54" s="6" cm="1">
        <f t="array" ref="P54">IF(J54="",_xlfn.LET(
    _xlpm.vals,_xlfn._xlws.FILTER($K$5:K53,$K$5:K53&lt;&gt;"",""),
    _xlpm.avgJ,IF(COUNTA(_xlpm.vals)=0,0,AVERAGE(_xlfn.TAKE(_xlpm.vals,-MIN(7,ROWS(_xlpm.vals))))),
    _xlpm.addship,IF(O54="",0,O54),
    IF(
        AND(J53="",J54=""),
        P53-_xlpm.avgJ+_xlpm.addship,
        IF(
            J54="",
            J53-_xlpm.avgJ+_xlpm.addship,
            ""
        )
    )
),J54)</f>
        <v>-65447.571428571457</v>
      </c>
      <c r="Q54" s="7" t="str">
        <f t="shared" si="2"/>
        <v>Petrol stock out | Diesel stock out</v>
      </c>
      <c r="Z54" s="8">
        <f t="shared" si="3"/>
        <v>26800</v>
      </c>
      <c r="AA54" s="8">
        <f t="shared" si="4"/>
        <v>357582</v>
      </c>
      <c r="AB54" s="8">
        <f t="shared" si="5"/>
        <v>16165</v>
      </c>
      <c r="AC54" s="8">
        <f t="shared" si="6"/>
        <v>289500</v>
      </c>
    </row>
    <row r="55" spans="1:29" s="5" customFormat="1" ht="18" customHeight="1" x14ac:dyDescent="0.25">
      <c r="A55" s="7"/>
      <c r="E55" s="7"/>
      <c r="G55" s="3">
        <f t="shared" si="7"/>
        <v>46148</v>
      </c>
      <c r="H55" s="13"/>
      <c r="I55" s="13"/>
      <c r="J55" s="13"/>
      <c r="K55" s="13"/>
      <c r="M55" s="6" t="str">
        <f t="shared" si="0"/>
        <v/>
      </c>
      <c r="N55" s="6" cm="1">
        <f t="array" ref="N55">IF(H55="",_xlfn.LET(
    _xlpm.vals,_xlfn._xlws.FILTER($I$5:I54,$I$5:I54&lt;&gt;"",""),
    _xlpm.avgJ,IF(COUNTA(_xlpm.vals)=0,0,AVERAGE(_xlfn.TAKE(_xlpm.vals,-MIN(7,ROWS(_xlpm.vals))))),
    _xlpm.addship,IF(M55="",0,M55),
    IF(
        AND(H54="",H55=""),
        N54-_xlpm.avgJ+_xlpm.addship,
        IF(
            H55="",
            H54-_xlpm.avgJ+_xlpm.addship,
            ""
        )
    )
),H55)</f>
        <v>-231598.28571428583</v>
      </c>
      <c r="O55" s="6" t="str">
        <f t="shared" si="1"/>
        <v/>
      </c>
      <c r="P55" s="6" cm="1">
        <f t="array" ref="P55">IF(J55="",_xlfn.LET(
    _xlpm.vals,_xlfn._xlws.FILTER($K$5:K54,$K$5:K54&lt;&gt;"",""),
    _xlpm.avgJ,IF(COUNTA(_xlpm.vals)=0,0,AVERAGE(_xlfn.TAKE(_xlpm.vals,-MIN(7,ROWS(_xlpm.vals))))),
    _xlpm.addship,IF(O55="",0,O55),
    IF(
        AND(J54="",J55=""),
        P54-_xlpm.avgJ+_xlpm.addship,
        IF(
            J55="",
            J54-_xlpm.avgJ+_xlpm.addship,
            ""
        )
    )
),J55)</f>
        <v>-71476.142857142884</v>
      </c>
      <c r="Q55" s="7" t="str">
        <f t="shared" si="2"/>
        <v>Petrol stock out | Diesel stock out</v>
      </c>
      <c r="Z55" s="8">
        <f t="shared" si="3"/>
        <v>26800</v>
      </c>
      <c r="AA55" s="8">
        <f t="shared" si="4"/>
        <v>357582</v>
      </c>
      <c r="AB55" s="8">
        <f t="shared" si="5"/>
        <v>16165</v>
      </c>
      <c r="AC55" s="8">
        <f t="shared" si="6"/>
        <v>289500</v>
      </c>
    </row>
    <row r="56" spans="1:29" s="5" customFormat="1" ht="18" customHeight="1" x14ac:dyDescent="0.25">
      <c r="A56" s="7"/>
      <c r="E56" s="7"/>
      <c r="G56" s="3">
        <f t="shared" si="7"/>
        <v>46149</v>
      </c>
      <c r="H56" s="13"/>
      <c r="I56" s="13"/>
      <c r="J56" s="13"/>
      <c r="K56" s="13"/>
      <c r="M56" s="6" t="str">
        <f t="shared" si="0"/>
        <v/>
      </c>
      <c r="N56" s="6" cm="1">
        <f t="array" ref="N56">IF(H56="",_xlfn.LET(
    _xlpm.vals,_xlfn._xlws.FILTER($I$5:I55,$I$5:I55&lt;&gt;"",""),
    _xlpm.avgJ,IF(COUNTA(_xlpm.vals)=0,0,AVERAGE(_xlfn.TAKE(_xlpm.vals,-MIN(7,ROWS(_xlpm.vals))))),
    _xlpm.addship,IF(M56="",0,M56),
    IF(
        AND(H55="",H56=""),
        N55-_xlpm.avgJ+_xlpm.addship,
        IF(
            H56="",
            H55-_xlpm.avgJ+_xlpm.addship,
            ""
        )
    )
),H56)</f>
        <v>-240555.4285714287</v>
      </c>
      <c r="O56" s="6" t="str">
        <f t="shared" si="1"/>
        <v/>
      </c>
      <c r="P56" s="6" cm="1">
        <f t="array" ref="P56">IF(J56="",_xlfn.LET(
    _xlpm.vals,_xlfn._xlws.FILTER($K$5:K55,$K$5:K55&lt;&gt;"",""),
    _xlpm.avgJ,IF(COUNTA(_xlpm.vals)=0,0,AVERAGE(_xlfn.TAKE(_xlpm.vals,-MIN(7,ROWS(_xlpm.vals))))),
    _xlpm.addship,IF(O56="",0,O56),
    IF(
        AND(J55="",J56=""),
        P55-_xlpm.avgJ+_xlpm.addship,
        IF(
            J56="",
            J55-_xlpm.avgJ+_xlpm.addship,
            ""
        )
    )
),J56)</f>
        <v>-77504.714285714319</v>
      </c>
      <c r="Q56" s="7" t="str">
        <f t="shared" si="2"/>
        <v>Petrol stock out | Diesel stock out</v>
      </c>
      <c r="Z56" s="8">
        <f t="shared" si="3"/>
        <v>26800</v>
      </c>
      <c r="AA56" s="8">
        <f t="shared" si="4"/>
        <v>357582</v>
      </c>
      <c r="AB56" s="8">
        <f t="shared" si="5"/>
        <v>16165</v>
      </c>
      <c r="AC56" s="8">
        <f t="shared" si="6"/>
        <v>289500</v>
      </c>
    </row>
    <row r="57" spans="1:29" s="5" customFormat="1" ht="18" customHeight="1" x14ac:dyDescent="0.25">
      <c r="A57" s="7"/>
      <c r="E57" s="7"/>
      <c r="G57" s="3">
        <f t="shared" si="7"/>
        <v>46150</v>
      </c>
      <c r="H57" s="13"/>
      <c r="I57" s="13"/>
      <c r="J57" s="13"/>
      <c r="K57" s="13"/>
      <c r="M57" s="6" t="str">
        <f t="shared" si="0"/>
        <v/>
      </c>
      <c r="N57" s="6" cm="1">
        <f t="array" ref="N57">IF(H57="",_xlfn.LET(
    _xlpm.vals,_xlfn._xlws.FILTER($I$5:I56,$I$5:I56&lt;&gt;"",""),
    _xlpm.avgJ,IF(COUNTA(_xlpm.vals)=0,0,AVERAGE(_xlfn.TAKE(_xlpm.vals,-MIN(7,ROWS(_xlpm.vals))))),
    _xlpm.addship,IF(M57="",0,M57),
    IF(
        AND(H56="",H57=""),
        N56-_xlpm.avgJ+_xlpm.addship,
        IF(
            H57="",
            H56-_xlpm.avgJ+_xlpm.addship,
            ""
        )
    )
),H57)</f>
        <v>-249512.57142857157</v>
      </c>
      <c r="O57" s="6" t="str">
        <f t="shared" si="1"/>
        <v/>
      </c>
      <c r="P57" s="6" cm="1">
        <f t="array" ref="P57">IF(J57="",_xlfn.LET(
    _xlpm.vals,_xlfn._xlws.FILTER($K$5:K56,$K$5:K56&lt;&gt;"",""),
    _xlpm.avgJ,IF(COUNTA(_xlpm.vals)=0,0,AVERAGE(_xlfn.TAKE(_xlpm.vals,-MIN(7,ROWS(_xlpm.vals))))),
    _xlpm.addship,IF(O57="",0,O57),
    IF(
        AND(J56="",J57=""),
        P56-_xlpm.avgJ+_xlpm.addship,
        IF(
            J57="",
            J56-_xlpm.avgJ+_xlpm.addship,
            ""
        )
    )
),J57)</f>
        <v>-83533.285714285754</v>
      </c>
      <c r="Q57" s="7" t="str">
        <f t="shared" si="2"/>
        <v>Petrol stock out | Diesel stock out</v>
      </c>
      <c r="Z57" s="8">
        <f t="shared" si="3"/>
        <v>26800</v>
      </c>
      <c r="AA57" s="8">
        <f t="shared" si="4"/>
        <v>357582</v>
      </c>
      <c r="AB57" s="8">
        <f t="shared" si="5"/>
        <v>16165</v>
      </c>
      <c r="AC57" s="8">
        <f t="shared" si="6"/>
        <v>289500</v>
      </c>
    </row>
    <row r="58" spans="1:29" s="5" customFormat="1" ht="18" customHeight="1" x14ac:dyDescent="0.25">
      <c r="A58" s="7"/>
      <c r="E58" s="7"/>
      <c r="G58" s="3">
        <f t="shared" si="7"/>
        <v>46151</v>
      </c>
      <c r="H58" s="13"/>
      <c r="I58" s="13"/>
      <c r="J58" s="13"/>
      <c r="K58" s="13"/>
      <c r="M58" s="6" t="str">
        <f t="shared" si="0"/>
        <v/>
      </c>
      <c r="N58" s="6" cm="1">
        <f t="array" ref="N58">IF(H58="",_xlfn.LET(
    _xlpm.vals,_xlfn._xlws.FILTER($I$5:I57,$I$5:I57&lt;&gt;"",""),
    _xlpm.avgJ,IF(COUNTA(_xlpm.vals)=0,0,AVERAGE(_xlfn.TAKE(_xlpm.vals,-MIN(7,ROWS(_xlpm.vals))))),
    _xlpm.addship,IF(M58="",0,M58),
    IF(
        AND(H57="",H58=""),
        N57-_xlpm.avgJ+_xlpm.addship,
        IF(
            H58="",
            H57-_xlpm.avgJ+_xlpm.addship,
            ""
        )
    )
),H58)</f>
        <v>-258469.71428571444</v>
      </c>
      <c r="O58" s="6" t="str">
        <f t="shared" si="1"/>
        <v/>
      </c>
      <c r="P58" s="6" cm="1">
        <f t="array" ref="P58">IF(J58="",_xlfn.LET(
    _xlpm.vals,_xlfn._xlws.FILTER($K$5:K57,$K$5:K57&lt;&gt;"",""),
    _xlpm.avgJ,IF(COUNTA(_xlpm.vals)=0,0,AVERAGE(_xlfn.TAKE(_xlpm.vals,-MIN(7,ROWS(_xlpm.vals))))),
    _xlpm.addship,IF(O58="",0,O58),
    IF(
        AND(J57="",J58=""),
        P57-_xlpm.avgJ+_xlpm.addship,
        IF(
            J58="",
            J57-_xlpm.avgJ+_xlpm.addship,
            ""
        )
    )
),J58)</f>
        <v>-89561.857142857189</v>
      </c>
      <c r="Q58" s="7" t="str">
        <f t="shared" si="2"/>
        <v>Petrol stock out | Diesel stock out</v>
      </c>
      <c r="Z58" s="8">
        <f t="shared" si="3"/>
        <v>26800</v>
      </c>
      <c r="AA58" s="8">
        <f t="shared" si="4"/>
        <v>357582</v>
      </c>
      <c r="AB58" s="8">
        <f t="shared" si="5"/>
        <v>16165</v>
      </c>
      <c r="AC58" s="8">
        <f t="shared" si="6"/>
        <v>289500</v>
      </c>
    </row>
    <row r="59" spans="1:29" s="5" customFormat="1" ht="18" customHeight="1" x14ac:dyDescent="0.25">
      <c r="A59" s="7"/>
      <c r="E59" s="7"/>
      <c r="G59" s="3">
        <f t="shared" si="7"/>
        <v>46152</v>
      </c>
      <c r="H59" s="13"/>
      <c r="I59" s="13"/>
      <c r="J59" s="13"/>
      <c r="K59" s="13"/>
      <c r="M59" s="6" t="str">
        <f t="shared" si="0"/>
        <v/>
      </c>
      <c r="N59" s="6" cm="1">
        <f t="array" ref="N59">IF(H59="",_xlfn.LET(
    _xlpm.vals,_xlfn._xlws.FILTER($I$5:I58,$I$5:I58&lt;&gt;"",""),
    _xlpm.avgJ,IF(COUNTA(_xlpm.vals)=0,0,AVERAGE(_xlfn.TAKE(_xlpm.vals,-MIN(7,ROWS(_xlpm.vals))))),
    _xlpm.addship,IF(M59="",0,M59),
    IF(
        AND(H58="",H59=""),
        N58-_xlpm.avgJ+_xlpm.addship,
        IF(
            H59="",
            H58-_xlpm.avgJ+_xlpm.addship,
            ""
        )
    )
),H59)</f>
        <v>-267426.85714285728</v>
      </c>
      <c r="O59" s="6" t="str">
        <f t="shared" si="1"/>
        <v/>
      </c>
      <c r="P59" s="6" cm="1">
        <f t="array" ref="P59">IF(J59="",_xlfn.LET(
    _xlpm.vals,_xlfn._xlws.FILTER($K$5:K58,$K$5:K58&lt;&gt;"",""),
    _xlpm.avgJ,IF(COUNTA(_xlpm.vals)=0,0,AVERAGE(_xlfn.TAKE(_xlpm.vals,-MIN(7,ROWS(_xlpm.vals))))),
    _xlpm.addship,IF(O59="",0,O59),
    IF(
        AND(J58="",J59=""),
        P58-_xlpm.avgJ+_xlpm.addship,
        IF(
            J59="",
            J58-_xlpm.avgJ+_xlpm.addship,
            ""
        )
    )
),J59)</f>
        <v>-95590.428571428623</v>
      </c>
      <c r="Q59" s="7" t="str">
        <f t="shared" si="2"/>
        <v>Petrol stock out | Diesel stock out</v>
      </c>
      <c r="Z59" s="8">
        <f t="shared" si="3"/>
        <v>26800</v>
      </c>
      <c r="AA59" s="8">
        <f t="shared" si="4"/>
        <v>357582</v>
      </c>
      <c r="AB59" s="8">
        <f t="shared" si="5"/>
        <v>16165</v>
      </c>
      <c r="AC59" s="8">
        <f t="shared" si="6"/>
        <v>289500</v>
      </c>
    </row>
    <row r="60" spans="1:29" s="5" customFormat="1" ht="18" customHeight="1" x14ac:dyDescent="0.25">
      <c r="A60" s="7"/>
      <c r="E60" s="7"/>
      <c r="G60" s="3">
        <f t="shared" si="7"/>
        <v>46153</v>
      </c>
      <c r="H60" s="13"/>
      <c r="I60" s="13"/>
      <c r="J60" s="13"/>
      <c r="K60" s="13"/>
      <c r="M60" s="6" t="str">
        <f t="shared" si="0"/>
        <v/>
      </c>
      <c r="N60" s="6" cm="1">
        <f t="array" ref="N60">IF(H60="",_xlfn.LET(
    _xlpm.vals,_xlfn._xlws.FILTER($I$5:I59,$I$5:I59&lt;&gt;"",""),
    _xlpm.avgJ,IF(COUNTA(_xlpm.vals)=0,0,AVERAGE(_xlfn.TAKE(_xlpm.vals,-MIN(7,ROWS(_xlpm.vals))))),
    _xlpm.addship,IF(M60="",0,M60),
    IF(
        AND(H59="",H60=""),
        N59-_xlpm.avgJ+_xlpm.addship,
        IF(
            H60="",
            H59-_xlpm.avgJ+_xlpm.addship,
            ""
        )
    )
),H60)</f>
        <v>-276384.00000000012</v>
      </c>
      <c r="O60" s="6" t="str">
        <f t="shared" si="1"/>
        <v/>
      </c>
      <c r="P60" s="6" cm="1">
        <f t="array" ref="P60">IF(J60="",_xlfn.LET(
    _xlpm.vals,_xlfn._xlws.FILTER($K$5:K59,$K$5:K59&lt;&gt;"",""),
    _xlpm.avgJ,IF(COUNTA(_xlpm.vals)=0,0,AVERAGE(_xlfn.TAKE(_xlpm.vals,-MIN(7,ROWS(_xlpm.vals))))),
    _xlpm.addship,IF(O60="",0,O60),
    IF(
        AND(J59="",J60=""),
        P59-_xlpm.avgJ+_xlpm.addship,
        IF(
            J60="",
            J59-_xlpm.avgJ+_xlpm.addship,
            ""
        )
    )
),J60)</f>
        <v>-101619.00000000006</v>
      </c>
      <c r="Q60" s="7" t="str">
        <f t="shared" si="2"/>
        <v>Petrol stock out | Diesel stock out</v>
      </c>
      <c r="Z60" s="8">
        <f t="shared" si="3"/>
        <v>26800</v>
      </c>
      <c r="AA60" s="8">
        <f t="shared" si="4"/>
        <v>357582</v>
      </c>
      <c r="AB60" s="8">
        <f t="shared" si="5"/>
        <v>16165</v>
      </c>
      <c r="AC60" s="8">
        <f t="shared" si="6"/>
        <v>289500</v>
      </c>
    </row>
    <row r="61" spans="1:29" s="5" customFormat="1" ht="18" customHeight="1" x14ac:dyDescent="0.25">
      <c r="A61" s="7"/>
      <c r="E61" s="7"/>
      <c r="G61" s="3">
        <f t="shared" si="7"/>
        <v>46154</v>
      </c>
      <c r="H61" s="13"/>
      <c r="I61" s="13"/>
      <c r="J61" s="13"/>
      <c r="K61" s="13"/>
      <c r="M61" s="6" t="str">
        <f t="shared" si="0"/>
        <v/>
      </c>
      <c r="N61" s="6" cm="1">
        <f t="array" ref="N61">IF(H61="",_xlfn.LET(
    _xlpm.vals,_xlfn._xlws.FILTER($I$5:I60,$I$5:I60&lt;&gt;"",""),
    _xlpm.avgJ,IF(COUNTA(_xlpm.vals)=0,0,AVERAGE(_xlfn.TAKE(_xlpm.vals,-MIN(7,ROWS(_xlpm.vals))))),
    _xlpm.addship,IF(M61="",0,M61),
    IF(
        AND(H60="",H61=""),
        N60-_xlpm.avgJ+_xlpm.addship,
        IF(
            H61="",
            H60-_xlpm.avgJ+_xlpm.addship,
            ""
        )
    )
),H61)</f>
        <v>-285341.14285714296</v>
      </c>
      <c r="O61" s="6" t="str">
        <f t="shared" si="1"/>
        <v/>
      </c>
      <c r="P61" s="6" cm="1">
        <f t="array" ref="P61">IF(J61="",_xlfn.LET(
    _xlpm.vals,_xlfn._xlws.FILTER($K$5:K60,$K$5:K60&lt;&gt;"",""),
    _xlpm.avgJ,IF(COUNTA(_xlpm.vals)=0,0,AVERAGE(_xlfn.TAKE(_xlpm.vals,-MIN(7,ROWS(_xlpm.vals))))),
    _xlpm.addship,IF(O61="",0,O61),
    IF(
        AND(J60="",J61=""),
        P60-_xlpm.avgJ+_xlpm.addship,
        IF(
            J61="",
            J60-_xlpm.avgJ+_xlpm.addship,
            ""
        )
    )
),J61)</f>
        <v>-107647.57142857149</v>
      </c>
      <c r="Q61" s="7" t="str">
        <f t="shared" si="2"/>
        <v>Petrol stock out | Diesel stock out</v>
      </c>
      <c r="Z61" s="8">
        <f t="shared" si="3"/>
        <v>26800</v>
      </c>
      <c r="AA61" s="8">
        <f t="shared" si="4"/>
        <v>357582</v>
      </c>
      <c r="AB61" s="8">
        <f t="shared" si="5"/>
        <v>16165</v>
      </c>
      <c r="AC61" s="8">
        <f t="shared" si="6"/>
        <v>289500</v>
      </c>
    </row>
    <row r="62" spans="1:29" s="5" customFormat="1" ht="18" customHeight="1" x14ac:dyDescent="0.25">
      <c r="A62" s="7"/>
      <c r="E62" s="7"/>
      <c r="G62" s="3">
        <f t="shared" si="7"/>
        <v>46155</v>
      </c>
      <c r="H62" s="13"/>
      <c r="I62" s="13"/>
      <c r="J62" s="13"/>
      <c r="K62" s="13"/>
      <c r="M62" s="6" t="str">
        <f t="shared" si="0"/>
        <v/>
      </c>
      <c r="N62" s="6" cm="1">
        <f t="array" ref="N62">IF(H62="",_xlfn.LET(
    _xlpm.vals,_xlfn._xlws.FILTER($I$5:I61,$I$5:I61&lt;&gt;"",""),
    _xlpm.avgJ,IF(COUNTA(_xlpm.vals)=0,0,AVERAGE(_xlfn.TAKE(_xlpm.vals,-MIN(7,ROWS(_xlpm.vals))))),
    _xlpm.addship,IF(M62="",0,M62),
    IF(
        AND(H61="",H62=""),
        N61-_xlpm.avgJ+_xlpm.addship,
        IF(
            H62="",
            H61-_xlpm.avgJ+_xlpm.addship,
            ""
        )
    )
),H62)</f>
        <v>-294298.2857142858</v>
      </c>
      <c r="O62" s="6" t="str">
        <f t="shared" si="1"/>
        <v/>
      </c>
      <c r="P62" s="6" cm="1">
        <f t="array" ref="P62">IF(J62="",_xlfn.LET(
    _xlpm.vals,_xlfn._xlws.FILTER($K$5:K61,$K$5:K61&lt;&gt;"",""),
    _xlpm.avgJ,IF(COUNTA(_xlpm.vals)=0,0,AVERAGE(_xlfn.TAKE(_xlpm.vals,-MIN(7,ROWS(_xlpm.vals))))),
    _xlpm.addship,IF(O62="",0,O62),
    IF(
        AND(J61="",J62=""),
        P61-_xlpm.avgJ+_xlpm.addship,
        IF(
            J62="",
            J61-_xlpm.avgJ+_xlpm.addship,
            ""
        )
    )
),J62)</f>
        <v>-113676.14285714293</v>
      </c>
      <c r="Q62" s="7" t="str">
        <f t="shared" si="2"/>
        <v>Petrol stock out | Diesel stock out</v>
      </c>
      <c r="Z62" s="8">
        <f t="shared" si="3"/>
        <v>26800</v>
      </c>
      <c r="AA62" s="8">
        <f t="shared" si="4"/>
        <v>357582</v>
      </c>
      <c r="AB62" s="8">
        <f t="shared" si="5"/>
        <v>16165</v>
      </c>
      <c r="AC62" s="8">
        <f t="shared" si="6"/>
        <v>289500</v>
      </c>
    </row>
    <row r="63" spans="1:29" s="5" customFormat="1" ht="18" customHeight="1" x14ac:dyDescent="0.25">
      <c r="A63" s="7"/>
      <c r="E63" s="7"/>
      <c r="G63" s="3">
        <f t="shared" si="7"/>
        <v>46156</v>
      </c>
      <c r="H63" s="13"/>
      <c r="I63" s="13"/>
      <c r="J63" s="13"/>
      <c r="K63" s="13"/>
      <c r="M63" s="6" t="str">
        <f t="shared" si="0"/>
        <v/>
      </c>
      <c r="N63" s="6" cm="1">
        <f t="array" ref="N63">IF(H63="",_xlfn.LET(
    _xlpm.vals,_xlfn._xlws.FILTER($I$5:I62,$I$5:I62&lt;&gt;"",""),
    _xlpm.avgJ,IF(COUNTA(_xlpm.vals)=0,0,AVERAGE(_xlfn.TAKE(_xlpm.vals,-MIN(7,ROWS(_xlpm.vals))))),
    _xlpm.addship,IF(M63="",0,M63),
    IF(
        AND(H62="",H63=""),
        N62-_xlpm.avgJ+_xlpm.addship,
        IF(
            H63="",
            H62-_xlpm.avgJ+_xlpm.addship,
            ""
        )
    )
),H63)</f>
        <v>-303255.42857142864</v>
      </c>
      <c r="O63" s="6" t="str">
        <f t="shared" si="1"/>
        <v/>
      </c>
      <c r="P63" s="6" cm="1">
        <f t="array" ref="P63">IF(J63="",_xlfn.LET(
    _xlpm.vals,_xlfn._xlws.FILTER($K$5:K62,$K$5:K62&lt;&gt;"",""),
    _xlpm.avgJ,IF(COUNTA(_xlpm.vals)=0,0,AVERAGE(_xlfn.TAKE(_xlpm.vals,-MIN(7,ROWS(_xlpm.vals))))),
    _xlpm.addship,IF(O63="",0,O63),
    IF(
        AND(J62="",J63=""),
        P62-_xlpm.avgJ+_xlpm.addship,
        IF(
            J63="",
            J62-_xlpm.avgJ+_xlpm.addship,
            ""
        )
    )
),J63)</f>
        <v>-119704.71428571436</v>
      </c>
      <c r="Q63" s="7" t="str">
        <f t="shared" si="2"/>
        <v>Petrol stock out | Diesel stock out</v>
      </c>
      <c r="Z63" s="8">
        <f t="shared" si="3"/>
        <v>26800</v>
      </c>
      <c r="AA63" s="8">
        <f t="shared" si="4"/>
        <v>357582</v>
      </c>
      <c r="AB63" s="8">
        <f t="shared" si="5"/>
        <v>16165</v>
      </c>
      <c r="AC63" s="8">
        <f t="shared" si="6"/>
        <v>289500</v>
      </c>
    </row>
    <row r="64" spans="1:29" s="5" customFormat="1" ht="18" customHeight="1" x14ac:dyDescent="0.25">
      <c r="A64" s="7"/>
      <c r="E64" s="7"/>
      <c r="G64" s="3">
        <f t="shared" si="7"/>
        <v>46157</v>
      </c>
      <c r="H64" s="13"/>
      <c r="I64" s="13"/>
      <c r="J64" s="13"/>
      <c r="K64" s="13"/>
      <c r="M64" s="6" t="str">
        <f t="shared" si="0"/>
        <v/>
      </c>
      <c r="N64" s="6" cm="1">
        <f t="array" ref="N64">IF(H64="",_xlfn.LET(
    _xlpm.vals,_xlfn._xlws.FILTER($I$5:I63,$I$5:I63&lt;&gt;"",""),
    _xlpm.avgJ,IF(COUNTA(_xlpm.vals)=0,0,AVERAGE(_xlfn.TAKE(_xlpm.vals,-MIN(7,ROWS(_xlpm.vals))))),
    _xlpm.addship,IF(M64="",0,M64),
    IF(
        AND(H63="",H64=""),
        N63-_xlpm.avgJ+_xlpm.addship,
        IF(
            H64="",
            H63-_xlpm.avgJ+_xlpm.addship,
            ""
        )
    )
),H64)</f>
        <v>-312212.57142857148</v>
      </c>
      <c r="O64" s="6" t="str">
        <f t="shared" si="1"/>
        <v/>
      </c>
      <c r="P64" s="6" cm="1">
        <f t="array" ref="P64">IF(J64="",_xlfn.LET(
    _xlpm.vals,_xlfn._xlws.FILTER($K$5:K63,$K$5:K63&lt;&gt;"",""),
    _xlpm.avgJ,IF(COUNTA(_xlpm.vals)=0,0,AVERAGE(_xlfn.TAKE(_xlpm.vals,-MIN(7,ROWS(_xlpm.vals))))),
    _xlpm.addship,IF(O64="",0,O64),
    IF(
        AND(J63="",J64=""),
        P63-_xlpm.avgJ+_xlpm.addship,
        IF(
            J64="",
            J63-_xlpm.avgJ+_xlpm.addship,
            ""
        )
    )
),J64)</f>
        <v>-125733.2857142858</v>
      </c>
      <c r="Q64" s="7" t="str">
        <f t="shared" si="2"/>
        <v>Petrol stock out | Diesel stock out</v>
      </c>
      <c r="Z64" s="8">
        <f t="shared" si="3"/>
        <v>26800</v>
      </c>
      <c r="AA64" s="8">
        <f t="shared" si="4"/>
        <v>357582</v>
      </c>
      <c r="AB64" s="8">
        <f t="shared" si="5"/>
        <v>16165</v>
      </c>
      <c r="AC64" s="8">
        <f t="shared" si="6"/>
        <v>289500</v>
      </c>
    </row>
    <row r="65" spans="1:29" s="5" customFormat="1" ht="18" customHeight="1" x14ac:dyDescent="0.25">
      <c r="A65" s="7"/>
      <c r="E65" s="7"/>
      <c r="G65" s="3">
        <f t="shared" si="7"/>
        <v>46158</v>
      </c>
      <c r="H65" s="13"/>
      <c r="I65" s="13"/>
      <c r="J65" s="13"/>
      <c r="K65" s="13"/>
      <c r="M65" s="6" t="str">
        <f t="shared" si="0"/>
        <v/>
      </c>
      <c r="N65" s="6" cm="1">
        <f t="array" ref="N65">IF(H65="",_xlfn.LET(
    _xlpm.vals,_xlfn._xlws.FILTER($I$5:I64,$I$5:I64&lt;&gt;"",""),
    _xlpm.avgJ,IF(COUNTA(_xlpm.vals)=0,0,AVERAGE(_xlfn.TAKE(_xlpm.vals,-MIN(7,ROWS(_xlpm.vals))))),
    _xlpm.addship,IF(M65="",0,M65),
    IF(
        AND(H64="",H65=""),
        N64-_xlpm.avgJ+_xlpm.addship,
        IF(
            H65="",
            H64-_xlpm.avgJ+_xlpm.addship,
            ""
        )
    )
),H65)</f>
        <v>-321169.71428571432</v>
      </c>
      <c r="O65" s="6" t="str">
        <f t="shared" si="1"/>
        <v/>
      </c>
      <c r="P65" s="6" cm="1">
        <f t="array" ref="P65">IF(J65="",_xlfn.LET(
    _xlpm.vals,_xlfn._xlws.FILTER($K$5:K64,$K$5:K64&lt;&gt;"",""),
    _xlpm.avgJ,IF(COUNTA(_xlpm.vals)=0,0,AVERAGE(_xlfn.TAKE(_xlpm.vals,-MIN(7,ROWS(_xlpm.vals))))),
    _xlpm.addship,IF(O65="",0,O65),
    IF(
        AND(J64="",J65=""),
        P64-_xlpm.avgJ+_xlpm.addship,
        IF(
            J65="",
            J64-_xlpm.avgJ+_xlpm.addship,
            ""
        )
    )
),J65)</f>
        <v>-131761.85714285722</v>
      </c>
      <c r="Q65" s="7" t="str">
        <f t="shared" si="2"/>
        <v>Petrol stock out | Diesel stock out</v>
      </c>
      <c r="Z65" s="8">
        <f t="shared" si="3"/>
        <v>26800</v>
      </c>
      <c r="AA65" s="8">
        <f t="shared" si="4"/>
        <v>357582</v>
      </c>
      <c r="AB65" s="8">
        <f t="shared" si="5"/>
        <v>16165</v>
      </c>
      <c r="AC65" s="8">
        <f t="shared" si="6"/>
        <v>289500</v>
      </c>
    </row>
    <row r="66" spans="1:29" s="5" customFormat="1" ht="18" customHeight="1" x14ac:dyDescent="0.25">
      <c r="A66" s="7"/>
      <c r="E66" s="7"/>
      <c r="G66" s="3">
        <f t="shared" si="7"/>
        <v>46159</v>
      </c>
      <c r="H66" s="13"/>
      <c r="I66" s="13"/>
      <c r="J66" s="13"/>
      <c r="K66" s="13"/>
      <c r="M66" s="6" t="str">
        <f t="shared" si="0"/>
        <v/>
      </c>
      <c r="N66" s="6" cm="1">
        <f t="array" ref="N66">IF(H66="",_xlfn.LET(
    _xlpm.vals,_xlfn._xlws.FILTER($I$5:I65,$I$5:I65&lt;&gt;"",""),
    _xlpm.avgJ,IF(COUNTA(_xlpm.vals)=0,0,AVERAGE(_xlfn.TAKE(_xlpm.vals,-MIN(7,ROWS(_xlpm.vals))))),
    _xlpm.addship,IF(M66="",0,M66),
    IF(
        AND(H65="",H66=""),
        N65-_xlpm.avgJ+_xlpm.addship,
        IF(
            H66="",
            H65-_xlpm.avgJ+_xlpm.addship,
            ""
        )
    )
),H66)</f>
        <v>-330126.85714285716</v>
      </c>
      <c r="O66" s="6" t="str">
        <f t="shared" si="1"/>
        <v/>
      </c>
      <c r="P66" s="6" cm="1">
        <f t="array" ref="P66">IF(J66="",_xlfn.LET(
    _xlpm.vals,_xlfn._xlws.FILTER($K$5:K65,$K$5:K65&lt;&gt;"",""),
    _xlpm.avgJ,IF(COUNTA(_xlpm.vals)=0,0,AVERAGE(_xlfn.TAKE(_xlpm.vals,-MIN(7,ROWS(_xlpm.vals))))),
    _xlpm.addship,IF(O66="",0,O66),
    IF(
        AND(J65="",J66=""),
        P65-_xlpm.avgJ+_xlpm.addship,
        IF(
            J66="",
            J65-_xlpm.avgJ+_xlpm.addship,
            ""
        )
    )
),J66)</f>
        <v>-137790.42857142864</v>
      </c>
      <c r="Q66" s="7" t="str">
        <f t="shared" si="2"/>
        <v>Petrol stock out | Diesel stock out</v>
      </c>
      <c r="Z66" s="8">
        <f t="shared" si="3"/>
        <v>26800</v>
      </c>
      <c r="AA66" s="8">
        <f t="shared" si="4"/>
        <v>357582</v>
      </c>
      <c r="AB66" s="8">
        <f t="shared" si="5"/>
        <v>16165</v>
      </c>
      <c r="AC66" s="8">
        <f t="shared" si="6"/>
        <v>289500</v>
      </c>
    </row>
    <row r="67" spans="1:29" s="5" customFormat="1" ht="18" customHeight="1" x14ac:dyDescent="0.25">
      <c r="A67" s="7"/>
      <c r="E67" s="7"/>
      <c r="G67" s="3">
        <f t="shared" si="7"/>
        <v>46160</v>
      </c>
      <c r="H67" s="13"/>
      <c r="I67" s="13"/>
      <c r="J67" s="13"/>
      <c r="K67" s="13"/>
      <c r="M67" s="6" t="str">
        <f t="shared" si="0"/>
        <v/>
      </c>
      <c r="N67" s="6" cm="1">
        <f t="array" ref="N67">IF(H67="",_xlfn.LET(
    _xlpm.vals,_xlfn._xlws.FILTER($I$5:I66,$I$5:I66&lt;&gt;"",""),
    _xlpm.avgJ,IF(COUNTA(_xlpm.vals)=0,0,AVERAGE(_xlfn.TAKE(_xlpm.vals,-MIN(7,ROWS(_xlpm.vals))))),
    _xlpm.addship,IF(M67="",0,M67),
    IF(
        AND(H66="",H67=""),
        N66-_xlpm.avgJ+_xlpm.addship,
        IF(
            H67="",
            H66-_xlpm.avgJ+_xlpm.addship,
            ""
        )
    )
),H67)</f>
        <v>-339084</v>
      </c>
      <c r="O67" s="6" t="str">
        <f t="shared" si="1"/>
        <v/>
      </c>
      <c r="P67" s="6" cm="1">
        <f t="array" ref="P67">IF(J67="",_xlfn.LET(
    _xlpm.vals,_xlfn._xlws.FILTER($K$5:K66,$K$5:K66&lt;&gt;"",""),
    _xlpm.avgJ,IF(COUNTA(_xlpm.vals)=0,0,AVERAGE(_xlfn.TAKE(_xlpm.vals,-MIN(7,ROWS(_xlpm.vals))))),
    _xlpm.addship,IF(O67="",0,O67),
    IF(
        AND(J66="",J67=""),
        P66-_xlpm.avgJ+_xlpm.addship,
        IF(
            J67="",
            J66-_xlpm.avgJ+_xlpm.addship,
            ""
        )
    )
),J67)</f>
        <v>-143819.00000000006</v>
      </c>
      <c r="Q67" s="7" t="str">
        <f t="shared" si="2"/>
        <v>Petrol stock out | Diesel stock out</v>
      </c>
      <c r="Z67" s="8">
        <f t="shared" si="3"/>
        <v>26800</v>
      </c>
      <c r="AA67" s="8">
        <f t="shared" si="4"/>
        <v>357582</v>
      </c>
      <c r="AB67" s="8">
        <f t="shared" si="5"/>
        <v>16165</v>
      </c>
      <c r="AC67" s="8">
        <f t="shared" si="6"/>
        <v>289500</v>
      </c>
    </row>
    <row r="68" spans="1:29" s="5" customFormat="1" ht="18" customHeight="1" x14ac:dyDescent="0.25">
      <c r="A68" s="7"/>
      <c r="E68" s="7"/>
      <c r="G68" s="3">
        <f t="shared" si="7"/>
        <v>46161</v>
      </c>
      <c r="H68" s="13"/>
      <c r="I68" s="13"/>
      <c r="J68" s="13"/>
      <c r="K68" s="13"/>
      <c r="M68" s="6" t="str">
        <f t="shared" si="0"/>
        <v/>
      </c>
      <c r="N68" s="6" cm="1">
        <f t="array" ref="N68">IF(H68="",_xlfn.LET(
    _xlpm.vals,_xlfn._xlws.FILTER($I$5:I67,$I$5:I67&lt;&gt;"",""),
    _xlpm.avgJ,IF(COUNTA(_xlpm.vals)=0,0,AVERAGE(_xlfn.TAKE(_xlpm.vals,-MIN(7,ROWS(_xlpm.vals))))),
    _xlpm.addship,IF(M68="",0,M68),
    IF(
        AND(H67="",H68=""),
        N67-_xlpm.avgJ+_xlpm.addship,
        IF(
            H68="",
            H67-_xlpm.avgJ+_xlpm.addship,
            ""
        )
    )
),H68)</f>
        <v>-348041.14285714284</v>
      </c>
      <c r="O68" s="6" t="str">
        <f t="shared" si="1"/>
        <v/>
      </c>
      <c r="P68" s="6" cm="1">
        <f t="array" ref="P68">IF(J68="",_xlfn.LET(
    _xlpm.vals,_xlfn._xlws.FILTER($K$5:K67,$K$5:K67&lt;&gt;"",""),
    _xlpm.avgJ,IF(COUNTA(_xlpm.vals)=0,0,AVERAGE(_xlfn.TAKE(_xlpm.vals,-MIN(7,ROWS(_xlpm.vals))))),
    _xlpm.addship,IF(O68="",0,O68),
    IF(
        AND(J67="",J68=""),
        P67-_xlpm.avgJ+_xlpm.addship,
        IF(
            J68="",
            J67-_xlpm.avgJ+_xlpm.addship,
            ""
        )
    )
),J68)</f>
        <v>-149847.57142857148</v>
      </c>
      <c r="Q68" s="7" t="str">
        <f t="shared" si="2"/>
        <v>Petrol stock out | Diesel stock out</v>
      </c>
      <c r="Z68" s="8">
        <f t="shared" si="3"/>
        <v>26800</v>
      </c>
      <c r="AA68" s="8">
        <f t="shared" si="4"/>
        <v>357582</v>
      </c>
      <c r="AB68" s="8">
        <f t="shared" si="5"/>
        <v>16165</v>
      </c>
      <c r="AC68" s="8">
        <f t="shared" si="6"/>
        <v>289500</v>
      </c>
    </row>
    <row r="69" spans="1:29" s="5" customFormat="1" ht="18" customHeight="1" x14ac:dyDescent="0.25">
      <c r="A69" s="7"/>
      <c r="E69" s="7"/>
      <c r="G69" s="3">
        <f t="shared" si="7"/>
        <v>46162</v>
      </c>
      <c r="H69" s="13"/>
      <c r="I69" s="13"/>
      <c r="J69" s="13"/>
      <c r="K69" s="13"/>
      <c r="M69" s="6" t="str">
        <f t="shared" ref="M69:M110" si="8">IF(H69="",IFERROR(_xlfn.XLOOKUP(G69,$B$7:$B$11,$C$7:$C$11,""),""),"")</f>
        <v/>
      </c>
      <c r="N69" s="6" cm="1">
        <f t="array" ref="N69">IF(H69="",_xlfn.LET(
    _xlpm.vals,_xlfn._xlws.FILTER($I$5:I68,$I$5:I68&lt;&gt;"",""),
    _xlpm.avgJ,IF(COUNTA(_xlpm.vals)=0,0,AVERAGE(_xlfn.TAKE(_xlpm.vals,-MIN(7,ROWS(_xlpm.vals))))),
    _xlpm.addship,IF(M69="",0,M69),
    IF(
        AND(H68="",H69=""),
        N68-_xlpm.avgJ+_xlpm.addship,
        IF(
            H69="",
            H68-_xlpm.avgJ+_xlpm.addship,
            ""
        )
    )
),H69)</f>
        <v>-356998.28571428568</v>
      </c>
      <c r="O69" s="6" t="str">
        <f t="shared" ref="O69:O110" si="9">IF(J69="",IFERROR(_xlfn.XLOOKUP(G69,$B$7:$B$11,$D$7:$D$11,""),""),"")</f>
        <v/>
      </c>
      <c r="P69" s="6" cm="1">
        <f t="array" ref="P69">IF(J69="",_xlfn.LET(
    _xlpm.vals,_xlfn._xlws.FILTER($K$5:K68,$K$5:K68&lt;&gt;"",""),
    _xlpm.avgJ,IF(COUNTA(_xlpm.vals)=0,0,AVERAGE(_xlfn.TAKE(_xlpm.vals,-MIN(7,ROWS(_xlpm.vals))))),
    _xlpm.addship,IF(O69="",0,O69),
    IF(
        AND(J68="",J69=""),
        P68-_xlpm.avgJ+_xlpm.addship,
        IF(
            J69="",
            J68-_xlpm.avgJ+_xlpm.addship,
            ""
        )
    )
),J69)</f>
        <v>-155876.1428571429</v>
      </c>
      <c r="Q69" s="7" t="str">
        <f t="shared" ref="Q69:Q110" si="10">IF(AND(N69="",P69=""),"",
_xlfn.LET(
_xlpm.msgs,
_xlfn.TEXTJOIN(" | ",TRUE,
IF(N69&gt;$C$20,"Petrol over capacity",""),
IF(N69&lt;$C$21,"Petrol stock out",""),
IF(P69&gt;$D$20,"Diesel over capacity",""),
IF(P69&lt;$D$21,"Diesel stock out","")
),
IF(_xlpm.msgs="","",_xlpm.msgs)
))</f>
        <v>Petrol stock out | Diesel stock out</v>
      </c>
      <c r="Z69" s="8">
        <f t="shared" si="3"/>
        <v>26800</v>
      </c>
      <c r="AA69" s="8">
        <f t="shared" si="4"/>
        <v>357582</v>
      </c>
      <c r="AB69" s="8">
        <f t="shared" si="5"/>
        <v>16165</v>
      </c>
      <c r="AC69" s="8">
        <f t="shared" si="6"/>
        <v>289500</v>
      </c>
    </row>
    <row r="70" spans="1:29" s="5" customFormat="1" ht="18" customHeight="1" x14ac:dyDescent="0.25">
      <c r="A70" s="7"/>
      <c r="E70" s="7"/>
      <c r="G70" s="3">
        <f t="shared" si="7"/>
        <v>46163</v>
      </c>
      <c r="H70" s="13"/>
      <c r="I70" s="13"/>
      <c r="J70" s="13"/>
      <c r="K70" s="13"/>
      <c r="M70" s="6" t="str">
        <f t="shared" si="8"/>
        <v/>
      </c>
      <c r="N70" s="6" cm="1">
        <f t="array" ref="N70">IF(H70="",_xlfn.LET(
    _xlpm.vals,_xlfn._xlws.FILTER($I$5:I69,$I$5:I69&lt;&gt;"",""),
    _xlpm.avgJ,IF(COUNTA(_xlpm.vals)=0,0,AVERAGE(_xlfn.TAKE(_xlpm.vals,-MIN(7,ROWS(_xlpm.vals))))),
    _xlpm.addship,IF(M70="",0,M70),
    IF(
        AND(H69="",H70=""),
        N69-_xlpm.avgJ+_xlpm.addship,
        IF(
            H70="",
            H69-_xlpm.avgJ+_xlpm.addship,
            ""
        )
    )
),H70)</f>
        <v>-365955.42857142852</v>
      </c>
      <c r="O70" s="6" t="str">
        <f t="shared" si="9"/>
        <v/>
      </c>
      <c r="P70" s="6" cm="1">
        <f t="array" ref="P70">IF(J70="",_xlfn.LET(
    _xlpm.vals,_xlfn._xlws.FILTER($K$5:K69,$K$5:K69&lt;&gt;"",""),
    _xlpm.avgJ,IF(COUNTA(_xlpm.vals)=0,0,AVERAGE(_xlfn.TAKE(_xlpm.vals,-MIN(7,ROWS(_xlpm.vals))))),
    _xlpm.addship,IF(O70="",0,O70),
    IF(
        AND(J69="",J70=""),
        P69-_xlpm.avgJ+_xlpm.addship,
        IF(
            J70="",
            J69-_xlpm.avgJ+_xlpm.addship,
            ""
        )
    )
),J70)</f>
        <v>-161904.71428571432</v>
      </c>
      <c r="Q70" s="7" t="str">
        <f t="shared" si="10"/>
        <v>Petrol stock out | Diesel stock out</v>
      </c>
      <c r="Z70" s="8">
        <f t="shared" ref="Z70:Z110" si="11">$C$21</f>
        <v>26800</v>
      </c>
      <c r="AA70" s="8">
        <f t="shared" ref="AA70:AA110" si="12">$C$20</f>
        <v>357582</v>
      </c>
      <c r="AB70" s="8">
        <f t="shared" ref="AB70:AB110" si="13">$D$21</f>
        <v>16165</v>
      </c>
      <c r="AC70" s="8">
        <f t="shared" ref="AC70:AC110" si="14">$D$20</f>
        <v>289500</v>
      </c>
    </row>
    <row r="71" spans="1:29" s="5" customFormat="1" ht="18" customHeight="1" x14ac:dyDescent="0.25">
      <c r="A71" s="7"/>
      <c r="E71" s="7"/>
      <c r="G71" s="3">
        <f t="shared" ref="G71:G110" si="15">G70+1</f>
        <v>46164</v>
      </c>
      <c r="H71" s="13"/>
      <c r="I71" s="13"/>
      <c r="J71" s="13"/>
      <c r="K71" s="13"/>
      <c r="M71" s="6" t="str">
        <f t="shared" si="8"/>
        <v/>
      </c>
      <c r="N71" s="6" cm="1">
        <f t="array" ref="N71">IF(H71="",_xlfn.LET(
    _xlpm.vals,_xlfn._xlws.FILTER($I$5:I70,$I$5:I70&lt;&gt;"",""),
    _xlpm.avgJ,IF(COUNTA(_xlpm.vals)=0,0,AVERAGE(_xlfn.TAKE(_xlpm.vals,-MIN(7,ROWS(_xlpm.vals))))),
    _xlpm.addship,IF(M71="",0,M71),
    IF(
        AND(H70="",H71=""),
        N70-_xlpm.avgJ+_xlpm.addship,
        IF(
            H71="",
            H70-_xlpm.avgJ+_xlpm.addship,
            ""
        )
    )
),H71)</f>
        <v>-374912.57142857136</v>
      </c>
      <c r="O71" s="6" t="str">
        <f t="shared" si="9"/>
        <v/>
      </c>
      <c r="P71" s="6" cm="1">
        <f t="array" ref="P71">IF(J71="",_xlfn.LET(
    _xlpm.vals,_xlfn._xlws.FILTER($K$5:K70,$K$5:K70&lt;&gt;"",""),
    _xlpm.avgJ,IF(COUNTA(_xlpm.vals)=0,0,AVERAGE(_xlfn.TAKE(_xlpm.vals,-MIN(7,ROWS(_xlpm.vals))))),
    _xlpm.addship,IF(O71="",0,O71),
    IF(
        AND(J70="",J71=""),
        P70-_xlpm.avgJ+_xlpm.addship,
        IF(
            J71="",
            J70-_xlpm.avgJ+_xlpm.addship,
            ""
        )
    )
),J71)</f>
        <v>-167933.28571428574</v>
      </c>
      <c r="Q71" s="7" t="str">
        <f t="shared" si="10"/>
        <v>Petrol stock out | Diesel stock out</v>
      </c>
      <c r="Z71" s="8">
        <f t="shared" si="11"/>
        <v>26800</v>
      </c>
      <c r="AA71" s="8">
        <f t="shared" si="12"/>
        <v>357582</v>
      </c>
      <c r="AB71" s="8">
        <f t="shared" si="13"/>
        <v>16165</v>
      </c>
      <c r="AC71" s="8">
        <f t="shared" si="14"/>
        <v>289500</v>
      </c>
    </row>
    <row r="72" spans="1:29" s="5" customFormat="1" ht="18" customHeight="1" x14ac:dyDescent="0.25">
      <c r="A72" s="7"/>
      <c r="E72" s="7"/>
      <c r="G72" s="3">
        <f t="shared" si="15"/>
        <v>46165</v>
      </c>
      <c r="H72" s="13"/>
      <c r="I72" s="13"/>
      <c r="J72" s="13"/>
      <c r="K72" s="13"/>
      <c r="M72" s="6" t="str">
        <f t="shared" si="8"/>
        <v/>
      </c>
      <c r="N72" s="6" cm="1">
        <f t="array" ref="N72">IF(H72="",_xlfn.LET(
    _xlpm.vals,_xlfn._xlws.FILTER($I$5:I71,$I$5:I71&lt;&gt;"",""),
    _xlpm.avgJ,IF(COUNTA(_xlpm.vals)=0,0,AVERAGE(_xlfn.TAKE(_xlpm.vals,-MIN(7,ROWS(_xlpm.vals))))),
    _xlpm.addship,IF(M72="",0,M72),
    IF(
        AND(H71="",H72=""),
        N71-_xlpm.avgJ+_xlpm.addship,
        IF(
            H72="",
            H71-_xlpm.avgJ+_xlpm.addship,
            ""
        )
    )
),H72)</f>
        <v>-383869.7142857142</v>
      </c>
      <c r="O72" s="6" t="str">
        <f t="shared" si="9"/>
        <v/>
      </c>
      <c r="P72" s="6" cm="1">
        <f t="array" ref="P72">IF(J72="",_xlfn.LET(
    _xlpm.vals,_xlfn._xlws.FILTER($K$5:K71,$K$5:K71&lt;&gt;"",""),
    _xlpm.avgJ,IF(COUNTA(_xlpm.vals)=0,0,AVERAGE(_xlfn.TAKE(_xlpm.vals,-MIN(7,ROWS(_xlpm.vals))))),
    _xlpm.addship,IF(O72="",0,O72),
    IF(
        AND(J71="",J72=""),
        P71-_xlpm.avgJ+_xlpm.addship,
        IF(
            J72="",
            J71-_xlpm.avgJ+_xlpm.addship,
            ""
        )
    )
),J72)</f>
        <v>-173961.85714285716</v>
      </c>
      <c r="Q72" s="7" t="str">
        <f t="shared" si="10"/>
        <v>Petrol stock out | Diesel stock out</v>
      </c>
      <c r="Z72" s="8">
        <f t="shared" si="11"/>
        <v>26800</v>
      </c>
      <c r="AA72" s="8">
        <f t="shared" si="12"/>
        <v>357582</v>
      </c>
      <c r="AB72" s="8">
        <f t="shared" si="13"/>
        <v>16165</v>
      </c>
      <c r="AC72" s="8">
        <f t="shared" si="14"/>
        <v>289500</v>
      </c>
    </row>
    <row r="73" spans="1:29" s="5" customFormat="1" ht="18" customHeight="1" x14ac:dyDescent="0.25">
      <c r="A73" s="7"/>
      <c r="E73" s="7"/>
      <c r="G73" s="3">
        <f t="shared" si="15"/>
        <v>46166</v>
      </c>
      <c r="H73" s="13"/>
      <c r="I73" s="13"/>
      <c r="J73" s="13"/>
      <c r="K73" s="13"/>
      <c r="M73" s="6" t="str">
        <f t="shared" si="8"/>
        <v/>
      </c>
      <c r="N73" s="6" cm="1">
        <f t="array" ref="N73">IF(H73="",_xlfn.LET(
    _xlpm.vals,_xlfn._xlws.FILTER($I$5:I72,$I$5:I72&lt;&gt;"",""),
    _xlpm.avgJ,IF(COUNTA(_xlpm.vals)=0,0,AVERAGE(_xlfn.TAKE(_xlpm.vals,-MIN(7,ROWS(_xlpm.vals))))),
    _xlpm.addship,IF(M73="",0,M73),
    IF(
        AND(H72="",H73=""),
        N72-_xlpm.avgJ+_xlpm.addship,
        IF(
            H73="",
            H72-_xlpm.avgJ+_xlpm.addship,
            ""
        )
    )
),H73)</f>
        <v>-392826.85714285704</v>
      </c>
      <c r="O73" s="6" t="str">
        <f t="shared" si="9"/>
        <v/>
      </c>
      <c r="P73" s="6" cm="1">
        <f t="array" ref="P73">IF(J73="",_xlfn.LET(
    _xlpm.vals,_xlfn._xlws.FILTER($K$5:K72,$K$5:K72&lt;&gt;"",""),
    _xlpm.avgJ,IF(COUNTA(_xlpm.vals)=0,0,AVERAGE(_xlfn.TAKE(_xlpm.vals,-MIN(7,ROWS(_xlpm.vals))))),
    _xlpm.addship,IF(O73="",0,O73),
    IF(
        AND(J72="",J73=""),
        P72-_xlpm.avgJ+_xlpm.addship,
        IF(
            J73="",
            J72-_xlpm.avgJ+_xlpm.addship,
            ""
        )
    )
),J73)</f>
        <v>-179990.42857142858</v>
      </c>
      <c r="Q73" s="7" t="str">
        <f t="shared" si="10"/>
        <v>Petrol stock out | Diesel stock out</v>
      </c>
      <c r="Z73" s="8">
        <f t="shared" si="11"/>
        <v>26800</v>
      </c>
      <c r="AA73" s="8">
        <f t="shared" si="12"/>
        <v>357582</v>
      </c>
      <c r="AB73" s="8">
        <f t="shared" si="13"/>
        <v>16165</v>
      </c>
      <c r="AC73" s="8">
        <f t="shared" si="14"/>
        <v>289500</v>
      </c>
    </row>
    <row r="74" spans="1:29" s="5" customFormat="1" ht="18" customHeight="1" x14ac:dyDescent="0.25">
      <c r="A74" s="7"/>
      <c r="E74" s="7"/>
      <c r="G74" s="3">
        <f t="shared" si="15"/>
        <v>46167</v>
      </c>
      <c r="H74" s="13"/>
      <c r="I74" s="13"/>
      <c r="J74" s="13"/>
      <c r="K74" s="13"/>
      <c r="M74" s="6" t="str">
        <f t="shared" si="8"/>
        <v/>
      </c>
      <c r="N74" s="6" cm="1">
        <f t="array" ref="N74">IF(H74="",_xlfn.LET(
    _xlpm.vals,_xlfn._xlws.FILTER($I$5:I73,$I$5:I73&lt;&gt;"",""),
    _xlpm.avgJ,IF(COUNTA(_xlpm.vals)=0,0,AVERAGE(_xlfn.TAKE(_xlpm.vals,-MIN(7,ROWS(_xlpm.vals))))),
    _xlpm.addship,IF(M74="",0,M74),
    IF(
        AND(H73="",H74=""),
        N73-_xlpm.avgJ+_xlpm.addship,
        IF(
            H74="",
            H73-_xlpm.avgJ+_xlpm.addship,
            ""
        )
    )
),H74)</f>
        <v>-401783.99999999988</v>
      </c>
      <c r="O74" s="6" t="str">
        <f t="shared" si="9"/>
        <v/>
      </c>
      <c r="P74" s="6" cm="1">
        <f t="array" ref="P74">IF(J74="",_xlfn.LET(
    _xlpm.vals,_xlfn._xlws.FILTER($K$5:K73,$K$5:K73&lt;&gt;"",""),
    _xlpm.avgJ,IF(COUNTA(_xlpm.vals)=0,0,AVERAGE(_xlfn.TAKE(_xlpm.vals,-MIN(7,ROWS(_xlpm.vals))))),
    _xlpm.addship,IF(O74="",0,O74),
    IF(
        AND(J73="",J74=""),
        P73-_xlpm.avgJ+_xlpm.addship,
        IF(
            J74="",
            J73-_xlpm.avgJ+_xlpm.addship,
            ""
        )
    )
),J74)</f>
        <v>-186019</v>
      </c>
      <c r="Q74" s="7" t="str">
        <f t="shared" si="10"/>
        <v>Petrol stock out | Diesel stock out</v>
      </c>
      <c r="Z74" s="8">
        <f t="shared" si="11"/>
        <v>26800</v>
      </c>
      <c r="AA74" s="8">
        <f t="shared" si="12"/>
        <v>357582</v>
      </c>
      <c r="AB74" s="8">
        <f t="shared" si="13"/>
        <v>16165</v>
      </c>
      <c r="AC74" s="8">
        <f t="shared" si="14"/>
        <v>289500</v>
      </c>
    </row>
    <row r="75" spans="1:29" s="5" customFormat="1" ht="18" customHeight="1" x14ac:dyDescent="0.25">
      <c r="A75" s="7"/>
      <c r="E75" s="7"/>
      <c r="G75" s="3">
        <f t="shared" si="15"/>
        <v>46168</v>
      </c>
      <c r="H75" s="13"/>
      <c r="I75" s="13"/>
      <c r="J75" s="13"/>
      <c r="K75" s="13"/>
      <c r="M75" s="6" t="str">
        <f t="shared" si="8"/>
        <v/>
      </c>
      <c r="N75" s="6" cm="1">
        <f t="array" ref="N75">IF(H75="",_xlfn.LET(
    _xlpm.vals,_xlfn._xlws.FILTER($I$5:I74,$I$5:I74&lt;&gt;"",""),
    _xlpm.avgJ,IF(COUNTA(_xlpm.vals)=0,0,AVERAGE(_xlfn.TAKE(_xlpm.vals,-MIN(7,ROWS(_xlpm.vals))))),
    _xlpm.addship,IF(M75="",0,M75),
    IF(
        AND(H74="",H75=""),
        N74-_xlpm.avgJ+_xlpm.addship,
        IF(
            H75="",
            H74-_xlpm.avgJ+_xlpm.addship,
            ""
        )
    )
),H75)</f>
        <v>-410741.14285714272</v>
      </c>
      <c r="O75" s="6" t="str">
        <f t="shared" si="9"/>
        <v/>
      </c>
      <c r="P75" s="6" cm="1">
        <f t="array" ref="P75">IF(J75="",_xlfn.LET(
    _xlpm.vals,_xlfn._xlws.FILTER($K$5:K74,$K$5:K74&lt;&gt;"",""),
    _xlpm.avgJ,IF(COUNTA(_xlpm.vals)=0,0,AVERAGE(_xlfn.TAKE(_xlpm.vals,-MIN(7,ROWS(_xlpm.vals))))),
    _xlpm.addship,IF(O75="",0,O75),
    IF(
        AND(J74="",J75=""),
        P74-_xlpm.avgJ+_xlpm.addship,
        IF(
            J75="",
            J74-_xlpm.avgJ+_xlpm.addship,
            ""
        )
    )
),J75)</f>
        <v>-192047.57142857142</v>
      </c>
      <c r="Q75" s="7" t="str">
        <f t="shared" si="10"/>
        <v>Petrol stock out | Diesel stock out</v>
      </c>
      <c r="Z75" s="8">
        <f t="shared" si="11"/>
        <v>26800</v>
      </c>
      <c r="AA75" s="8">
        <f t="shared" si="12"/>
        <v>357582</v>
      </c>
      <c r="AB75" s="8">
        <f t="shared" si="13"/>
        <v>16165</v>
      </c>
      <c r="AC75" s="8">
        <f t="shared" si="14"/>
        <v>289500</v>
      </c>
    </row>
    <row r="76" spans="1:29" s="5" customFormat="1" ht="18" customHeight="1" x14ac:dyDescent="0.25">
      <c r="A76" s="7"/>
      <c r="E76" s="7"/>
      <c r="G76" s="3">
        <f t="shared" si="15"/>
        <v>46169</v>
      </c>
      <c r="H76" s="13"/>
      <c r="I76" s="13"/>
      <c r="J76" s="13"/>
      <c r="K76" s="13"/>
      <c r="M76" s="6" t="str">
        <f t="shared" si="8"/>
        <v/>
      </c>
      <c r="N76" s="6" cm="1">
        <f t="array" ref="N76">IF(H76="",_xlfn.LET(
    _xlpm.vals,_xlfn._xlws.FILTER($I$5:I75,$I$5:I75&lt;&gt;"",""),
    _xlpm.avgJ,IF(COUNTA(_xlpm.vals)=0,0,AVERAGE(_xlfn.TAKE(_xlpm.vals,-MIN(7,ROWS(_xlpm.vals))))),
    _xlpm.addship,IF(M76="",0,M76),
    IF(
        AND(H75="",H76=""),
        N75-_xlpm.avgJ+_xlpm.addship,
        IF(
            H76="",
            H75-_xlpm.avgJ+_xlpm.addship,
            ""
        )
    )
),H76)</f>
        <v>-419698.28571428556</v>
      </c>
      <c r="O76" s="6" t="str">
        <f t="shared" si="9"/>
        <v/>
      </c>
      <c r="P76" s="6" cm="1">
        <f t="array" ref="P76">IF(J76="",_xlfn.LET(
    _xlpm.vals,_xlfn._xlws.FILTER($K$5:K75,$K$5:K75&lt;&gt;"",""),
    _xlpm.avgJ,IF(COUNTA(_xlpm.vals)=0,0,AVERAGE(_xlfn.TAKE(_xlpm.vals,-MIN(7,ROWS(_xlpm.vals))))),
    _xlpm.addship,IF(O76="",0,O76),
    IF(
        AND(J75="",J76=""),
        P75-_xlpm.avgJ+_xlpm.addship,
        IF(
            J76="",
            J75-_xlpm.avgJ+_xlpm.addship,
            ""
        )
    )
),J76)</f>
        <v>-198076.14285714284</v>
      </c>
      <c r="Q76" s="7" t="str">
        <f t="shared" si="10"/>
        <v>Petrol stock out | Diesel stock out</v>
      </c>
      <c r="Z76" s="8">
        <f t="shared" si="11"/>
        <v>26800</v>
      </c>
      <c r="AA76" s="8">
        <f t="shared" si="12"/>
        <v>357582</v>
      </c>
      <c r="AB76" s="8">
        <f t="shared" si="13"/>
        <v>16165</v>
      </c>
      <c r="AC76" s="8">
        <f t="shared" si="14"/>
        <v>289500</v>
      </c>
    </row>
    <row r="77" spans="1:29" s="5" customFormat="1" ht="18" customHeight="1" x14ac:dyDescent="0.25">
      <c r="A77" s="7"/>
      <c r="E77" s="7"/>
      <c r="G77" s="3">
        <f t="shared" si="15"/>
        <v>46170</v>
      </c>
      <c r="H77" s="13"/>
      <c r="I77" s="13"/>
      <c r="J77" s="13"/>
      <c r="K77" s="13"/>
      <c r="M77" s="6" t="str">
        <f t="shared" si="8"/>
        <v/>
      </c>
      <c r="N77" s="6" cm="1">
        <f t="array" ref="N77">IF(H77="",_xlfn.LET(
    _xlpm.vals,_xlfn._xlws.FILTER($I$5:I76,$I$5:I76&lt;&gt;"",""),
    _xlpm.avgJ,IF(COUNTA(_xlpm.vals)=0,0,AVERAGE(_xlfn.TAKE(_xlpm.vals,-MIN(7,ROWS(_xlpm.vals))))),
    _xlpm.addship,IF(M77="",0,M77),
    IF(
        AND(H76="",H77=""),
        N76-_xlpm.avgJ+_xlpm.addship,
        IF(
            H77="",
            H76-_xlpm.avgJ+_xlpm.addship,
            ""
        )
    )
),H77)</f>
        <v>-428655.42857142841</v>
      </c>
      <c r="O77" s="6" t="str">
        <f t="shared" si="9"/>
        <v/>
      </c>
      <c r="P77" s="6" cm="1">
        <f t="array" ref="P77">IF(J77="",_xlfn.LET(
    _xlpm.vals,_xlfn._xlws.FILTER($K$5:K76,$K$5:K76&lt;&gt;"",""),
    _xlpm.avgJ,IF(COUNTA(_xlpm.vals)=0,0,AVERAGE(_xlfn.TAKE(_xlpm.vals,-MIN(7,ROWS(_xlpm.vals))))),
    _xlpm.addship,IF(O77="",0,O77),
    IF(
        AND(J76="",J77=""),
        P76-_xlpm.avgJ+_xlpm.addship,
        IF(
            J77="",
            J76-_xlpm.avgJ+_xlpm.addship,
            ""
        )
    )
),J77)</f>
        <v>-204104.71428571426</v>
      </c>
      <c r="Q77" s="7" t="str">
        <f t="shared" si="10"/>
        <v>Petrol stock out | Diesel stock out</v>
      </c>
      <c r="Z77" s="8">
        <f t="shared" si="11"/>
        <v>26800</v>
      </c>
      <c r="AA77" s="8">
        <f t="shared" si="12"/>
        <v>357582</v>
      </c>
      <c r="AB77" s="8">
        <f t="shared" si="13"/>
        <v>16165</v>
      </c>
      <c r="AC77" s="8">
        <f t="shared" si="14"/>
        <v>289500</v>
      </c>
    </row>
    <row r="78" spans="1:29" s="5" customFormat="1" ht="18" customHeight="1" x14ac:dyDescent="0.25">
      <c r="A78" s="7"/>
      <c r="E78" s="7"/>
      <c r="G78" s="3">
        <f t="shared" si="15"/>
        <v>46171</v>
      </c>
      <c r="H78" s="13"/>
      <c r="I78" s="13"/>
      <c r="J78" s="13"/>
      <c r="K78" s="13"/>
      <c r="M78" s="6" t="str">
        <f t="shared" si="8"/>
        <v/>
      </c>
      <c r="N78" s="6" cm="1">
        <f t="array" ref="N78">IF(H78="",_xlfn.LET(
    _xlpm.vals,_xlfn._xlws.FILTER($I$5:I77,$I$5:I77&lt;&gt;"",""),
    _xlpm.avgJ,IF(COUNTA(_xlpm.vals)=0,0,AVERAGE(_xlfn.TAKE(_xlpm.vals,-MIN(7,ROWS(_xlpm.vals))))),
    _xlpm.addship,IF(M78="",0,M78),
    IF(
        AND(H77="",H78=""),
        N77-_xlpm.avgJ+_xlpm.addship,
        IF(
            H78="",
            H77-_xlpm.avgJ+_xlpm.addship,
            ""
        )
    )
),H78)</f>
        <v>-437612.57142857125</v>
      </c>
      <c r="O78" s="6" t="str">
        <f t="shared" si="9"/>
        <v/>
      </c>
      <c r="P78" s="6" cm="1">
        <f t="array" ref="P78">IF(J78="",_xlfn.LET(
    _xlpm.vals,_xlfn._xlws.FILTER($K$5:K77,$K$5:K77&lt;&gt;"",""),
    _xlpm.avgJ,IF(COUNTA(_xlpm.vals)=0,0,AVERAGE(_xlfn.TAKE(_xlpm.vals,-MIN(7,ROWS(_xlpm.vals))))),
    _xlpm.addship,IF(O78="",0,O78),
    IF(
        AND(J77="",J78=""),
        P77-_xlpm.avgJ+_xlpm.addship,
        IF(
            J78="",
            J77-_xlpm.avgJ+_xlpm.addship,
            ""
        )
    )
),J78)</f>
        <v>-210133.28571428568</v>
      </c>
      <c r="Q78" s="7" t="str">
        <f t="shared" si="10"/>
        <v>Petrol stock out | Diesel stock out</v>
      </c>
      <c r="Z78" s="8">
        <f t="shared" si="11"/>
        <v>26800</v>
      </c>
      <c r="AA78" s="8">
        <f t="shared" si="12"/>
        <v>357582</v>
      </c>
      <c r="AB78" s="8">
        <f t="shared" si="13"/>
        <v>16165</v>
      </c>
      <c r="AC78" s="8">
        <f t="shared" si="14"/>
        <v>289500</v>
      </c>
    </row>
    <row r="79" spans="1:29" s="5" customFormat="1" ht="18" customHeight="1" x14ac:dyDescent="0.25">
      <c r="A79" s="7"/>
      <c r="E79" s="7"/>
      <c r="G79" s="3">
        <f t="shared" si="15"/>
        <v>46172</v>
      </c>
      <c r="H79" s="13"/>
      <c r="I79" s="13"/>
      <c r="J79" s="13"/>
      <c r="K79" s="13"/>
      <c r="M79" s="6" t="str">
        <f t="shared" si="8"/>
        <v/>
      </c>
      <c r="N79" s="6" cm="1">
        <f t="array" ref="N79">IF(H79="",_xlfn.LET(
    _xlpm.vals,_xlfn._xlws.FILTER($I$5:I78,$I$5:I78&lt;&gt;"",""),
    _xlpm.avgJ,IF(COUNTA(_xlpm.vals)=0,0,AVERAGE(_xlfn.TAKE(_xlpm.vals,-MIN(7,ROWS(_xlpm.vals))))),
    _xlpm.addship,IF(M79="",0,M79),
    IF(
        AND(H78="",H79=""),
        N78-_xlpm.avgJ+_xlpm.addship,
        IF(
            H79="",
            H78-_xlpm.avgJ+_xlpm.addship,
            ""
        )
    )
),H79)</f>
        <v>-446569.71428571409</v>
      </c>
      <c r="O79" s="6" t="str">
        <f t="shared" si="9"/>
        <v/>
      </c>
      <c r="P79" s="6" cm="1">
        <f t="array" ref="P79">IF(J79="",_xlfn.LET(
    _xlpm.vals,_xlfn._xlws.FILTER($K$5:K78,$K$5:K78&lt;&gt;"",""),
    _xlpm.avgJ,IF(COUNTA(_xlpm.vals)=0,0,AVERAGE(_xlfn.TAKE(_xlpm.vals,-MIN(7,ROWS(_xlpm.vals))))),
    _xlpm.addship,IF(O79="",0,O79),
    IF(
        AND(J78="",J79=""),
        P78-_xlpm.avgJ+_xlpm.addship,
        IF(
            J79="",
            J78-_xlpm.avgJ+_xlpm.addship,
            ""
        )
    )
),J79)</f>
        <v>-216161.8571428571</v>
      </c>
      <c r="Q79" s="7" t="str">
        <f t="shared" si="10"/>
        <v>Petrol stock out | Diesel stock out</v>
      </c>
      <c r="Z79" s="8">
        <f t="shared" si="11"/>
        <v>26800</v>
      </c>
      <c r="AA79" s="8">
        <f t="shared" si="12"/>
        <v>357582</v>
      </c>
      <c r="AB79" s="8">
        <f t="shared" si="13"/>
        <v>16165</v>
      </c>
      <c r="AC79" s="8">
        <f t="shared" si="14"/>
        <v>289500</v>
      </c>
    </row>
    <row r="80" spans="1:29" s="5" customFormat="1" ht="18" customHeight="1" x14ac:dyDescent="0.25">
      <c r="A80" s="7"/>
      <c r="E80" s="7"/>
      <c r="G80" s="3">
        <f t="shared" si="15"/>
        <v>46173</v>
      </c>
      <c r="H80" s="13"/>
      <c r="I80" s="13"/>
      <c r="J80" s="13"/>
      <c r="K80" s="13"/>
      <c r="M80" s="6" t="str">
        <f t="shared" si="8"/>
        <v/>
      </c>
      <c r="N80" s="6" cm="1">
        <f t="array" ref="N80">IF(H80="",_xlfn.LET(
    _xlpm.vals,_xlfn._xlws.FILTER($I$5:I79,$I$5:I79&lt;&gt;"",""),
    _xlpm.avgJ,IF(COUNTA(_xlpm.vals)=0,0,AVERAGE(_xlfn.TAKE(_xlpm.vals,-MIN(7,ROWS(_xlpm.vals))))),
    _xlpm.addship,IF(M80="",0,M80),
    IF(
        AND(H79="",H80=""),
        N79-_xlpm.avgJ+_xlpm.addship,
        IF(
            H80="",
            H79-_xlpm.avgJ+_xlpm.addship,
            ""
        )
    )
),H80)</f>
        <v>-455526.85714285693</v>
      </c>
      <c r="O80" s="6" t="str">
        <f t="shared" si="9"/>
        <v/>
      </c>
      <c r="P80" s="6" cm="1">
        <f t="array" ref="P80">IF(J80="",_xlfn.LET(
    _xlpm.vals,_xlfn._xlws.FILTER($K$5:K79,$K$5:K79&lt;&gt;"",""),
    _xlpm.avgJ,IF(COUNTA(_xlpm.vals)=0,0,AVERAGE(_xlfn.TAKE(_xlpm.vals,-MIN(7,ROWS(_xlpm.vals))))),
    _xlpm.addship,IF(O80="",0,O80),
    IF(
        AND(J79="",J80=""),
        P79-_xlpm.avgJ+_xlpm.addship,
        IF(
            J80="",
            J79-_xlpm.avgJ+_xlpm.addship,
            ""
        )
    )
),J80)</f>
        <v>-222190.42857142852</v>
      </c>
      <c r="Q80" s="7" t="str">
        <f t="shared" si="10"/>
        <v>Petrol stock out | Diesel stock out</v>
      </c>
      <c r="Z80" s="8">
        <f t="shared" si="11"/>
        <v>26800</v>
      </c>
      <c r="AA80" s="8">
        <f t="shared" si="12"/>
        <v>357582</v>
      </c>
      <c r="AB80" s="8">
        <f t="shared" si="13"/>
        <v>16165</v>
      </c>
      <c r="AC80" s="8">
        <f t="shared" si="14"/>
        <v>289500</v>
      </c>
    </row>
    <row r="81" spans="1:29" s="5" customFormat="1" ht="18" customHeight="1" x14ac:dyDescent="0.25">
      <c r="A81" s="7"/>
      <c r="E81" s="7"/>
      <c r="G81" s="3">
        <f t="shared" si="15"/>
        <v>46174</v>
      </c>
      <c r="H81" s="13"/>
      <c r="I81" s="13"/>
      <c r="J81" s="13"/>
      <c r="K81" s="13"/>
      <c r="M81" s="6" t="str">
        <f t="shared" si="8"/>
        <v/>
      </c>
      <c r="N81" s="6" cm="1">
        <f t="array" ref="N81">IF(H81="",_xlfn.LET(
    _xlpm.vals,_xlfn._xlws.FILTER($I$5:I80,$I$5:I80&lt;&gt;"",""),
    _xlpm.avgJ,IF(COUNTA(_xlpm.vals)=0,0,AVERAGE(_xlfn.TAKE(_xlpm.vals,-MIN(7,ROWS(_xlpm.vals))))),
    _xlpm.addship,IF(M81="",0,M81),
    IF(
        AND(H80="",H81=""),
        N80-_xlpm.avgJ+_xlpm.addship,
        IF(
            H81="",
            H80-_xlpm.avgJ+_xlpm.addship,
            ""
        )
    )
),H81)</f>
        <v>-464483.99999999977</v>
      </c>
      <c r="O81" s="6" t="str">
        <f t="shared" si="9"/>
        <v/>
      </c>
      <c r="P81" s="6" cm="1">
        <f t="array" ref="P81">IF(J81="",_xlfn.LET(
    _xlpm.vals,_xlfn._xlws.FILTER($K$5:K80,$K$5:K80&lt;&gt;"",""),
    _xlpm.avgJ,IF(COUNTA(_xlpm.vals)=0,0,AVERAGE(_xlfn.TAKE(_xlpm.vals,-MIN(7,ROWS(_xlpm.vals))))),
    _xlpm.addship,IF(O81="",0,O81),
    IF(
        AND(J80="",J81=""),
        P80-_xlpm.avgJ+_xlpm.addship,
        IF(
            J81="",
            J80-_xlpm.avgJ+_xlpm.addship,
            ""
        )
    )
),J81)</f>
        <v>-228218.99999999994</v>
      </c>
      <c r="Q81" s="7" t="str">
        <f t="shared" si="10"/>
        <v>Petrol stock out | Diesel stock out</v>
      </c>
      <c r="Z81" s="8">
        <f t="shared" si="11"/>
        <v>26800</v>
      </c>
      <c r="AA81" s="8">
        <f t="shared" si="12"/>
        <v>357582</v>
      </c>
      <c r="AB81" s="8">
        <f t="shared" si="13"/>
        <v>16165</v>
      </c>
      <c r="AC81" s="8">
        <f t="shared" si="14"/>
        <v>289500</v>
      </c>
    </row>
    <row r="82" spans="1:29" s="5" customFormat="1" ht="18" customHeight="1" x14ac:dyDescent="0.25">
      <c r="A82" s="7"/>
      <c r="E82" s="7"/>
      <c r="G82" s="3">
        <f t="shared" si="15"/>
        <v>46175</v>
      </c>
      <c r="H82" s="13"/>
      <c r="I82" s="13"/>
      <c r="J82" s="13"/>
      <c r="K82" s="13"/>
      <c r="M82" s="6" t="str">
        <f t="shared" si="8"/>
        <v/>
      </c>
      <c r="N82" s="6" cm="1">
        <f t="array" ref="N82">IF(H82="",_xlfn.LET(
    _xlpm.vals,_xlfn._xlws.FILTER($I$5:I81,$I$5:I81&lt;&gt;"",""),
    _xlpm.avgJ,IF(COUNTA(_xlpm.vals)=0,0,AVERAGE(_xlfn.TAKE(_xlpm.vals,-MIN(7,ROWS(_xlpm.vals))))),
    _xlpm.addship,IF(M82="",0,M82),
    IF(
        AND(H81="",H82=""),
        N81-_xlpm.avgJ+_xlpm.addship,
        IF(
            H82="",
            H81-_xlpm.avgJ+_xlpm.addship,
            ""
        )
    )
),H82)</f>
        <v>-473441.14285714261</v>
      </c>
      <c r="O82" s="6" t="str">
        <f t="shared" si="9"/>
        <v/>
      </c>
      <c r="P82" s="6" cm="1">
        <f t="array" ref="P82">IF(J82="",_xlfn.LET(
    _xlpm.vals,_xlfn._xlws.FILTER($K$5:K81,$K$5:K81&lt;&gt;"",""),
    _xlpm.avgJ,IF(COUNTA(_xlpm.vals)=0,0,AVERAGE(_xlfn.TAKE(_xlpm.vals,-MIN(7,ROWS(_xlpm.vals))))),
    _xlpm.addship,IF(O82="",0,O82),
    IF(
        AND(J81="",J82=""),
        P81-_xlpm.avgJ+_xlpm.addship,
        IF(
            J82="",
            J81-_xlpm.avgJ+_xlpm.addship,
            ""
        )
    )
),J82)</f>
        <v>-234247.57142857136</v>
      </c>
      <c r="Q82" s="7" t="str">
        <f t="shared" si="10"/>
        <v>Petrol stock out | Diesel stock out</v>
      </c>
      <c r="Z82" s="8">
        <f t="shared" si="11"/>
        <v>26800</v>
      </c>
      <c r="AA82" s="8">
        <f t="shared" si="12"/>
        <v>357582</v>
      </c>
      <c r="AB82" s="8">
        <f t="shared" si="13"/>
        <v>16165</v>
      </c>
      <c r="AC82" s="8">
        <f t="shared" si="14"/>
        <v>289500</v>
      </c>
    </row>
    <row r="83" spans="1:29" s="5" customFormat="1" ht="18" customHeight="1" x14ac:dyDescent="0.25">
      <c r="A83" s="7"/>
      <c r="E83" s="7"/>
      <c r="G83" s="3">
        <f t="shared" si="15"/>
        <v>46176</v>
      </c>
      <c r="H83" s="13"/>
      <c r="I83" s="13"/>
      <c r="J83" s="13"/>
      <c r="K83" s="13"/>
      <c r="M83" s="6" t="str">
        <f t="shared" si="8"/>
        <v/>
      </c>
      <c r="N83" s="6" cm="1">
        <f t="array" ref="N83">IF(H83="",_xlfn.LET(
    _xlpm.vals,_xlfn._xlws.FILTER($I$5:I82,$I$5:I82&lt;&gt;"",""),
    _xlpm.avgJ,IF(COUNTA(_xlpm.vals)=0,0,AVERAGE(_xlfn.TAKE(_xlpm.vals,-MIN(7,ROWS(_xlpm.vals))))),
    _xlpm.addship,IF(M83="",0,M83),
    IF(
        AND(H82="",H83=""),
        N82-_xlpm.avgJ+_xlpm.addship,
        IF(
            H83="",
            H82-_xlpm.avgJ+_xlpm.addship,
            ""
        )
    )
),H83)</f>
        <v>-482398.28571428545</v>
      </c>
      <c r="O83" s="6" t="str">
        <f t="shared" si="9"/>
        <v/>
      </c>
      <c r="P83" s="6" cm="1">
        <f t="array" ref="P83">IF(J83="",_xlfn.LET(
    _xlpm.vals,_xlfn._xlws.FILTER($K$5:K82,$K$5:K82&lt;&gt;"",""),
    _xlpm.avgJ,IF(COUNTA(_xlpm.vals)=0,0,AVERAGE(_xlfn.TAKE(_xlpm.vals,-MIN(7,ROWS(_xlpm.vals))))),
    _xlpm.addship,IF(O83="",0,O83),
    IF(
        AND(J82="",J83=""),
        P82-_xlpm.avgJ+_xlpm.addship,
        IF(
            J83="",
            J82-_xlpm.avgJ+_xlpm.addship,
            ""
        )
    )
),J83)</f>
        <v>-240276.14285714278</v>
      </c>
      <c r="Q83" s="7" t="str">
        <f t="shared" si="10"/>
        <v>Petrol stock out | Diesel stock out</v>
      </c>
      <c r="Z83" s="8">
        <f t="shared" si="11"/>
        <v>26800</v>
      </c>
      <c r="AA83" s="8">
        <f t="shared" si="12"/>
        <v>357582</v>
      </c>
      <c r="AB83" s="8">
        <f t="shared" si="13"/>
        <v>16165</v>
      </c>
      <c r="AC83" s="8">
        <f t="shared" si="14"/>
        <v>289500</v>
      </c>
    </row>
    <row r="84" spans="1:29" s="5" customFormat="1" ht="18" customHeight="1" x14ac:dyDescent="0.25">
      <c r="A84" s="7"/>
      <c r="E84" s="7"/>
      <c r="G84" s="3">
        <f t="shared" si="15"/>
        <v>46177</v>
      </c>
      <c r="H84" s="13"/>
      <c r="I84" s="13"/>
      <c r="J84" s="13"/>
      <c r="K84" s="13"/>
      <c r="M84" s="6" t="str">
        <f t="shared" si="8"/>
        <v/>
      </c>
      <c r="N84" s="6" cm="1">
        <f t="array" ref="N84">IF(H84="",_xlfn.LET(
    _xlpm.vals,_xlfn._xlws.FILTER($I$5:I83,$I$5:I83&lt;&gt;"",""),
    _xlpm.avgJ,IF(COUNTA(_xlpm.vals)=0,0,AVERAGE(_xlfn.TAKE(_xlpm.vals,-MIN(7,ROWS(_xlpm.vals))))),
    _xlpm.addship,IF(M84="",0,M84),
    IF(
        AND(H83="",H84=""),
        N83-_xlpm.avgJ+_xlpm.addship,
        IF(
            H84="",
            H83-_xlpm.avgJ+_xlpm.addship,
            ""
        )
    )
),H84)</f>
        <v>-491355.42857142829</v>
      </c>
      <c r="O84" s="6" t="str">
        <f t="shared" si="9"/>
        <v/>
      </c>
      <c r="P84" s="6" cm="1">
        <f t="array" ref="P84">IF(J84="",_xlfn.LET(
    _xlpm.vals,_xlfn._xlws.FILTER($K$5:K83,$K$5:K83&lt;&gt;"",""),
    _xlpm.avgJ,IF(COUNTA(_xlpm.vals)=0,0,AVERAGE(_xlfn.TAKE(_xlpm.vals,-MIN(7,ROWS(_xlpm.vals))))),
    _xlpm.addship,IF(O84="",0,O84),
    IF(
        AND(J83="",J84=""),
        P83-_xlpm.avgJ+_xlpm.addship,
        IF(
            J84="",
            J83-_xlpm.avgJ+_xlpm.addship,
            ""
        )
    )
),J84)</f>
        <v>-246304.7142857142</v>
      </c>
      <c r="Q84" s="7" t="str">
        <f t="shared" si="10"/>
        <v>Petrol stock out | Diesel stock out</v>
      </c>
      <c r="Z84" s="8">
        <f t="shared" si="11"/>
        <v>26800</v>
      </c>
      <c r="AA84" s="8">
        <f t="shared" si="12"/>
        <v>357582</v>
      </c>
      <c r="AB84" s="8">
        <f t="shared" si="13"/>
        <v>16165</v>
      </c>
      <c r="AC84" s="8">
        <f t="shared" si="14"/>
        <v>289500</v>
      </c>
    </row>
    <row r="85" spans="1:29" s="5" customFormat="1" ht="18" customHeight="1" x14ac:dyDescent="0.25">
      <c r="A85" s="7"/>
      <c r="E85" s="7"/>
      <c r="G85" s="3">
        <f t="shared" si="15"/>
        <v>46178</v>
      </c>
      <c r="H85" s="13"/>
      <c r="I85" s="13"/>
      <c r="J85" s="13"/>
      <c r="K85" s="13"/>
      <c r="M85" s="6" t="str">
        <f t="shared" si="8"/>
        <v/>
      </c>
      <c r="N85" s="6" cm="1">
        <f t="array" ref="N85">IF(H85="",_xlfn.LET(
    _xlpm.vals,_xlfn._xlws.FILTER($I$5:I84,$I$5:I84&lt;&gt;"",""),
    _xlpm.avgJ,IF(COUNTA(_xlpm.vals)=0,0,AVERAGE(_xlfn.TAKE(_xlpm.vals,-MIN(7,ROWS(_xlpm.vals))))),
    _xlpm.addship,IF(M85="",0,M85),
    IF(
        AND(H84="",H85=""),
        N84-_xlpm.avgJ+_xlpm.addship,
        IF(
            H85="",
            H84-_xlpm.avgJ+_xlpm.addship,
            ""
        )
    )
),H85)</f>
        <v>-500312.57142857113</v>
      </c>
      <c r="O85" s="6" t="str">
        <f t="shared" si="9"/>
        <v/>
      </c>
      <c r="P85" s="6" cm="1">
        <f t="array" ref="P85">IF(J85="",_xlfn.LET(
    _xlpm.vals,_xlfn._xlws.FILTER($K$5:K84,$K$5:K84&lt;&gt;"",""),
    _xlpm.avgJ,IF(COUNTA(_xlpm.vals)=0,0,AVERAGE(_xlfn.TAKE(_xlpm.vals,-MIN(7,ROWS(_xlpm.vals))))),
    _xlpm.addship,IF(O85="",0,O85),
    IF(
        AND(J84="",J85=""),
        P84-_xlpm.avgJ+_xlpm.addship,
        IF(
            J85="",
            J84-_xlpm.avgJ+_xlpm.addship,
            ""
        )
    )
),J85)</f>
        <v>-252333.28571428562</v>
      </c>
      <c r="Q85" s="7" t="str">
        <f t="shared" si="10"/>
        <v>Petrol stock out | Diesel stock out</v>
      </c>
      <c r="Z85" s="8">
        <f t="shared" si="11"/>
        <v>26800</v>
      </c>
      <c r="AA85" s="8">
        <f t="shared" si="12"/>
        <v>357582</v>
      </c>
      <c r="AB85" s="8">
        <f t="shared" si="13"/>
        <v>16165</v>
      </c>
      <c r="AC85" s="8">
        <f t="shared" si="14"/>
        <v>289500</v>
      </c>
    </row>
    <row r="86" spans="1:29" s="5" customFormat="1" ht="18" customHeight="1" x14ac:dyDescent="0.25">
      <c r="A86" s="7"/>
      <c r="E86" s="7"/>
      <c r="G86" s="3">
        <f t="shared" si="15"/>
        <v>46179</v>
      </c>
      <c r="H86" s="13"/>
      <c r="I86" s="13"/>
      <c r="J86" s="13"/>
      <c r="K86" s="13"/>
      <c r="M86" s="6" t="str">
        <f t="shared" si="8"/>
        <v/>
      </c>
      <c r="N86" s="6" cm="1">
        <f t="array" ref="N86">IF(H86="",_xlfn.LET(
    _xlpm.vals,_xlfn._xlws.FILTER($I$5:I85,$I$5:I85&lt;&gt;"",""),
    _xlpm.avgJ,IF(COUNTA(_xlpm.vals)=0,0,AVERAGE(_xlfn.TAKE(_xlpm.vals,-MIN(7,ROWS(_xlpm.vals))))),
    _xlpm.addship,IF(M86="",0,M86),
    IF(
        AND(H85="",H86=""),
        N85-_xlpm.avgJ+_xlpm.addship,
        IF(
            H86="",
            H85-_xlpm.avgJ+_xlpm.addship,
            ""
        )
    )
),H86)</f>
        <v>-509269.71428571397</v>
      </c>
      <c r="O86" s="6" t="str">
        <f t="shared" si="9"/>
        <v/>
      </c>
      <c r="P86" s="6" cm="1">
        <f t="array" ref="P86">IF(J86="",_xlfn.LET(
    _xlpm.vals,_xlfn._xlws.FILTER($K$5:K85,$K$5:K85&lt;&gt;"",""),
    _xlpm.avgJ,IF(COUNTA(_xlpm.vals)=0,0,AVERAGE(_xlfn.TAKE(_xlpm.vals,-MIN(7,ROWS(_xlpm.vals))))),
    _xlpm.addship,IF(O86="",0,O86),
    IF(
        AND(J85="",J86=""),
        P85-_xlpm.avgJ+_xlpm.addship,
        IF(
            J86="",
            J85-_xlpm.avgJ+_xlpm.addship,
            ""
        )
    )
),J86)</f>
        <v>-258361.85714285704</v>
      </c>
      <c r="Q86" s="7" t="str">
        <f t="shared" si="10"/>
        <v>Petrol stock out | Diesel stock out</v>
      </c>
      <c r="Z86" s="8">
        <f t="shared" si="11"/>
        <v>26800</v>
      </c>
      <c r="AA86" s="8">
        <f t="shared" si="12"/>
        <v>357582</v>
      </c>
      <c r="AB86" s="8">
        <f t="shared" si="13"/>
        <v>16165</v>
      </c>
      <c r="AC86" s="8">
        <f t="shared" si="14"/>
        <v>289500</v>
      </c>
    </row>
    <row r="87" spans="1:29" s="5" customFormat="1" ht="18" customHeight="1" x14ac:dyDescent="0.25">
      <c r="A87" s="7"/>
      <c r="E87" s="7"/>
      <c r="G87" s="3">
        <f t="shared" si="15"/>
        <v>46180</v>
      </c>
      <c r="H87" s="13"/>
      <c r="I87" s="13"/>
      <c r="J87" s="13"/>
      <c r="K87" s="13"/>
      <c r="M87" s="6" t="str">
        <f t="shared" si="8"/>
        <v/>
      </c>
      <c r="N87" s="6" cm="1">
        <f t="array" ref="N87">IF(H87="",_xlfn.LET(
    _xlpm.vals,_xlfn._xlws.FILTER($I$5:I86,$I$5:I86&lt;&gt;"",""),
    _xlpm.avgJ,IF(COUNTA(_xlpm.vals)=0,0,AVERAGE(_xlfn.TAKE(_xlpm.vals,-MIN(7,ROWS(_xlpm.vals))))),
    _xlpm.addship,IF(M87="",0,M87),
    IF(
        AND(H86="",H87=""),
        N86-_xlpm.avgJ+_xlpm.addship,
        IF(
            H87="",
            H86-_xlpm.avgJ+_xlpm.addship,
            ""
        )
    )
),H87)</f>
        <v>-518226.85714285681</v>
      </c>
      <c r="O87" s="6" t="str">
        <f t="shared" si="9"/>
        <v/>
      </c>
      <c r="P87" s="6" cm="1">
        <f t="array" ref="P87">IF(J87="",_xlfn.LET(
    _xlpm.vals,_xlfn._xlws.FILTER($K$5:K86,$K$5:K86&lt;&gt;"",""),
    _xlpm.avgJ,IF(COUNTA(_xlpm.vals)=0,0,AVERAGE(_xlfn.TAKE(_xlpm.vals,-MIN(7,ROWS(_xlpm.vals))))),
    _xlpm.addship,IF(O87="",0,O87),
    IF(
        AND(J86="",J87=""),
        P86-_xlpm.avgJ+_xlpm.addship,
        IF(
            J87="",
            J86-_xlpm.avgJ+_xlpm.addship,
            ""
        )
    )
),J87)</f>
        <v>-264390.42857142846</v>
      </c>
      <c r="Q87" s="7" t="str">
        <f t="shared" si="10"/>
        <v>Petrol stock out | Diesel stock out</v>
      </c>
      <c r="Z87" s="8">
        <f t="shared" si="11"/>
        <v>26800</v>
      </c>
      <c r="AA87" s="8">
        <f t="shared" si="12"/>
        <v>357582</v>
      </c>
      <c r="AB87" s="8">
        <f t="shared" si="13"/>
        <v>16165</v>
      </c>
      <c r="AC87" s="8">
        <f t="shared" si="14"/>
        <v>289500</v>
      </c>
    </row>
    <row r="88" spans="1:29" s="5" customFormat="1" ht="18" customHeight="1" x14ac:dyDescent="0.25">
      <c r="A88" s="7"/>
      <c r="E88" s="7"/>
      <c r="G88" s="3">
        <f t="shared" si="15"/>
        <v>46181</v>
      </c>
      <c r="H88" s="13"/>
      <c r="I88" s="13"/>
      <c r="J88" s="13"/>
      <c r="K88" s="13"/>
      <c r="M88" s="6" t="str">
        <f t="shared" si="8"/>
        <v/>
      </c>
      <c r="N88" s="6" cm="1">
        <f t="array" ref="N88">IF(H88="",_xlfn.LET(
    _xlpm.vals,_xlfn._xlws.FILTER($I$5:I87,$I$5:I87&lt;&gt;"",""),
    _xlpm.avgJ,IF(COUNTA(_xlpm.vals)=0,0,AVERAGE(_xlfn.TAKE(_xlpm.vals,-MIN(7,ROWS(_xlpm.vals))))),
    _xlpm.addship,IF(M88="",0,M88),
    IF(
        AND(H87="",H88=""),
        N87-_xlpm.avgJ+_xlpm.addship,
        IF(
            H88="",
            H87-_xlpm.avgJ+_xlpm.addship,
            ""
        )
    )
),H88)</f>
        <v>-527183.99999999965</v>
      </c>
      <c r="O88" s="6" t="str">
        <f t="shared" si="9"/>
        <v/>
      </c>
      <c r="P88" s="6" cm="1">
        <f t="array" ref="P88">IF(J88="",_xlfn.LET(
    _xlpm.vals,_xlfn._xlws.FILTER($K$5:K87,$K$5:K87&lt;&gt;"",""),
    _xlpm.avgJ,IF(COUNTA(_xlpm.vals)=0,0,AVERAGE(_xlfn.TAKE(_xlpm.vals,-MIN(7,ROWS(_xlpm.vals))))),
    _xlpm.addship,IF(O88="",0,O88),
    IF(
        AND(J87="",J88=""),
        P87-_xlpm.avgJ+_xlpm.addship,
        IF(
            J88="",
            J87-_xlpm.avgJ+_xlpm.addship,
            ""
        )
    )
),J88)</f>
        <v>-270418.99999999988</v>
      </c>
      <c r="Q88" s="7" t="str">
        <f t="shared" si="10"/>
        <v>Petrol stock out | Diesel stock out</v>
      </c>
      <c r="Z88" s="8">
        <f t="shared" si="11"/>
        <v>26800</v>
      </c>
      <c r="AA88" s="8">
        <f t="shared" si="12"/>
        <v>357582</v>
      </c>
      <c r="AB88" s="8">
        <f t="shared" si="13"/>
        <v>16165</v>
      </c>
      <c r="AC88" s="8">
        <f t="shared" si="14"/>
        <v>289500</v>
      </c>
    </row>
    <row r="89" spans="1:29" s="5" customFormat="1" ht="18" customHeight="1" x14ac:dyDescent="0.25">
      <c r="A89" s="7"/>
      <c r="E89" s="7"/>
      <c r="G89" s="3">
        <f t="shared" si="15"/>
        <v>46182</v>
      </c>
      <c r="H89" s="13"/>
      <c r="I89" s="13"/>
      <c r="J89" s="13"/>
      <c r="K89" s="13"/>
      <c r="M89" s="6" t="str">
        <f t="shared" si="8"/>
        <v/>
      </c>
      <c r="N89" s="6" cm="1">
        <f t="array" ref="N89">IF(H89="",_xlfn.LET(
    _xlpm.vals,_xlfn._xlws.FILTER($I$5:I88,$I$5:I88&lt;&gt;"",""),
    _xlpm.avgJ,IF(COUNTA(_xlpm.vals)=0,0,AVERAGE(_xlfn.TAKE(_xlpm.vals,-MIN(7,ROWS(_xlpm.vals))))),
    _xlpm.addship,IF(M89="",0,M89),
    IF(
        AND(H88="",H89=""),
        N88-_xlpm.avgJ+_xlpm.addship,
        IF(
            H89="",
            H88-_xlpm.avgJ+_xlpm.addship,
            ""
        )
    )
),H89)</f>
        <v>-536141.14285714249</v>
      </c>
      <c r="O89" s="6" t="str">
        <f t="shared" si="9"/>
        <v/>
      </c>
      <c r="P89" s="6" cm="1">
        <f t="array" ref="P89">IF(J89="",_xlfn.LET(
    _xlpm.vals,_xlfn._xlws.FILTER($K$5:K88,$K$5:K88&lt;&gt;"",""),
    _xlpm.avgJ,IF(COUNTA(_xlpm.vals)=0,0,AVERAGE(_xlfn.TAKE(_xlpm.vals,-MIN(7,ROWS(_xlpm.vals))))),
    _xlpm.addship,IF(O89="",0,O89),
    IF(
        AND(J88="",J89=""),
        P88-_xlpm.avgJ+_xlpm.addship,
        IF(
            J89="",
            J88-_xlpm.avgJ+_xlpm.addship,
            ""
        )
    )
),J89)</f>
        <v>-276447.5714285713</v>
      </c>
      <c r="Q89" s="7" t="str">
        <f t="shared" si="10"/>
        <v>Petrol stock out | Diesel stock out</v>
      </c>
      <c r="Z89" s="8">
        <f t="shared" si="11"/>
        <v>26800</v>
      </c>
      <c r="AA89" s="8">
        <f t="shared" si="12"/>
        <v>357582</v>
      </c>
      <c r="AB89" s="8">
        <f t="shared" si="13"/>
        <v>16165</v>
      </c>
      <c r="AC89" s="8">
        <f t="shared" si="14"/>
        <v>289500</v>
      </c>
    </row>
    <row r="90" spans="1:29" s="5" customFormat="1" ht="18" customHeight="1" x14ac:dyDescent="0.25">
      <c r="A90" s="7"/>
      <c r="E90" s="7"/>
      <c r="G90" s="3">
        <f t="shared" si="15"/>
        <v>46183</v>
      </c>
      <c r="H90" s="13"/>
      <c r="I90" s="13"/>
      <c r="J90" s="13"/>
      <c r="K90" s="13"/>
      <c r="M90" s="6" t="str">
        <f t="shared" si="8"/>
        <v/>
      </c>
      <c r="N90" s="6" cm="1">
        <f t="array" ref="N90">IF(H90="",_xlfn.LET(
    _xlpm.vals,_xlfn._xlws.FILTER($I$5:I89,$I$5:I89&lt;&gt;"",""),
    _xlpm.avgJ,IF(COUNTA(_xlpm.vals)=0,0,AVERAGE(_xlfn.TAKE(_xlpm.vals,-MIN(7,ROWS(_xlpm.vals))))),
    _xlpm.addship,IF(M90="",0,M90),
    IF(
        AND(H89="",H90=""),
        N89-_xlpm.avgJ+_xlpm.addship,
        IF(
            H90="",
            H89-_xlpm.avgJ+_xlpm.addship,
            ""
        )
    )
),H90)</f>
        <v>-545098.28571428533</v>
      </c>
      <c r="O90" s="6" t="str">
        <f t="shared" si="9"/>
        <v/>
      </c>
      <c r="P90" s="6" cm="1">
        <f t="array" ref="P90">IF(J90="",_xlfn.LET(
    _xlpm.vals,_xlfn._xlws.FILTER($K$5:K89,$K$5:K89&lt;&gt;"",""),
    _xlpm.avgJ,IF(COUNTA(_xlpm.vals)=0,0,AVERAGE(_xlfn.TAKE(_xlpm.vals,-MIN(7,ROWS(_xlpm.vals))))),
    _xlpm.addship,IF(O90="",0,O90),
    IF(
        AND(J89="",J90=""),
        P89-_xlpm.avgJ+_xlpm.addship,
        IF(
            J90="",
            J89-_xlpm.avgJ+_xlpm.addship,
            ""
        )
    )
),J90)</f>
        <v>-282476.14285714272</v>
      </c>
      <c r="Q90" s="7" t="str">
        <f t="shared" si="10"/>
        <v>Petrol stock out | Diesel stock out</v>
      </c>
      <c r="Z90" s="8">
        <f t="shared" si="11"/>
        <v>26800</v>
      </c>
      <c r="AA90" s="8">
        <f t="shared" si="12"/>
        <v>357582</v>
      </c>
      <c r="AB90" s="8">
        <f t="shared" si="13"/>
        <v>16165</v>
      </c>
      <c r="AC90" s="8">
        <f t="shared" si="14"/>
        <v>289500</v>
      </c>
    </row>
    <row r="91" spans="1:29" s="5" customFormat="1" ht="18" customHeight="1" x14ac:dyDescent="0.25">
      <c r="A91" s="7"/>
      <c r="E91" s="7"/>
      <c r="G91" s="3">
        <f t="shared" si="15"/>
        <v>46184</v>
      </c>
      <c r="H91" s="13"/>
      <c r="I91" s="13"/>
      <c r="J91" s="13"/>
      <c r="K91" s="13"/>
      <c r="M91" s="6" t="str">
        <f t="shared" si="8"/>
        <v/>
      </c>
      <c r="N91" s="6" cm="1">
        <f t="array" ref="N91">IF(H91="",_xlfn.LET(
    _xlpm.vals,_xlfn._xlws.FILTER($I$5:I90,$I$5:I90&lt;&gt;"",""),
    _xlpm.avgJ,IF(COUNTA(_xlpm.vals)=0,0,AVERAGE(_xlfn.TAKE(_xlpm.vals,-MIN(7,ROWS(_xlpm.vals))))),
    _xlpm.addship,IF(M91="",0,M91),
    IF(
        AND(H90="",H91=""),
        N90-_xlpm.avgJ+_xlpm.addship,
        IF(
            H91="",
            H90-_xlpm.avgJ+_xlpm.addship,
            ""
        )
    )
),H91)</f>
        <v>-554055.42857142817</v>
      </c>
      <c r="O91" s="6" t="str">
        <f t="shared" si="9"/>
        <v/>
      </c>
      <c r="P91" s="6" cm="1">
        <f t="array" ref="P91">IF(J91="",_xlfn.LET(
    _xlpm.vals,_xlfn._xlws.FILTER($K$5:K90,$K$5:K90&lt;&gt;"",""),
    _xlpm.avgJ,IF(COUNTA(_xlpm.vals)=0,0,AVERAGE(_xlfn.TAKE(_xlpm.vals,-MIN(7,ROWS(_xlpm.vals))))),
    _xlpm.addship,IF(O91="",0,O91),
    IF(
        AND(J90="",J91=""),
        P90-_xlpm.avgJ+_xlpm.addship,
        IF(
            J91="",
            J90-_xlpm.avgJ+_xlpm.addship,
            ""
        )
    )
),J91)</f>
        <v>-288504.71428571414</v>
      </c>
      <c r="Q91" s="7" t="str">
        <f t="shared" si="10"/>
        <v>Petrol stock out | Diesel stock out</v>
      </c>
      <c r="Z91" s="8">
        <f t="shared" si="11"/>
        <v>26800</v>
      </c>
      <c r="AA91" s="8">
        <f t="shared" si="12"/>
        <v>357582</v>
      </c>
      <c r="AB91" s="8">
        <f t="shared" si="13"/>
        <v>16165</v>
      </c>
      <c r="AC91" s="8">
        <f t="shared" si="14"/>
        <v>289500</v>
      </c>
    </row>
    <row r="92" spans="1:29" s="5" customFormat="1" ht="18" customHeight="1" x14ac:dyDescent="0.25">
      <c r="A92" s="7"/>
      <c r="E92" s="7"/>
      <c r="G92" s="3">
        <f t="shared" si="15"/>
        <v>46185</v>
      </c>
      <c r="H92" s="13"/>
      <c r="I92" s="13"/>
      <c r="J92" s="13"/>
      <c r="K92" s="13"/>
      <c r="M92" s="6" t="str">
        <f t="shared" si="8"/>
        <v/>
      </c>
      <c r="N92" s="6" cm="1">
        <f t="array" ref="N92">IF(H92="",_xlfn.LET(
    _xlpm.vals,_xlfn._xlws.FILTER($I$5:I91,$I$5:I91&lt;&gt;"",""),
    _xlpm.avgJ,IF(COUNTA(_xlpm.vals)=0,0,AVERAGE(_xlfn.TAKE(_xlpm.vals,-MIN(7,ROWS(_xlpm.vals))))),
    _xlpm.addship,IF(M92="",0,M92),
    IF(
        AND(H91="",H92=""),
        N91-_xlpm.avgJ+_xlpm.addship,
        IF(
            H92="",
            H91-_xlpm.avgJ+_xlpm.addship,
            ""
        )
    )
),H92)</f>
        <v>-563012.57142857101</v>
      </c>
      <c r="O92" s="6" t="str">
        <f t="shared" si="9"/>
        <v/>
      </c>
      <c r="P92" s="6" cm="1">
        <f t="array" ref="P92">IF(J92="",_xlfn.LET(
    _xlpm.vals,_xlfn._xlws.FILTER($K$5:K91,$K$5:K91&lt;&gt;"",""),
    _xlpm.avgJ,IF(COUNTA(_xlpm.vals)=0,0,AVERAGE(_xlfn.TAKE(_xlpm.vals,-MIN(7,ROWS(_xlpm.vals))))),
    _xlpm.addship,IF(O92="",0,O92),
    IF(
        AND(J91="",J92=""),
        P91-_xlpm.avgJ+_xlpm.addship,
        IF(
            J92="",
            J91-_xlpm.avgJ+_xlpm.addship,
            ""
        )
    )
),J92)</f>
        <v>-294533.28571428556</v>
      </c>
      <c r="Q92" s="7" t="str">
        <f t="shared" si="10"/>
        <v>Petrol stock out | Diesel stock out</v>
      </c>
      <c r="Z92" s="8">
        <f t="shared" si="11"/>
        <v>26800</v>
      </c>
      <c r="AA92" s="8">
        <f t="shared" si="12"/>
        <v>357582</v>
      </c>
      <c r="AB92" s="8">
        <f t="shared" si="13"/>
        <v>16165</v>
      </c>
      <c r="AC92" s="8">
        <f t="shared" si="14"/>
        <v>289500</v>
      </c>
    </row>
    <row r="93" spans="1:29" s="5" customFormat="1" ht="18" customHeight="1" x14ac:dyDescent="0.25">
      <c r="A93" s="7"/>
      <c r="E93" s="7"/>
      <c r="G93" s="3">
        <f t="shared" si="15"/>
        <v>46186</v>
      </c>
      <c r="H93" s="13"/>
      <c r="I93" s="13"/>
      <c r="J93" s="13"/>
      <c r="K93" s="13"/>
      <c r="M93" s="6" t="str">
        <f t="shared" si="8"/>
        <v/>
      </c>
      <c r="N93" s="6" cm="1">
        <f t="array" ref="N93">IF(H93="",_xlfn.LET(
    _xlpm.vals,_xlfn._xlws.FILTER($I$5:I92,$I$5:I92&lt;&gt;"",""),
    _xlpm.avgJ,IF(COUNTA(_xlpm.vals)=0,0,AVERAGE(_xlfn.TAKE(_xlpm.vals,-MIN(7,ROWS(_xlpm.vals))))),
    _xlpm.addship,IF(M93="",0,M93),
    IF(
        AND(H92="",H93=""),
        N92-_xlpm.avgJ+_xlpm.addship,
        IF(
            H93="",
            H92-_xlpm.avgJ+_xlpm.addship,
            ""
        )
    )
),H93)</f>
        <v>-571969.71428571385</v>
      </c>
      <c r="O93" s="6" t="str">
        <f t="shared" si="9"/>
        <v/>
      </c>
      <c r="P93" s="6" cm="1">
        <f t="array" ref="P93">IF(J93="",_xlfn.LET(
    _xlpm.vals,_xlfn._xlws.FILTER($K$5:K92,$K$5:K92&lt;&gt;"",""),
    _xlpm.avgJ,IF(COUNTA(_xlpm.vals)=0,0,AVERAGE(_xlfn.TAKE(_xlpm.vals,-MIN(7,ROWS(_xlpm.vals))))),
    _xlpm.addship,IF(O93="",0,O93),
    IF(
        AND(J92="",J93=""),
        P92-_xlpm.avgJ+_xlpm.addship,
        IF(
            J93="",
            J92-_xlpm.avgJ+_xlpm.addship,
            ""
        )
    )
),J93)</f>
        <v>-300561.85714285698</v>
      </c>
      <c r="Q93" s="7" t="str">
        <f t="shared" si="10"/>
        <v>Petrol stock out | Diesel stock out</v>
      </c>
      <c r="Z93" s="8">
        <f t="shared" si="11"/>
        <v>26800</v>
      </c>
      <c r="AA93" s="8">
        <f t="shared" si="12"/>
        <v>357582</v>
      </c>
      <c r="AB93" s="8">
        <f t="shared" si="13"/>
        <v>16165</v>
      </c>
      <c r="AC93" s="8">
        <f t="shared" si="14"/>
        <v>289500</v>
      </c>
    </row>
    <row r="94" spans="1:29" s="5" customFormat="1" ht="18" customHeight="1" x14ac:dyDescent="0.25">
      <c r="A94" s="7"/>
      <c r="E94" s="7"/>
      <c r="G94" s="3">
        <f t="shared" si="15"/>
        <v>46187</v>
      </c>
      <c r="H94" s="13"/>
      <c r="I94" s="13"/>
      <c r="J94" s="13"/>
      <c r="K94" s="13"/>
      <c r="M94" s="6" t="str">
        <f t="shared" si="8"/>
        <v/>
      </c>
      <c r="N94" s="6" cm="1">
        <f t="array" ref="N94">IF(H94="",_xlfn.LET(
    _xlpm.vals,_xlfn._xlws.FILTER($I$5:I93,$I$5:I93&lt;&gt;"",""),
    _xlpm.avgJ,IF(COUNTA(_xlpm.vals)=0,0,AVERAGE(_xlfn.TAKE(_xlpm.vals,-MIN(7,ROWS(_xlpm.vals))))),
    _xlpm.addship,IF(M94="",0,M94),
    IF(
        AND(H93="",H94=""),
        N93-_xlpm.avgJ+_xlpm.addship,
        IF(
            H94="",
            H93-_xlpm.avgJ+_xlpm.addship,
            ""
        )
    )
),H94)</f>
        <v>-580926.85714285669</v>
      </c>
      <c r="O94" s="6" t="str">
        <f t="shared" si="9"/>
        <v/>
      </c>
      <c r="P94" s="6" cm="1">
        <f t="array" ref="P94">IF(J94="",_xlfn.LET(
    _xlpm.vals,_xlfn._xlws.FILTER($K$5:K93,$K$5:K93&lt;&gt;"",""),
    _xlpm.avgJ,IF(COUNTA(_xlpm.vals)=0,0,AVERAGE(_xlfn.TAKE(_xlpm.vals,-MIN(7,ROWS(_xlpm.vals))))),
    _xlpm.addship,IF(O94="",0,O94),
    IF(
        AND(J93="",J94=""),
        P93-_xlpm.avgJ+_xlpm.addship,
        IF(
            J94="",
            J93-_xlpm.avgJ+_xlpm.addship,
            ""
        )
    )
),J94)</f>
        <v>-306590.42857142841</v>
      </c>
      <c r="Q94" s="7" t="str">
        <f t="shared" si="10"/>
        <v>Petrol stock out | Diesel stock out</v>
      </c>
      <c r="Z94" s="8">
        <f t="shared" si="11"/>
        <v>26800</v>
      </c>
      <c r="AA94" s="8">
        <f t="shared" si="12"/>
        <v>357582</v>
      </c>
      <c r="AB94" s="8">
        <f t="shared" si="13"/>
        <v>16165</v>
      </c>
      <c r="AC94" s="8">
        <f t="shared" si="14"/>
        <v>289500</v>
      </c>
    </row>
    <row r="95" spans="1:29" s="5" customFormat="1" ht="18" customHeight="1" x14ac:dyDescent="0.25">
      <c r="A95" s="7"/>
      <c r="E95" s="7"/>
      <c r="G95" s="3">
        <f t="shared" si="15"/>
        <v>46188</v>
      </c>
      <c r="H95" s="13"/>
      <c r="I95" s="13"/>
      <c r="J95" s="13"/>
      <c r="K95" s="13"/>
      <c r="M95" s="6" t="str">
        <f t="shared" si="8"/>
        <v/>
      </c>
      <c r="N95" s="6" cm="1">
        <f t="array" ref="N95">IF(H95="",_xlfn.LET(
    _xlpm.vals,_xlfn._xlws.FILTER($I$5:I94,$I$5:I94&lt;&gt;"",""),
    _xlpm.avgJ,IF(COUNTA(_xlpm.vals)=0,0,AVERAGE(_xlfn.TAKE(_xlpm.vals,-MIN(7,ROWS(_xlpm.vals))))),
    _xlpm.addship,IF(M95="",0,M95),
    IF(
        AND(H94="",H95=""),
        N94-_xlpm.avgJ+_xlpm.addship,
        IF(
            H95="",
            H94-_xlpm.avgJ+_xlpm.addship,
            ""
        )
    )
),H95)</f>
        <v>-589883.99999999953</v>
      </c>
      <c r="O95" s="6" t="str">
        <f t="shared" si="9"/>
        <v/>
      </c>
      <c r="P95" s="6" cm="1">
        <f t="array" ref="P95">IF(J95="",_xlfn.LET(
    _xlpm.vals,_xlfn._xlws.FILTER($K$5:K94,$K$5:K94&lt;&gt;"",""),
    _xlpm.avgJ,IF(COUNTA(_xlpm.vals)=0,0,AVERAGE(_xlfn.TAKE(_xlpm.vals,-MIN(7,ROWS(_xlpm.vals))))),
    _xlpm.addship,IF(O95="",0,O95),
    IF(
        AND(J94="",J95=""),
        P94-_xlpm.avgJ+_xlpm.addship,
        IF(
            J95="",
            J94-_xlpm.avgJ+_xlpm.addship,
            ""
        )
    )
),J95)</f>
        <v>-312618.99999999983</v>
      </c>
      <c r="Q95" s="7" t="str">
        <f t="shared" si="10"/>
        <v>Petrol stock out | Diesel stock out</v>
      </c>
      <c r="Z95" s="8">
        <f t="shared" si="11"/>
        <v>26800</v>
      </c>
      <c r="AA95" s="8">
        <f t="shared" si="12"/>
        <v>357582</v>
      </c>
      <c r="AB95" s="8">
        <f t="shared" si="13"/>
        <v>16165</v>
      </c>
      <c r="AC95" s="8">
        <f t="shared" si="14"/>
        <v>289500</v>
      </c>
    </row>
    <row r="96" spans="1:29" s="5" customFormat="1" ht="18" customHeight="1" x14ac:dyDescent="0.25">
      <c r="A96" s="7"/>
      <c r="E96" s="7"/>
      <c r="G96" s="3">
        <f t="shared" si="15"/>
        <v>46189</v>
      </c>
      <c r="H96" s="13"/>
      <c r="I96" s="13"/>
      <c r="J96" s="13"/>
      <c r="K96" s="13"/>
      <c r="M96" s="6" t="str">
        <f t="shared" si="8"/>
        <v/>
      </c>
      <c r="N96" s="6" cm="1">
        <f t="array" ref="N96">IF(H96="",_xlfn.LET(
    _xlpm.vals,_xlfn._xlws.FILTER($I$5:I95,$I$5:I95&lt;&gt;"",""),
    _xlpm.avgJ,IF(COUNTA(_xlpm.vals)=0,0,AVERAGE(_xlfn.TAKE(_xlpm.vals,-MIN(7,ROWS(_xlpm.vals))))),
    _xlpm.addship,IF(M96="",0,M96),
    IF(
        AND(H95="",H96=""),
        N95-_xlpm.avgJ+_xlpm.addship,
        IF(
            H96="",
            H95-_xlpm.avgJ+_xlpm.addship,
            ""
        )
    )
),H96)</f>
        <v>-598841.14285714237</v>
      </c>
      <c r="O96" s="6" t="str">
        <f t="shared" si="9"/>
        <v/>
      </c>
      <c r="P96" s="6" cm="1">
        <f t="array" ref="P96">IF(J96="",_xlfn.LET(
    _xlpm.vals,_xlfn._xlws.FILTER($K$5:K95,$K$5:K95&lt;&gt;"",""),
    _xlpm.avgJ,IF(COUNTA(_xlpm.vals)=0,0,AVERAGE(_xlfn.TAKE(_xlpm.vals,-MIN(7,ROWS(_xlpm.vals))))),
    _xlpm.addship,IF(O96="",0,O96),
    IF(
        AND(J95="",J96=""),
        P95-_xlpm.avgJ+_xlpm.addship,
        IF(
            J96="",
            J95-_xlpm.avgJ+_xlpm.addship,
            ""
        )
    )
),J96)</f>
        <v>-318647.57142857125</v>
      </c>
      <c r="Q96" s="7" t="str">
        <f t="shared" si="10"/>
        <v>Petrol stock out | Diesel stock out</v>
      </c>
      <c r="Z96" s="8">
        <f t="shared" si="11"/>
        <v>26800</v>
      </c>
      <c r="AA96" s="8">
        <f t="shared" si="12"/>
        <v>357582</v>
      </c>
      <c r="AB96" s="8">
        <f t="shared" si="13"/>
        <v>16165</v>
      </c>
      <c r="AC96" s="8">
        <f t="shared" si="14"/>
        <v>289500</v>
      </c>
    </row>
    <row r="97" spans="1:29" s="5" customFormat="1" ht="18" customHeight="1" x14ac:dyDescent="0.25">
      <c r="A97" s="7"/>
      <c r="E97" s="7"/>
      <c r="G97" s="3">
        <f t="shared" si="15"/>
        <v>46190</v>
      </c>
      <c r="H97" s="13"/>
      <c r="I97" s="13"/>
      <c r="J97" s="13"/>
      <c r="K97" s="13"/>
      <c r="M97" s="6" t="str">
        <f t="shared" si="8"/>
        <v/>
      </c>
      <c r="N97" s="6" cm="1">
        <f t="array" ref="N97">IF(H97="",_xlfn.LET(
    _xlpm.vals,_xlfn._xlws.FILTER($I$5:I96,$I$5:I96&lt;&gt;"",""),
    _xlpm.avgJ,IF(COUNTA(_xlpm.vals)=0,0,AVERAGE(_xlfn.TAKE(_xlpm.vals,-MIN(7,ROWS(_xlpm.vals))))),
    _xlpm.addship,IF(M97="",0,M97),
    IF(
        AND(H96="",H97=""),
        N96-_xlpm.avgJ+_xlpm.addship,
        IF(
            H97="",
            H96-_xlpm.avgJ+_xlpm.addship,
            ""
        )
    )
),H97)</f>
        <v>-607798.28571428522</v>
      </c>
      <c r="O97" s="6" t="str">
        <f t="shared" si="9"/>
        <v/>
      </c>
      <c r="P97" s="6" cm="1">
        <f t="array" ref="P97">IF(J97="",_xlfn.LET(
    _xlpm.vals,_xlfn._xlws.FILTER($K$5:K96,$K$5:K96&lt;&gt;"",""),
    _xlpm.avgJ,IF(COUNTA(_xlpm.vals)=0,0,AVERAGE(_xlfn.TAKE(_xlpm.vals,-MIN(7,ROWS(_xlpm.vals))))),
    _xlpm.addship,IF(O97="",0,O97),
    IF(
        AND(J96="",J97=""),
        P96-_xlpm.avgJ+_xlpm.addship,
        IF(
            J97="",
            J96-_xlpm.avgJ+_xlpm.addship,
            ""
        )
    )
),J97)</f>
        <v>-324676.14285714267</v>
      </c>
      <c r="Q97" s="7" t="str">
        <f t="shared" si="10"/>
        <v>Petrol stock out | Diesel stock out</v>
      </c>
      <c r="Z97" s="8">
        <f t="shared" si="11"/>
        <v>26800</v>
      </c>
      <c r="AA97" s="8">
        <f t="shared" si="12"/>
        <v>357582</v>
      </c>
      <c r="AB97" s="8">
        <f t="shared" si="13"/>
        <v>16165</v>
      </c>
      <c r="AC97" s="8">
        <f t="shared" si="14"/>
        <v>289500</v>
      </c>
    </row>
    <row r="98" spans="1:29" s="5" customFormat="1" ht="18" customHeight="1" x14ac:dyDescent="0.25">
      <c r="A98" s="7"/>
      <c r="E98" s="7"/>
      <c r="G98" s="3">
        <f t="shared" si="15"/>
        <v>46191</v>
      </c>
      <c r="H98" s="13"/>
      <c r="I98" s="13"/>
      <c r="J98" s="13"/>
      <c r="K98" s="13"/>
      <c r="M98" s="6" t="str">
        <f t="shared" si="8"/>
        <v/>
      </c>
      <c r="N98" s="6" cm="1">
        <f t="array" ref="N98">IF(H98="",_xlfn.LET(
    _xlpm.vals,_xlfn._xlws.FILTER($I$5:I97,$I$5:I97&lt;&gt;"",""),
    _xlpm.avgJ,IF(COUNTA(_xlpm.vals)=0,0,AVERAGE(_xlfn.TAKE(_xlpm.vals,-MIN(7,ROWS(_xlpm.vals))))),
    _xlpm.addship,IF(M98="",0,M98),
    IF(
        AND(H97="",H98=""),
        N97-_xlpm.avgJ+_xlpm.addship,
        IF(
            H98="",
            H97-_xlpm.avgJ+_xlpm.addship,
            ""
        )
    )
),H98)</f>
        <v>-616755.42857142806</v>
      </c>
      <c r="O98" s="6" t="str">
        <f t="shared" si="9"/>
        <v/>
      </c>
      <c r="P98" s="6" cm="1">
        <f t="array" ref="P98">IF(J98="",_xlfn.LET(
    _xlpm.vals,_xlfn._xlws.FILTER($K$5:K97,$K$5:K97&lt;&gt;"",""),
    _xlpm.avgJ,IF(COUNTA(_xlpm.vals)=0,0,AVERAGE(_xlfn.TAKE(_xlpm.vals,-MIN(7,ROWS(_xlpm.vals))))),
    _xlpm.addship,IF(O98="",0,O98),
    IF(
        AND(J97="",J98=""),
        P97-_xlpm.avgJ+_xlpm.addship,
        IF(
            J98="",
            J97-_xlpm.avgJ+_xlpm.addship,
            ""
        )
    )
),J98)</f>
        <v>-330704.71428571409</v>
      </c>
      <c r="Q98" s="7" t="str">
        <f t="shared" si="10"/>
        <v>Petrol stock out | Diesel stock out</v>
      </c>
      <c r="Z98" s="8">
        <f t="shared" si="11"/>
        <v>26800</v>
      </c>
      <c r="AA98" s="8">
        <f t="shared" si="12"/>
        <v>357582</v>
      </c>
      <c r="AB98" s="8">
        <f t="shared" si="13"/>
        <v>16165</v>
      </c>
      <c r="AC98" s="8">
        <f t="shared" si="14"/>
        <v>289500</v>
      </c>
    </row>
    <row r="99" spans="1:29" s="5" customFormat="1" ht="18" customHeight="1" x14ac:dyDescent="0.25">
      <c r="A99" s="7"/>
      <c r="E99" s="7"/>
      <c r="G99" s="3">
        <f t="shared" si="15"/>
        <v>46192</v>
      </c>
      <c r="H99" s="13"/>
      <c r="I99" s="13"/>
      <c r="J99" s="13"/>
      <c r="K99" s="13"/>
      <c r="M99" s="6" t="str">
        <f t="shared" si="8"/>
        <v/>
      </c>
      <c r="N99" s="6" cm="1">
        <f t="array" ref="N99">IF(H99="",_xlfn.LET(
    _xlpm.vals,_xlfn._xlws.FILTER($I$5:I98,$I$5:I98&lt;&gt;"",""),
    _xlpm.avgJ,IF(COUNTA(_xlpm.vals)=0,0,AVERAGE(_xlfn.TAKE(_xlpm.vals,-MIN(7,ROWS(_xlpm.vals))))),
    _xlpm.addship,IF(M99="",0,M99),
    IF(
        AND(H98="",H99=""),
        N98-_xlpm.avgJ+_xlpm.addship,
        IF(
            H99="",
            H98-_xlpm.avgJ+_xlpm.addship,
            ""
        )
    )
),H99)</f>
        <v>-625712.5714285709</v>
      </c>
      <c r="O99" s="6" t="str">
        <f t="shared" si="9"/>
        <v/>
      </c>
      <c r="P99" s="6" cm="1">
        <f t="array" ref="P99">IF(J99="",_xlfn.LET(
    _xlpm.vals,_xlfn._xlws.FILTER($K$5:K98,$K$5:K98&lt;&gt;"",""),
    _xlpm.avgJ,IF(COUNTA(_xlpm.vals)=0,0,AVERAGE(_xlfn.TAKE(_xlpm.vals,-MIN(7,ROWS(_xlpm.vals))))),
    _xlpm.addship,IF(O99="",0,O99),
    IF(
        AND(J98="",J99=""),
        P98-_xlpm.avgJ+_xlpm.addship,
        IF(
            J99="",
            J98-_xlpm.avgJ+_xlpm.addship,
            ""
        )
    )
),J99)</f>
        <v>-336733.28571428551</v>
      </c>
      <c r="Q99" s="7" t="str">
        <f t="shared" si="10"/>
        <v>Petrol stock out | Diesel stock out</v>
      </c>
      <c r="Z99" s="8">
        <f t="shared" si="11"/>
        <v>26800</v>
      </c>
      <c r="AA99" s="8">
        <f t="shared" si="12"/>
        <v>357582</v>
      </c>
      <c r="AB99" s="8">
        <f t="shared" si="13"/>
        <v>16165</v>
      </c>
      <c r="AC99" s="8">
        <f t="shared" si="14"/>
        <v>289500</v>
      </c>
    </row>
    <row r="100" spans="1:29" s="5" customFormat="1" ht="18" customHeight="1" x14ac:dyDescent="0.25">
      <c r="A100" s="7"/>
      <c r="E100" s="7"/>
      <c r="G100" s="3">
        <f t="shared" si="15"/>
        <v>46193</v>
      </c>
      <c r="H100" s="13"/>
      <c r="I100" s="13"/>
      <c r="J100" s="13"/>
      <c r="K100" s="13"/>
      <c r="M100" s="6" t="str">
        <f t="shared" si="8"/>
        <v/>
      </c>
      <c r="N100" s="6" cm="1">
        <f t="array" ref="N100">IF(H100="",_xlfn.LET(
    _xlpm.vals,_xlfn._xlws.FILTER($I$5:I99,$I$5:I99&lt;&gt;"",""),
    _xlpm.avgJ,IF(COUNTA(_xlpm.vals)=0,0,AVERAGE(_xlfn.TAKE(_xlpm.vals,-MIN(7,ROWS(_xlpm.vals))))),
    _xlpm.addship,IF(M100="",0,M100),
    IF(
        AND(H99="",H100=""),
        N99-_xlpm.avgJ+_xlpm.addship,
        IF(
            H100="",
            H99-_xlpm.avgJ+_xlpm.addship,
            ""
        )
    )
),H100)</f>
        <v>-634669.71428571374</v>
      </c>
      <c r="O100" s="6" t="str">
        <f t="shared" si="9"/>
        <v/>
      </c>
      <c r="P100" s="6" cm="1">
        <f t="array" ref="P100">IF(J100="",_xlfn.LET(
    _xlpm.vals,_xlfn._xlws.FILTER($K$5:K99,$K$5:K99&lt;&gt;"",""),
    _xlpm.avgJ,IF(COUNTA(_xlpm.vals)=0,0,AVERAGE(_xlfn.TAKE(_xlpm.vals,-MIN(7,ROWS(_xlpm.vals))))),
    _xlpm.addship,IF(O100="",0,O100),
    IF(
        AND(J99="",J100=""),
        P99-_xlpm.avgJ+_xlpm.addship,
        IF(
            J100="",
            J99-_xlpm.avgJ+_xlpm.addship,
            ""
        )
    )
),J100)</f>
        <v>-342761.85714285693</v>
      </c>
      <c r="Q100" s="7" t="str">
        <f t="shared" si="10"/>
        <v>Petrol stock out | Diesel stock out</v>
      </c>
      <c r="Z100" s="8">
        <f t="shared" si="11"/>
        <v>26800</v>
      </c>
      <c r="AA100" s="8">
        <f t="shared" si="12"/>
        <v>357582</v>
      </c>
      <c r="AB100" s="8">
        <f t="shared" si="13"/>
        <v>16165</v>
      </c>
      <c r="AC100" s="8">
        <f t="shared" si="14"/>
        <v>289500</v>
      </c>
    </row>
    <row r="101" spans="1:29" s="5" customFormat="1" ht="18" customHeight="1" x14ac:dyDescent="0.25">
      <c r="A101" s="7"/>
      <c r="E101" s="7"/>
      <c r="G101" s="3">
        <f t="shared" si="15"/>
        <v>46194</v>
      </c>
      <c r="H101" s="13"/>
      <c r="I101" s="13"/>
      <c r="J101" s="13"/>
      <c r="K101" s="13"/>
      <c r="M101" s="6" t="str">
        <f t="shared" si="8"/>
        <v/>
      </c>
      <c r="N101" s="6" cm="1">
        <f t="array" ref="N101">IF(H101="",_xlfn.LET(
    _xlpm.vals,_xlfn._xlws.FILTER($I$5:I100,$I$5:I100&lt;&gt;"",""),
    _xlpm.avgJ,IF(COUNTA(_xlpm.vals)=0,0,AVERAGE(_xlfn.TAKE(_xlpm.vals,-MIN(7,ROWS(_xlpm.vals))))),
    _xlpm.addship,IF(M101="",0,M101),
    IF(
        AND(H100="",H101=""),
        N100-_xlpm.avgJ+_xlpm.addship,
        IF(
            H101="",
            H100-_xlpm.avgJ+_xlpm.addship,
            ""
        )
    )
),H101)</f>
        <v>-643626.85714285658</v>
      </c>
      <c r="O101" s="6" t="str">
        <f t="shared" si="9"/>
        <v/>
      </c>
      <c r="P101" s="6" cm="1">
        <f t="array" ref="P101">IF(J101="",_xlfn.LET(
    _xlpm.vals,_xlfn._xlws.FILTER($K$5:K100,$K$5:K100&lt;&gt;"",""),
    _xlpm.avgJ,IF(COUNTA(_xlpm.vals)=0,0,AVERAGE(_xlfn.TAKE(_xlpm.vals,-MIN(7,ROWS(_xlpm.vals))))),
    _xlpm.addship,IF(O101="",0,O101),
    IF(
        AND(J100="",J101=""),
        P100-_xlpm.avgJ+_xlpm.addship,
        IF(
            J101="",
            J100-_xlpm.avgJ+_xlpm.addship,
            ""
        )
    )
),J101)</f>
        <v>-348790.42857142835</v>
      </c>
      <c r="Q101" s="7" t="str">
        <f t="shared" si="10"/>
        <v>Petrol stock out | Diesel stock out</v>
      </c>
      <c r="Z101" s="8">
        <f t="shared" si="11"/>
        <v>26800</v>
      </c>
      <c r="AA101" s="8">
        <f t="shared" si="12"/>
        <v>357582</v>
      </c>
      <c r="AB101" s="8">
        <f t="shared" si="13"/>
        <v>16165</v>
      </c>
      <c r="AC101" s="8">
        <f t="shared" si="14"/>
        <v>289500</v>
      </c>
    </row>
    <row r="102" spans="1:29" s="5" customFormat="1" ht="18" customHeight="1" x14ac:dyDescent="0.25">
      <c r="A102" s="7"/>
      <c r="E102" s="7"/>
      <c r="G102" s="3">
        <f t="shared" si="15"/>
        <v>46195</v>
      </c>
      <c r="H102" s="13"/>
      <c r="I102" s="13"/>
      <c r="J102" s="13"/>
      <c r="K102" s="13"/>
      <c r="M102" s="6" t="str">
        <f t="shared" si="8"/>
        <v/>
      </c>
      <c r="N102" s="6" cm="1">
        <f t="array" ref="N102">IF(H102="",_xlfn.LET(
    _xlpm.vals,_xlfn._xlws.FILTER($I$5:I101,$I$5:I101&lt;&gt;"",""),
    _xlpm.avgJ,IF(COUNTA(_xlpm.vals)=0,0,AVERAGE(_xlfn.TAKE(_xlpm.vals,-MIN(7,ROWS(_xlpm.vals))))),
    _xlpm.addship,IF(M102="",0,M102),
    IF(
        AND(H101="",H102=""),
        N101-_xlpm.avgJ+_xlpm.addship,
        IF(
            H102="",
            H101-_xlpm.avgJ+_xlpm.addship,
            ""
        )
    )
),H102)</f>
        <v>-652583.99999999942</v>
      </c>
      <c r="O102" s="6" t="str">
        <f t="shared" si="9"/>
        <v/>
      </c>
      <c r="P102" s="6" cm="1">
        <f t="array" ref="P102">IF(J102="",_xlfn.LET(
    _xlpm.vals,_xlfn._xlws.FILTER($K$5:K101,$K$5:K101&lt;&gt;"",""),
    _xlpm.avgJ,IF(COUNTA(_xlpm.vals)=0,0,AVERAGE(_xlfn.TAKE(_xlpm.vals,-MIN(7,ROWS(_xlpm.vals))))),
    _xlpm.addship,IF(O102="",0,O102),
    IF(
        AND(J101="",J102=""),
        P101-_xlpm.avgJ+_xlpm.addship,
        IF(
            J102="",
            J101-_xlpm.avgJ+_xlpm.addship,
            ""
        )
    )
),J102)</f>
        <v>-354818.99999999977</v>
      </c>
      <c r="Q102" s="7" t="str">
        <f t="shared" si="10"/>
        <v>Petrol stock out | Diesel stock out</v>
      </c>
      <c r="Z102" s="8">
        <f t="shared" si="11"/>
        <v>26800</v>
      </c>
      <c r="AA102" s="8">
        <f t="shared" si="12"/>
        <v>357582</v>
      </c>
      <c r="AB102" s="8">
        <f t="shared" si="13"/>
        <v>16165</v>
      </c>
      <c r="AC102" s="8">
        <f t="shared" si="14"/>
        <v>289500</v>
      </c>
    </row>
    <row r="103" spans="1:29" s="5" customFormat="1" ht="18" customHeight="1" x14ac:dyDescent="0.25">
      <c r="A103" s="7"/>
      <c r="E103" s="7"/>
      <c r="G103" s="3">
        <f t="shared" si="15"/>
        <v>46196</v>
      </c>
      <c r="H103" s="13"/>
      <c r="I103" s="13"/>
      <c r="J103" s="13"/>
      <c r="K103" s="13"/>
      <c r="M103" s="6" t="str">
        <f t="shared" si="8"/>
        <v/>
      </c>
      <c r="N103" s="6" cm="1">
        <f t="array" ref="N103">IF(H103="",_xlfn.LET(
    _xlpm.vals,_xlfn._xlws.FILTER($I$5:I102,$I$5:I102&lt;&gt;"",""),
    _xlpm.avgJ,IF(COUNTA(_xlpm.vals)=0,0,AVERAGE(_xlfn.TAKE(_xlpm.vals,-MIN(7,ROWS(_xlpm.vals))))),
    _xlpm.addship,IF(M103="",0,M103),
    IF(
        AND(H102="",H103=""),
        N102-_xlpm.avgJ+_xlpm.addship,
        IF(
            H103="",
            H102-_xlpm.avgJ+_xlpm.addship,
            ""
        )
    )
),H103)</f>
        <v>-661541.14285714226</v>
      </c>
      <c r="O103" s="6" t="str">
        <f t="shared" si="9"/>
        <v/>
      </c>
      <c r="P103" s="6" cm="1">
        <f t="array" ref="P103">IF(J103="",_xlfn.LET(
    _xlpm.vals,_xlfn._xlws.FILTER($K$5:K102,$K$5:K102&lt;&gt;"",""),
    _xlpm.avgJ,IF(COUNTA(_xlpm.vals)=0,0,AVERAGE(_xlfn.TAKE(_xlpm.vals,-MIN(7,ROWS(_xlpm.vals))))),
    _xlpm.addship,IF(O103="",0,O103),
    IF(
        AND(J102="",J103=""),
        P102-_xlpm.avgJ+_xlpm.addship,
        IF(
            J103="",
            J102-_xlpm.avgJ+_xlpm.addship,
            ""
        )
    )
),J103)</f>
        <v>-360847.57142857119</v>
      </c>
      <c r="Q103" s="7" t="str">
        <f t="shared" si="10"/>
        <v>Petrol stock out | Diesel stock out</v>
      </c>
      <c r="Z103" s="8">
        <f t="shared" si="11"/>
        <v>26800</v>
      </c>
      <c r="AA103" s="8">
        <f t="shared" si="12"/>
        <v>357582</v>
      </c>
      <c r="AB103" s="8">
        <f t="shared" si="13"/>
        <v>16165</v>
      </c>
      <c r="AC103" s="8">
        <f t="shared" si="14"/>
        <v>289500</v>
      </c>
    </row>
    <row r="104" spans="1:29" s="5" customFormat="1" ht="18" customHeight="1" x14ac:dyDescent="0.25">
      <c r="A104" s="7"/>
      <c r="E104" s="7"/>
      <c r="G104" s="3">
        <f t="shared" si="15"/>
        <v>46197</v>
      </c>
      <c r="H104" s="13"/>
      <c r="I104" s="13"/>
      <c r="J104" s="13"/>
      <c r="K104" s="13"/>
      <c r="M104" s="6" t="str">
        <f t="shared" si="8"/>
        <v/>
      </c>
      <c r="N104" s="6" cm="1">
        <f t="array" ref="N104">IF(H104="",_xlfn.LET(
    _xlpm.vals,_xlfn._xlws.FILTER($I$5:I103,$I$5:I103&lt;&gt;"",""),
    _xlpm.avgJ,IF(COUNTA(_xlpm.vals)=0,0,AVERAGE(_xlfn.TAKE(_xlpm.vals,-MIN(7,ROWS(_xlpm.vals))))),
    _xlpm.addship,IF(M104="",0,M104),
    IF(
        AND(H103="",H104=""),
        N103-_xlpm.avgJ+_xlpm.addship,
        IF(
            H104="",
            H103-_xlpm.avgJ+_xlpm.addship,
            ""
        )
    )
),H104)</f>
        <v>-670498.2857142851</v>
      </c>
      <c r="O104" s="6" t="str">
        <f t="shared" si="9"/>
        <v/>
      </c>
      <c r="P104" s="6" cm="1">
        <f t="array" ref="P104">IF(J104="",_xlfn.LET(
    _xlpm.vals,_xlfn._xlws.FILTER($K$5:K103,$K$5:K103&lt;&gt;"",""),
    _xlpm.avgJ,IF(COUNTA(_xlpm.vals)=0,0,AVERAGE(_xlfn.TAKE(_xlpm.vals,-MIN(7,ROWS(_xlpm.vals))))),
    _xlpm.addship,IF(O104="",0,O104),
    IF(
        AND(J103="",J104=""),
        P103-_xlpm.avgJ+_xlpm.addship,
        IF(
            J104="",
            J103-_xlpm.avgJ+_xlpm.addship,
            ""
        )
    )
),J104)</f>
        <v>-366876.14285714261</v>
      </c>
      <c r="Q104" s="7" t="str">
        <f t="shared" si="10"/>
        <v>Petrol stock out | Diesel stock out</v>
      </c>
      <c r="Z104" s="8">
        <f t="shared" si="11"/>
        <v>26800</v>
      </c>
      <c r="AA104" s="8">
        <f t="shared" si="12"/>
        <v>357582</v>
      </c>
      <c r="AB104" s="8">
        <f t="shared" si="13"/>
        <v>16165</v>
      </c>
      <c r="AC104" s="8">
        <f t="shared" si="14"/>
        <v>289500</v>
      </c>
    </row>
    <row r="105" spans="1:29" s="5" customFormat="1" ht="18" customHeight="1" x14ac:dyDescent="0.25">
      <c r="A105" s="7"/>
      <c r="E105" s="7"/>
      <c r="G105" s="3">
        <f t="shared" si="15"/>
        <v>46198</v>
      </c>
      <c r="H105" s="13"/>
      <c r="I105" s="13"/>
      <c r="J105" s="13"/>
      <c r="K105" s="13"/>
      <c r="M105" s="6" t="str">
        <f t="shared" si="8"/>
        <v/>
      </c>
      <c r="N105" s="6" cm="1">
        <f t="array" ref="N105">IF(H105="",_xlfn.LET(
    _xlpm.vals,_xlfn._xlws.FILTER($I$5:I104,$I$5:I104&lt;&gt;"",""),
    _xlpm.avgJ,IF(COUNTA(_xlpm.vals)=0,0,AVERAGE(_xlfn.TAKE(_xlpm.vals,-MIN(7,ROWS(_xlpm.vals))))),
    _xlpm.addship,IF(M105="",0,M105),
    IF(
        AND(H104="",H105=""),
        N104-_xlpm.avgJ+_xlpm.addship,
        IF(
            H105="",
            H104-_xlpm.avgJ+_xlpm.addship,
            ""
        )
    )
),H105)</f>
        <v>-679455.42857142794</v>
      </c>
      <c r="O105" s="6" t="str">
        <f t="shared" si="9"/>
        <v/>
      </c>
      <c r="P105" s="6" cm="1">
        <f t="array" ref="P105">IF(J105="",_xlfn.LET(
    _xlpm.vals,_xlfn._xlws.FILTER($K$5:K104,$K$5:K104&lt;&gt;"",""),
    _xlpm.avgJ,IF(COUNTA(_xlpm.vals)=0,0,AVERAGE(_xlfn.TAKE(_xlpm.vals,-MIN(7,ROWS(_xlpm.vals))))),
    _xlpm.addship,IF(O105="",0,O105),
    IF(
        AND(J104="",J105=""),
        P104-_xlpm.avgJ+_xlpm.addship,
        IF(
            J105="",
            J104-_xlpm.avgJ+_xlpm.addship,
            ""
        )
    )
),J105)</f>
        <v>-372904.71428571403</v>
      </c>
      <c r="Q105" s="7" t="str">
        <f t="shared" si="10"/>
        <v>Petrol stock out | Diesel stock out</v>
      </c>
      <c r="Z105" s="8">
        <f t="shared" si="11"/>
        <v>26800</v>
      </c>
      <c r="AA105" s="8">
        <f t="shared" si="12"/>
        <v>357582</v>
      </c>
      <c r="AB105" s="8">
        <f t="shared" si="13"/>
        <v>16165</v>
      </c>
      <c r="AC105" s="8">
        <f t="shared" si="14"/>
        <v>289500</v>
      </c>
    </row>
    <row r="106" spans="1:29" s="5" customFormat="1" ht="18" customHeight="1" x14ac:dyDescent="0.25">
      <c r="A106" s="7"/>
      <c r="E106" s="7"/>
      <c r="G106" s="3">
        <f t="shared" si="15"/>
        <v>46199</v>
      </c>
      <c r="H106" s="13"/>
      <c r="I106" s="13"/>
      <c r="J106" s="13"/>
      <c r="K106" s="13"/>
      <c r="M106" s="6" t="str">
        <f t="shared" si="8"/>
        <v/>
      </c>
      <c r="N106" s="6" cm="1">
        <f t="array" ref="N106">IF(H106="",_xlfn.LET(
    _xlpm.vals,_xlfn._xlws.FILTER($I$5:I105,$I$5:I105&lt;&gt;"",""),
    _xlpm.avgJ,IF(COUNTA(_xlpm.vals)=0,0,AVERAGE(_xlfn.TAKE(_xlpm.vals,-MIN(7,ROWS(_xlpm.vals))))),
    _xlpm.addship,IF(M106="",0,M106),
    IF(
        AND(H105="",H106=""),
        N105-_xlpm.avgJ+_xlpm.addship,
        IF(
            H106="",
            H105-_xlpm.avgJ+_xlpm.addship,
            ""
        )
    )
),H106)</f>
        <v>-688412.57142857078</v>
      </c>
      <c r="O106" s="6" t="str">
        <f t="shared" si="9"/>
        <v/>
      </c>
      <c r="P106" s="6" cm="1">
        <f t="array" ref="P106">IF(J106="",_xlfn.LET(
    _xlpm.vals,_xlfn._xlws.FILTER($K$5:K105,$K$5:K105&lt;&gt;"",""),
    _xlpm.avgJ,IF(COUNTA(_xlpm.vals)=0,0,AVERAGE(_xlfn.TAKE(_xlpm.vals,-MIN(7,ROWS(_xlpm.vals))))),
    _xlpm.addship,IF(O106="",0,O106),
    IF(
        AND(J105="",J106=""),
        P105-_xlpm.avgJ+_xlpm.addship,
        IF(
            J106="",
            J105-_xlpm.avgJ+_xlpm.addship,
            ""
        )
    )
),J106)</f>
        <v>-378933.28571428545</v>
      </c>
      <c r="Q106" s="7" t="str">
        <f t="shared" si="10"/>
        <v>Petrol stock out | Diesel stock out</v>
      </c>
      <c r="Z106" s="8">
        <f t="shared" si="11"/>
        <v>26800</v>
      </c>
      <c r="AA106" s="8">
        <f t="shared" si="12"/>
        <v>357582</v>
      </c>
      <c r="AB106" s="8">
        <f t="shared" si="13"/>
        <v>16165</v>
      </c>
      <c r="AC106" s="8">
        <f t="shared" si="14"/>
        <v>289500</v>
      </c>
    </row>
    <row r="107" spans="1:29" s="5" customFormat="1" ht="18" customHeight="1" x14ac:dyDescent="0.25">
      <c r="A107" s="7"/>
      <c r="E107" s="7"/>
      <c r="G107" s="3">
        <f t="shared" si="15"/>
        <v>46200</v>
      </c>
      <c r="H107" s="13"/>
      <c r="I107" s="13"/>
      <c r="J107" s="13"/>
      <c r="K107" s="13"/>
      <c r="M107" s="6" t="str">
        <f t="shared" si="8"/>
        <v/>
      </c>
      <c r="N107" s="6" cm="1">
        <f t="array" ref="N107">IF(H107="",_xlfn.LET(
    _xlpm.vals,_xlfn._xlws.FILTER($I$5:I106,$I$5:I106&lt;&gt;"",""),
    _xlpm.avgJ,IF(COUNTA(_xlpm.vals)=0,0,AVERAGE(_xlfn.TAKE(_xlpm.vals,-MIN(7,ROWS(_xlpm.vals))))),
    _xlpm.addship,IF(M107="",0,M107),
    IF(
        AND(H106="",H107=""),
        N106-_xlpm.avgJ+_xlpm.addship,
        IF(
            H107="",
            H106-_xlpm.avgJ+_xlpm.addship,
            ""
        )
    )
),H107)</f>
        <v>-697369.71428571362</v>
      </c>
      <c r="O107" s="6" t="str">
        <f t="shared" si="9"/>
        <v/>
      </c>
      <c r="P107" s="6" cm="1">
        <f t="array" ref="P107">IF(J107="",_xlfn.LET(
    _xlpm.vals,_xlfn._xlws.FILTER($K$5:K106,$K$5:K106&lt;&gt;"",""),
    _xlpm.avgJ,IF(COUNTA(_xlpm.vals)=0,0,AVERAGE(_xlfn.TAKE(_xlpm.vals,-MIN(7,ROWS(_xlpm.vals))))),
    _xlpm.addship,IF(O107="",0,O107),
    IF(
        AND(J106="",J107=""),
        P106-_xlpm.avgJ+_xlpm.addship,
        IF(
            J107="",
            J106-_xlpm.avgJ+_xlpm.addship,
            ""
        )
    )
),J107)</f>
        <v>-384961.85714285687</v>
      </c>
      <c r="Q107" s="7" t="str">
        <f t="shared" si="10"/>
        <v>Petrol stock out | Diesel stock out</v>
      </c>
      <c r="Z107" s="8">
        <f t="shared" si="11"/>
        <v>26800</v>
      </c>
      <c r="AA107" s="8">
        <f t="shared" si="12"/>
        <v>357582</v>
      </c>
      <c r="AB107" s="8">
        <f t="shared" si="13"/>
        <v>16165</v>
      </c>
      <c r="AC107" s="8">
        <f t="shared" si="14"/>
        <v>289500</v>
      </c>
    </row>
    <row r="108" spans="1:29" s="5" customFormat="1" ht="18" customHeight="1" x14ac:dyDescent="0.25">
      <c r="A108" s="7"/>
      <c r="E108" s="7"/>
      <c r="G108" s="3">
        <f t="shared" si="15"/>
        <v>46201</v>
      </c>
      <c r="H108" s="13"/>
      <c r="I108" s="13"/>
      <c r="J108" s="13"/>
      <c r="K108" s="13"/>
      <c r="M108" s="6" t="str">
        <f t="shared" si="8"/>
        <v/>
      </c>
      <c r="N108" s="6" cm="1">
        <f t="array" ref="N108">IF(H108="",_xlfn.LET(
    _xlpm.vals,_xlfn._xlws.FILTER($I$5:I107,$I$5:I107&lt;&gt;"",""),
    _xlpm.avgJ,IF(COUNTA(_xlpm.vals)=0,0,AVERAGE(_xlfn.TAKE(_xlpm.vals,-MIN(7,ROWS(_xlpm.vals))))),
    _xlpm.addship,IF(M108="",0,M108),
    IF(
        AND(H107="",H108=""),
        N107-_xlpm.avgJ+_xlpm.addship,
        IF(
            H108="",
            H107-_xlpm.avgJ+_xlpm.addship,
            ""
        )
    )
),H108)</f>
        <v>-706326.85714285646</v>
      </c>
      <c r="O108" s="6" t="str">
        <f t="shared" si="9"/>
        <v/>
      </c>
      <c r="P108" s="6" cm="1">
        <f t="array" ref="P108">IF(J108="",_xlfn.LET(
    _xlpm.vals,_xlfn._xlws.FILTER($K$5:K107,$K$5:K107&lt;&gt;"",""),
    _xlpm.avgJ,IF(COUNTA(_xlpm.vals)=0,0,AVERAGE(_xlfn.TAKE(_xlpm.vals,-MIN(7,ROWS(_xlpm.vals))))),
    _xlpm.addship,IF(O108="",0,O108),
    IF(
        AND(J107="",J108=""),
        P107-_xlpm.avgJ+_xlpm.addship,
        IF(
            J108="",
            J107-_xlpm.avgJ+_xlpm.addship,
            ""
        )
    )
),J108)</f>
        <v>-390990.42857142829</v>
      </c>
      <c r="Q108" s="7" t="str">
        <f t="shared" si="10"/>
        <v>Petrol stock out | Diesel stock out</v>
      </c>
      <c r="Z108" s="8">
        <f t="shared" si="11"/>
        <v>26800</v>
      </c>
      <c r="AA108" s="8">
        <f t="shared" si="12"/>
        <v>357582</v>
      </c>
      <c r="AB108" s="8">
        <f t="shared" si="13"/>
        <v>16165</v>
      </c>
      <c r="AC108" s="8">
        <f t="shared" si="14"/>
        <v>289500</v>
      </c>
    </row>
    <row r="109" spans="1:29" s="5" customFormat="1" ht="18" customHeight="1" x14ac:dyDescent="0.25">
      <c r="A109" s="7"/>
      <c r="E109" s="7"/>
      <c r="G109" s="3">
        <f t="shared" si="15"/>
        <v>46202</v>
      </c>
      <c r="H109" s="13"/>
      <c r="I109" s="13"/>
      <c r="J109" s="13"/>
      <c r="K109" s="13"/>
      <c r="M109" s="6" t="str">
        <f t="shared" si="8"/>
        <v/>
      </c>
      <c r="N109" s="6" cm="1">
        <f t="array" ref="N109">IF(H109="",_xlfn.LET(
    _xlpm.vals,_xlfn._xlws.FILTER($I$5:I108,$I$5:I108&lt;&gt;"",""),
    _xlpm.avgJ,IF(COUNTA(_xlpm.vals)=0,0,AVERAGE(_xlfn.TAKE(_xlpm.vals,-MIN(7,ROWS(_xlpm.vals))))),
    _xlpm.addship,IF(M109="",0,M109),
    IF(
        AND(H108="",H109=""),
        N108-_xlpm.avgJ+_xlpm.addship,
        IF(
            H109="",
            H108-_xlpm.avgJ+_xlpm.addship,
            ""
        )
    )
),H109)</f>
        <v>-715283.9999999993</v>
      </c>
      <c r="O109" s="6" t="str">
        <f t="shared" si="9"/>
        <v/>
      </c>
      <c r="P109" s="6" cm="1">
        <f t="array" ref="P109">IF(J109="",_xlfn.LET(
    _xlpm.vals,_xlfn._xlws.FILTER($K$5:K108,$K$5:K108&lt;&gt;"",""),
    _xlpm.avgJ,IF(COUNTA(_xlpm.vals)=0,0,AVERAGE(_xlfn.TAKE(_xlpm.vals,-MIN(7,ROWS(_xlpm.vals))))),
    _xlpm.addship,IF(O109="",0,O109),
    IF(
        AND(J108="",J109=""),
        P108-_xlpm.avgJ+_xlpm.addship,
        IF(
            J109="",
            J108-_xlpm.avgJ+_xlpm.addship,
            ""
        )
    )
),J109)</f>
        <v>-397018.99999999971</v>
      </c>
      <c r="Q109" s="7" t="str">
        <f t="shared" si="10"/>
        <v>Petrol stock out | Diesel stock out</v>
      </c>
      <c r="Z109" s="8">
        <f t="shared" si="11"/>
        <v>26800</v>
      </c>
      <c r="AA109" s="8">
        <f t="shared" si="12"/>
        <v>357582</v>
      </c>
      <c r="AB109" s="8">
        <f t="shared" si="13"/>
        <v>16165</v>
      </c>
      <c r="AC109" s="8">
        <f t="shared" si="14"/>
        <v>289500</v>
      </c>
    </row>
    <row r="110" spans="1:29" ht="14.3" x14ac:dyDescent="0.25">
      <c r="A110" s="7"/>
      <c r="B110" s="5"/>
      <c r="C110" s="5"/>
      <c r="D110" s="5"/>
      <c r="E110" s="7"/>
      <c r="F110" s="5"/>
      <c r="G110" s="3">
        <f t="shared" si="15"/>
        <v>46203</v>
      </c>
      <c r="H110" s="13"/>
      <c r="I110" s="13"/>
      <c r="J110" s="13"/>
      <c r="K110" s="13"/>
      <c r="L110" s="5"/>
      <c r="M110" s="6" t="str">
        <f t="shared" si="8"/>
        <v/>
      </c>
      <c r="N110" s="6" cm="1">
        <f t="array" ref="N110">IF(H110="",_xlfn.LET(
    _xlpm.vals,_xlfn._xlws.FILTER($I$5:I109,$I$5:I109&lt;&gt;"",""),
    _xlpm.avgJ,IF(COUNTA(_xlpm.vals)=0,0,AVERAGE(_xlfn.TAKE(_xlpm.vals,-MIN(7,ROWS(_xlpm.vals))))),
    _xlpm.addship,IF(M110="",0,M110),
    IF(
        AND(H109="",H110=""),
        N109-_xlpm.avgJ+_xlpm.addship,
        IF(
            H110="",
            H109-_xlpm.avgJ+_xlpm.addship,
            ""
        )
    )
),H110)</f>
        <v>-724241.14285714214</v>
      </c>
      <c r="O110" s="6" t="str">
        <f t="shared" si="9"/>
        <v/>
      </c>
      <c r="P110" s="6" cm="1">
        <f t="array" ref="P110">IF(J110="",_xlfn.LET(
    _xlpm.vals,_xlfn._xlws.FILTER($K$5:K109,$K$5:K109&lt;&gt;"",""),
    _xlpm.avgJ,IF(COUNTA(_xlpm.vals)=0,0,AVERAGE(_xlfn.TAKE(_xlpm.vals,-MIN(7,ROWS(_xlpm.vals))))),
    _xlpm.addship,IF(O110="",0,O110),
    IF(
        AND(J109="",J110=""),
        P109-_xlpm.avgJ+_xlpm.addship,
        IF(
            J110="",
            J109-_xlpm.avgJ+_xlpm.addship,
            ""
        )
    )
),J110)</f>
        <v>-403047.57142857113</v>
      </c>
      <c r="Q110" s="7" t="str">
        <f t="shared" si="10"/>
        <v>Petrol stock out | Diesel stock out</v>
      </c>
      <c r="R110" s="5"/>
      <c r="S110" s="5"/>
      <c r="T110" s="5"/>
      <c r="U110" s="5"/>
      <c r="V110" s="5"/>
      <c r="W110" s="5"/>
      <c r="X110" s="5"/>
      <c r="Y110" s="5"/>
      <c r="Z110" s="8">
        <f t="shared" si="11"/>
        <v>26800</v>
      </c>
      <c r="AA110" s="8">
        <f t="shared" si="12"/>
        <v>357582</v>
      </c>
      <c r="AB110" s="8">
        <f t="shared" si="13"/>
        <v>16165</v>
      </c>
      <c r="AC110" s="8">
        <f t="shared" si="14"/>
        <v>289500</v>
      </c>
    </row>
  </sheetData>
  <mergeCells count="9">
    <mergeCell ref="C18:D18"/>
    <mergeCell ref="H2:K2"/>
    <mergeCell ref="M2:P2"/>
    <mergeCell ref="A1:AC1"/>
    <mergeCell ref="D2:E2"/>
    <mergeCell ref="H3:I3"/>
    <mergeCell ref="J3:K3"/>
    <mergeCell ref="M3:N3"/>
    <mergeCell ref="O3:P3"/>
  </mergeCells>
  <conditionalFormatting sqref="N5:N110">
    <cfRule type="expression" dxfId="3" priority="1">
      <formula>AND(N5&gt;$C$20,N5&lt;&gt;"")</formula>
    </cfRule>
    <cfRule type="expression" dxfId="2" priority="2">
      <formula>AND(N5&lt;$C$21,N5&lt;&gt;"")</formula>
    </cfRule>
  </conditionalFormatting>
  <conditionalFormatting sqref="P5:P110">
    <cfRule type="expression" dxfId="1" priority="3">
      <formula>AND(P5&gt;$D$20,P5&lt;&gt;"")</formula>
    </cfRule>
    <cfRule type="expression" dxfId="0" priority="4">
      <formula>AND(P5&lt;$D$21,P5&lt;&gt;"")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Tongatapu</vt:lpstr>
      <vt:lpstr>VAVA'U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Sellies</dc:creator>
  <cp:lastModifiedBy>Marc Sellies</cp:lastModifiedBy>
  <dcterms:created xsi:type="dcterms:W3CDTF">2026-04-07T19:32:47Z</dcterms:created>
  <dcterms:modified xsi:type="dcterms:W3CDTF">2026-04-07T20:05:34Z</dcterms:modified>
</cp:coreProperties>
</file>