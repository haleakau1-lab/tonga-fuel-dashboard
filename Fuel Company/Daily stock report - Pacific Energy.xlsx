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kosita\Desktop\AKOSITA'S FILE\STOCK\LABOUR N COMMERCE STOCK UPDATE\"/>
    </mc:Choice>
  </mc:AlternateContent>
  <xr:revisionPtr revIDLastSave="0" documentId="13_ncr:1_{9130CB80-CF36-4F9C-9AFD-E056EDA73441}" xr6:coauthVersionLast="47" xr6:coauthVersionMax="47" xr10:uidLastSave="{00000000-0000-0000-0000-000000000000}"/>
  <bookViews>
    <workbookView xWindow="-108" yWindow="-108" windowWidth="23256" windowHeight="13896" xr2:uid="{2C9DEDCB-EE9C-4711-8D32-581671FE96F6}"/>
  </bookViews>
  <sheets>
    <sheet name="TONGATAPU Daily Stock Report" sheetId="2" r:id="rId1"/>
    <sheet name="VAVA'U Daily Stock Report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5" i="2" l="1"/>
  <c r="AF5" i="2"/>
  <c r="AG5" i="2"/>
  <c r="AH5" i="2"/>
  <c r="AI5" i="2"/>
  <c r="AJ5" i="2"/>
  <c r="AE6" i="2"/>
  <c r="AF6" i="2"/>
  <c r="AG6" i="2"/>
  <c r="AH6" i="2"/>
  <c r="AI6" i="2"/>
  <c r="AJ6" i="2"/>
  <c r="AE7" i="2"/>
  <c r="AF7" i="2"/>
  <c r="AG7" i="2"/>
  <c r="AH7" i="2"/>
  <c r="AI7" i="2"/>
  <c r="AJ7" i="2"/>
  <c r="AE8" i="2"/>
  <c r="AF8" i="2"/>
  <c r="AG8" i="2"/>
  <c r="AH8" i="2"/>
  <c r="AI8" i="2"/>
  <c r="AJ8" i="2"/>
  <c r="AE9" i="2"/>
  <c r="AF9" i="2"/>
  <c r="AG9" i="2"/>
  <c r="AH9" i="2"/>
  <c r="AI9" i="2"/>
  <c r="AJ9" i="2"/>
  <c r="AE10" i="2"/>
  <c r="AF10" i="2"/>
  <c r="AG10" i="2"/>
  <c r="AH10" i="2"/>
  <c r="AI10" i="2"/>
  <c r="AJ10" i="2"/>
  <c r="AE11" i="2"/>
  <c r="AF11" i="2"/>
  <c r="AG11" i="2"/>
  <c r="AH11" i="2"/>
  <c r="AI11" i="2"/>
  <c r="AJ11" i="2"/>
  <c r="AE12" i="2"/>
  <c r="AF12" i="2"/>
  <c r="AG12" i="2"/>
  <c r="AH12" i="2"/>
  <c r="AI12" i="2"/>
  <c r="AJ12" i="2"/>
  <c r="AE13" i="2"/>
  <c r="AF13" i="2"/>
  <c r="AG13" i="2"/>
  <c r="AH13" i="2"/>
  <c r="AI13" i="2"/>
  <c r="AJ13" i="2"/>
  <c r="AE14" i="2"/>
  <c r="AF14" i="2"/>
  <c r="AG14" i="2"/>
  <c r="AH14" i="2"/>
  <c r="AI14" i="2"/>
  <c r="AJ14" i="2"/>
  <c r="AE15" i="2"/>
  <c r="AF15" i="2"/>
  <c r="AG15" i="2"/>
  <c r="AH15" i="2"/>
  <c r="AI15" i="2"/>
  <c r="AJ15" i="2"/>
  <c r="AE16" i="2"/>
  <c r="AF16" i="2"/>
  <c r="AG16" i="2"/>
  <c r="AH16" i="2"/>
  <c r="AI16" i="2"/>
  <c r="AJ16" i="2"/>
  <c r="AE17" i="2"/>
  <c r="AF17" i="2"/>
  <c r="AG17" i="2"/>
  <c r="AH17" i="2"/>
  <c r="AI17" i="2"/>
  <c r="AJ17" i="2"/>
  <c r="AE18" i="2"/>
  <c r="AF18" i="2"/>
  <c r="AG18" i="2"/>
  <c r="AH18" i="2"/>
  <c r="AI18" i="2"/>
  <c r="AJ18" i="2"/>
  <c r="AE19" i="2"/>
  <c r="AF19" i="2"/>
  <c r="AG19" i="2"/>
  <c r="AH19" i="2"/>
  <c r="AI19" i="2"/>
  <c r="AJ19" i="2"/>
  <c r="AE20" i="2"/>
  <c r="AF20" i="2"/>
  <c r="AG20" i="2"/>
  <c r="AH20" i="2"/>
  <c r="AI20" i="2"/>
  <c r="AJ20" i="2"/>
  <c r="AE21" i="2"/>
  <c r="AF21" i="2"/>
  <c r="AG21" i="2"/>
  <c r="AH21" i="2"/>
  <c r="AI21" i="2"/>
  <c r="AJ21" i="2"/>
  <c r="AE22" i="2"/>
  <c r="AF22" i="2"/>
  <c r="AG22" i="2"/>
  <c r="AH22" i="2"/>
  <c r="AI22" i="2"/>
  <c r="AJ22" i="2"/>
  <c r="AE23" i="2"/>
  <c r="AF23" i="2"/>
  <c r="AG23" i="2"/>
  <c r="AH23" i="2"/>
  <c r="AI23" i="2"/>
  <c r="AJ23" i="2"/>
  <c r="AE24" i="2"/>
  <c r="AF24" i="2"/>
  <c r="AG24" i="2"/>
  <c r="AH24" i="2"/>
  <c r="AI24" i="2"/>
  <c r="AJ24" i="2"/>
  <c r="AE25" i="2"/>
  <c r="AF25" i="2"/>
  <c r="AG25" i="2"/>
  <c r="AH25" i="2"/>
  <c r="AI25" i="2"/>
  <c r="AJ25" i="2"/>
  <c r="AE26" i="2"/>
  <c r="AF26" i="2"/>
  <c r="AG26" i="2"/>
  <c r="AH26" i="2"/>
  <c r="AI26" i="2"/>
  <c r="AJ26" i="2"/>
  <c r="AE27" i="2"/>
  <c r="AF27" i="2"/>
  <c r="AG27" i="2"/>
  <c r="AH27" i="2"/>
  <c r="AI27" i="2"/>
  <c r="AJ27" i="2"/>
  <c r="AE28" i="2"/>
  <c r="AF28" i="2"/>
  <c r="AG28" i="2"/>
  <c r="AH28" i="2"/>
  <c r="AI28" i="2"/>
  <c r="AJ28" i="2"/>
  <c r="AE29" i="2"/>
  <c r="AF29" i="2"/>
  <c r="AG29" i="2"/>
  <c r="AH29" i="2"/>
  <c r="AI29" i="2"/>
  <c r="AJ29" i="2"/>
  <c r="AE30" i="2"/>
  <c r="AF30" i="2"/>
  <c r="AG30" i="2"/>
  <c r="AH30" i="2"/>
  <c r="AI30" i="2"/>
  <c r="AJ30" i="2"/>
  <c r="AE31" i="2"/>
  <c r="AF31" i="2"/>
  <c r="AG31" i="2"/>
  <c r="AH31" i="2"/>
  <c r="AI31" i="2"/>
  <c r="AJ31" i="2"/>
  <c r="AE32" i="2"/>
  <c r="AF32" i="2"/>
  <c r="AG32" i="2"/>
  <c r="AH32" i="2"/>
  <c r="AI32" i="2"/>
  <c r="AJ32" i="2"/>
  <c r="AE33" i="2"/>
  <c r="AF33" i="2"/>
  <c r="AG33" i="2"/>
  <c r="AH33" i="2"/>
  <c r="AI33" i="2"/>
  <c r="AJ33" i="2"/>
  <c r="AE34" i="2"/>
  <c r="AF34" i="2"/>
  <c r="AG34" i="2"/>
  <c r="AH34" i="2"/>
  <c r="AI34" i="2"/>
  <c r="AJ34" i="2"/>
  <c r="AE35" i="2"/>
  <c r="AF35" i="2"/>
  <c r="AG35" i="2"/>
  <c r="AH35" i="2"/>
  <c r="AI35" i="2"/>
  <c r="AJ35" i="2"/>
  <c r="AE36" i="2"/>
  <c r="AF36" i="2"/>
  <c r="AG36" i="2"/>
  <c r="AH36" i="2"/>
  <c r="AI36" i="2"/>
  <c r="AJ36" i="2"/>
  <c r="AE37" i="2"/>
  <c r="AF37" i="2"/>
  <c r="AG37" i="2"/>
  <c r="AH37" i="2"/>
  <c r="AI37" i="2"/>
  <c r="AJ37" i="2"/>
  <c r="AE38" i="2"/>
  <c r="AF38" i="2"/>
  <c r="AG38" i="2"/>
  <c r="AH38" i="2"/>
  <c r="AI38" i="2"/>
  <c r="AJ38" i="2"/>
  <c r="AE39" i="2"/>
  <c r="AF39" i="2"/>
  <c r="AG39" i="2"/>
  <c r="AH39" i="2"/>
  <c r="AI39" i="2"/>
  <c r="AJ39" i="2"/>
  <c r="AE40" i="2"/>
  <c r="AF40" i="2"/>
  <c r="AG40" i="2"/>
  <c r="AH40" i="2"/>
  <c r="AI40" i="2"/>
  <c r="AJ40" i="2"/>
  <c r="AE41" i="2"/>
  <c r="AF41" i="2"/>
  <c r="AG41" i="2"/>
  <c r="AH41" i="2"/>
  <c r="AI41" i="2"/>
  <c r="AJ41" i="2"/>
  <c r="AE42" i="2"/>
  <c r="AF42" i="2"/>
  <c r="AG42" i="2"/>
  <c r="AH42" i="2"/>
  <c r="AI42" i="2"/>
  <c r="AJ42" i="2"/>
  <c r="AE43" i="2"/>
  <c r="AF43" i="2"/>
  <c r="AG43" i="2"/>
  <c r="AH43" i="2"/>
  <c r="AI43" i="2"/>
  <c r="AJ43" i="2"/>
  <c r="AE44" i="2"/>
  <c r="AF44" i="2"/>
  <c r="AG44" i="2"/>
  <c r="AH44" i="2"/>
  <c r="AI44" i="2"/>
  <c r="AJ44" i="2"/>
  <c r="AE45" i="2"/>
  <c r="AF45" i="2"/>
  <c r="AG45" i="2"/>
  <c r="AH45" i="2"/>
  <c r="AI45" i="2"/>
  <c r="AJ45" i="2"/>
  <c r="AE46" i="2"/>
  <c r="AF46" i="2"/>
  <c r="AG46" i="2"/>
  <c r="AH46" i="2"/>
  <c r="AI46" i="2"/>
  <c r="AJ46" i="2"/>
  <c r="AE47" i="2"/>
  <c r="AF47" i="2"/>
  <c r="AG47" i="2"/>
  <c r="AH47" i="2"/>
  <c r="AI47" i="2"/>
  <c r="AJ47" i="2"/>
  <c r="AE48" i="2"/>
  <c r="AF48" i="2"/>
  <c r="AG48" i="2"/>
  <c r="AH48" i="2"/>
  <c r="AI48" i="2"/>
  <c r="AJ48" i="2"/>
  <c r="AE49" i="2"/>
  <c r="AF49" i="2"/>
  <c r="AG49" i="2"/>
  <c r="AH49" i="2"/>
  <c r="AI49" i="2"/>
  <c r="AJ49" i="2"/>
  <c r="AE50" i="2"/>
  <c r="AF50" i="2"/>
  <c r="AG50" i="2"/>
  <c r="AH50" i="2"/>
  <c r="AI50" i="2"/>
  <c r="AJ50" i="2"/>
  <c r="AE51" i="2"/>
  <c r="AF51" i="2"/>
  <c r="AG51" i="2"/>
  <c r="AH51" i="2"/>
  <c r="AI51" i="2"/>
  <c r="AJ51" i="2"/>
  <c r="AE52" i="2"/>
  <c r="AF52" i="2"/>
  <c r="AG52" i="2"/>
  <c r="AH52" i="2"/>
  <c r="AI52" i="2"/>
  <c r="AJ52" i="2"/>
  <c r="AE53" i="2"/>
  <c r="AF53" i="2"/>
  <c r="AG53" i="2"/>
  <c r="AH53" i="2"/>
  <c r="AI53" i="2"/>
  <c r="AJ53" i="2"/>
  <c r="AE54" i="2"/>
  <c r="AF54" i="2"/>
  <c r="AG54" i="2"/>
  <c r="AH54" i="2"/>
  <c r="AI54" i="2"/>
  <c r="AJ54" i="2"/>
  <c r="AE55" i="2"/>
  <c r="AF55" i="2"/>
  <c r="AG55" i="2"/>
  <c r="AH55" i="2"/>
  <c r="AI55" i="2"/>
  <c r="AJ55" i="2"/>
  <c r="AE56" i="2"/>
  <c r="AF56" i="2"/>
  <c r="AG56" i="2"/>
  <c r="AH56" i="2"/>
  <c r="AI56" i="2"/>
  <c r="AJ56" i="2"/>
  <c r="AE57" i="2"/>
  <c r="AF57" i="2"/>
  <c r="AG57" i="2"/>
  <c r="AH57" i="2"/>
  <c r="AI57" i="2"/>
  <c r="AJ57" i="2"/>
  <c r="AE58" i="2"/>
  <c r="AF58" i="2"/>
  <c r="AG58" i="2"/>
  <c r="AH58" i="2"/>
  <c r="AI58" i="2"/>
  <c r="AJ58" i="2"/>
  <c r="AE59" i="2"/>
  <c r="AF59" i="2"/>
  <c r="AG59" i="2"/>
  <c r="AH59" i="2"/>
  <c r="AI59" i="2"/>
  <c r="AJ59" i="2"/>
  <c r="AE60" i="2"/>
  <c r="AF60" i="2"/>
  <c r="AG60" i="2"/>
  <c r="AH60" i="2"/>
  <c r="AI60" i="2"/>
  <c r="AJ60" i="2"/>
  <c r="AE61" i="2"/>
  <c r="AF61" i="2"/>
  <c r="AG61" i="2"/>
  <c r="AH61" i="2"/>
  <c r="AI61" i="2"/>
  <c r="AJ61" i="2"/>
  <c r="AE62" i="2"/>
  <c r="AF62" i="2"/>
  <c r="AG62" i="2"/>
  <c r="AH62" i="2"/>
  <c r="AI62" i="2"/>
  <c r="AJ62" i="2"/>
  <c r="AE63" i="2"/>
  <c r="AF63" i="2"/>
  <c r="AG63" i="2"/>
  <c r="AH63" i="2"/>
  <c r="AI63" i="2"/>
  <c r="AJ63" i="2"/>
  <c r="AE64" i="2"/>
  <c r="AF64" i="2"/>
  <c r="AG64" i="2"/>
  <c r="AH64" i="2"/>
  <c r="AI64" i="2"/>
  <c r="AJ64" i="2"/>
  <c r="AE65" i="2"/>
  <c r="AF65" i="2"/>
  <c r="AG65" i="2"/>
  <c r="AH65" i="2"/>
  <c r="AI65" i="2"/>
  <c r="AJ65" i="2"/>
  <c r="AE66" i="2"/>
  <c r="AF66" i="2"/>
  <c r="AG66" i="2"/>
  <c r="AH66" i="2"/>
  <c r="AI66" i="2"/>
  <c r="AJ66" i="2"/>
  <c r="AE67" i="2"/>
  <c r="AF67" i="2"/>
  <c r="AG67" i="2"/>
  <c r="AH67" i="2"/>
  <c r="AI67" i="2"/>
  <c r="AJ67" i="2"/>
  <c r="AE68" i="2"/>
  <c r="AF68" i="2"/>
  <c r="AG68" i="2"/>
  <c r="AH68" i="2"/>
  <c r="AI68" i="2"/>
  <c r="AJ68" i="2"/>
  <c r="AE69" i="2"/>
  <c r="AF69" i="2"/>
  <c r="AG69" i="2"/>
  <c r="AH69" i="2"/>
  <c r="AI69" i="2"/>
  <c r="AJ69" i="2"/>
  <c r="AE70" i="2"/>
  <c r="AF70" i="2"/>
  <c r="AG70" i="2"/>
  <c r="AH70" i="2"/>
  <c r="AI70" i="2"/>
  <c r="AJ70" i="2"/>
  <c r="AE71" i="2"/>
  <c r="AF71" i="2"/>
  <c r="AG71" i="2"/>
  <c r="AH71" i="2"/>
  <c r="AI71" i="2"/>
  <c r="AJ71" i="2"/>
  <c r="AE72" i="2"/>
  <c r="AF72" i="2"/>
  <c r="AG72" i="2"/>
  <c r="AH72" i="2"/>
  <c r="AI72" i="2"/>
  <c r="AJ72" i="2"/>
  <c r="AE73" i="2"/>
  <c r="AF73" i="2"/>
  <c r="AG73" i="2"/>
  <c r="AH73" i="2"/>
  <c r="AI73" i="2"/>
  <c r="AJ73" i="2"/>
  <c r="AE74" i="2"/>
  <c r="AF74" i="2"/>
  <c r="AG74" i="2"/>
  <c r="AH74" i="2"/>
  <c r="AI74" i="2"/>
  <c r="AJ74" i="2"/>
  <c r="AE75" i="2"/>
  <c r="AF75" i="2"/>
  <c r="AG75" i="2"/>
  <c r="AH75" i="2"/>
  <c r="AI75" i="2"/>
  <c r="AJ75" i="2"/>
  <c r="AE76" i="2"/>
  <c r="AF76" i="2"/>
  <c r="AG76" i="2"/>
  <c r="AH76" i="2"/>
  <c r="AI76" i="2"/>
  <c r="AJ76" i="2"/>
  <c r="AE77" i="2"/>
  <c r="AF77" i="2"/>
  <c r="AG77" i="2"/>
  <c r="AH77" i="2"/>
  <c r="AI77" i="2"/>
  <c r="AJ77" i="2"/>
  <c r="AE78" i="2"/>
  <c r="AF78" i="2"/>
  <c r="AG78" i="2"/>
  <c r="AH78" i="2"/>
  <c r="AI78" i="2"/>
  <c r="AJ78" i="2"/>
  <c r="AE79" i="2"/>
  <c r="AF79" i="2"/>
  <c r="AG79" i="2"/>
  <c r="AH79" i="2"/>
  <c r="AI79" i="2"/>
  <c r="AJ79" i="2"/>
  <c r="AE80" i="2"/>
  <c r="AF80" i="2"/>
  <c r="AG80" i="2"/>
  <c r="AH80" i="2"/>
  <c r="AI80" i="2"/>
  <c r="AJ80" i="2"/>
  <c r="AE81" i="2"/>
  <c r="AF81" i="2"/>
  <c r="AG81" i="2"/>
  <c r="AH81" i="2"/>
  <c r="AI81" i="2"/>
  <c r="AJ81" i="2"/>
  <c r="AE82" i="2"/>
  <c r="AF82" i="2"/>
  <c r="AG82" i="2"/>
  <c r="AH82" i="2"/>
  <c r="AI82" i="2"/>
  <c r="AJ82" i="2"/>
  <c r="AE83" i="2"/>
  <c r="AF83" i="2"/>
  <c r="AG83" i="2"/>
  <c r="AH83" i="2"/>
  <c r="AI83" i="2"/>
  <c r="AJ83" i="2"/>
  <c r="AE84" i="2"/>
  <c r="AF84" i="2"/>
  <c r="AG84" i="2"/>
  <c r="AH84" i="2"/>
  <c r="AI84" i="2"/>
  <c r="AJ84" i="2"/>
  <c r="AE85" i="2"/>
  <c r="AF85" i="2"/>
  <c r="AG85" i="2"/>
  <c r="AH85" i="2"/>
  <c r="AI85" i="2"/>
  <c r="AJ85" i="2"/>
  <c r="AE86" i="2"/>
  <c r="AF86" i="2"/>
  <c r="AG86" i="2"/>
  <c r="AH86" i="2"/>
  <c r="AI86" i="2"/>
  <c r="AJ86" i="2"/>
  <c r="AE87" i="2"/>
  <c r="AF87" i="2"/>
  <c r="AG87" i="2"/>
  <c r="AH87" i="2"/>
  <c r="AI87" i="2"/>
  <c r="AJ87" i="2"/>
  <c r="AE88" i="2"/>
  <c r="AF88" i="2"/>
  <c r="AG88" i="2"/>
  <c r="AH88" i="2"/>
  <c r="AI88" i="2"/>
  <c r="AJ88" i="2"/>
  <c r="AE89" i="2"/>
  <c r="AF89" i="2"/>
  <c r="AG89" i="2"/>
  <c r="AH89" i="2"/>
  <c r="AI89" i="2"/>
  <c r="AJ89" i="2"/>
  <c r="AE90" i="2"/>
  <c r="AF90" i="2"/>
  <c r="AG90" i="2"/>
  <c r="AH90" i="2"/>
  <c r="AI90" i="2"/>
  <c r="AJ90" i="2"/>
  <c r="AE91" i="2"/>
  <c r="AF91" i="2"/>
  <c r="AG91" i="2"/>
  <c r="AH91" i="2"/>
  <c r="AI91" i="2"/>
  <c r="AJ91" i="2"/>
  <c r="AE92" i="2"/>
  <c r="AF92" i="2"/>
  <c r="AG92" i="2"/>
  <c r="AH92" i="2"/>
  <c r="AI92" i="2"/>
  <c r="AJ92" i="2"/>
  <c r="AE93" i="2"/>
  <c r="AF93" i="2"/>
  <c r="AG93" i="2"/>
  <c r="AH93" i="2"/>
  <c r="AI93" i="2"/>
  <c r="AJ93" i="2"/>
  <c r="AE94" i="2"/>
  <c r="AF94" i="2"/>
  <c r="AG94" i="2"/>
  <c r="AH94" i="2"/>
  <c r="AI94" i="2"/>
  <c r="AJ94" i="2"/>
  <c r="AE95" i="2"/>
  <c r="AF95" i="2"/>
  <c r="AG95" i="2"/>
  <c r="AH95" i="2"/>
  <c r="AI95" i="2"/>
  <c r="AJ95" i="2"/>
  <c r="AE96" i="2"/>
  <c r="AF96" i="2"/>
  <c r="AG96" i="2"/>
  <c r="AH96" i="2"/>
  <c r="AI96" i="2"/>
  <c r="AJ96" i="2"/>
  <c r="AE97" i="2"/>
  <c r="AF97" i="2"/>
  <c r="AG97" i="2"/>
  <c r="AH97" i="2"/>
  <c r="AI97" i="2"/>
  <c r="AJ97" i="2"/>
  <c r="AE98" i="2"/>
  <c r="AF98" i="2"/>
  <c r="AG98" i="2"/>
  <c r="AH98" i="2"/>
  <c r="AI98" i="2"/>
  <c r="AJ98" i="2"/>
  <c r="AE99" i="2"/>
  <c r="AF99" i="2"/>
  <c r="AG99" i="2"/>
  <c r="AH99" i="2"/>
  <c r="AI99" i="2"/>
  <c r="AJ99" i="2"/>
  <c r="AE100" i="2"/>
  <c r="AF100" i="2"/>
  <c r="AG100" i="2"/>
  <c r="AH100" i="2"/>
  <c r="AI100" i="2"/>
  <c r="AJ100" i="2"/>
  <c r="AE101" i="2"/>
  <c r="AF101" i="2"/>
  <c r="AG101" i="2"/>
  <c r="AH101" i="2"/>
  <c r="AI101" i="2"/>
  <c r="AJ101" i="2"/>
  <c r="AE102" i="2"/>
  <c r="AF102" i="2"/>
  <c r="AG102" i="2"/>
  <c r="AH102" i="2"/>
  <c r="AI102" i="2"/>
  <c r="AJ102" i="2"/>
  <c r="AE103" i="2"/>
  <c r="AF103" i="2"/>
  <c r="AG103" i="2"/>
  <c r="AH103" i="2"/>
  <c r="AI103" i="2"/>
  <c r="AJ103" i="2"/>
  <c r="AE104" i="2"/>
  <c r="AF104" i="2"/>
  <c r="AG104" i="2"/>
  <c r="AH104" i="2"/>
  <c r="AI104" i="2"/>
  <c r="AJ104" i="2"/>
  <c r="AE105" i="2"/>
  <c r="AF105" i="2"/>
  <c r="AG105" i="2"/>
  <c r="AH105" i="2"/>
  <c r="AI105" i="2"/>
  <c r="AJ105" i="2"/>
  <c r="AE106" i="2"/>
  <c r="AF106" i="2"/>
  <c r="AG106" i="2"/>
  <c r="AH106" i="2"/>
  <c r="AI106" i="2"/>
  <c r="AJ106" i="2"/>
  <c r="AE107" i="2"/>
  <c r="AF107" i="2"/>
  <c r="AG107" i="2"/>
  <c r="AH107" i="2"/>
  <c r="AI107" i="2"/>
  <c r="AJ107" i="2"/>
  <c r="AE108" i="2"/>
  <c r="AF108" i="2"/>
  <c r="AG108" i="2"/>
  <c r="AH108" i="2"/>
  <c r="AI108" i="2"/>
  <c r="AJ108" i="2"/>
  <c r="AE109" i="2"/>
  <c r="AF109" i="2"/>
  <c r="AG109" i="2"/>
  <c r="AH109" i="2"/>
  <c r="AI109" i="2"/>
  <c r="AJ109" i="2"/>
  <c r="AJ4" i="2"/>
  <c r="AI4" i="2"/>
  <c r="AH4" i="2"/>
  <c r="AG4" i="2"/>
  <c r="AF4" i="2"/>
  <c r="AE4" i="2"/>
  <c r="Z5" i="4"/>
  <c r="AA5" i="4"/>
  <c r="AB5" i="4"/>
  <c r="AC5" i="4"/>
  <c r="Z6" i="4"/>
  <c r="AA6" i="4"/>
  <c r="AB6" i="4"/>
  <c r="AC6" i="4"/>
  <c r="Z7" i="4"/>
  <c r="AA7" i="4"/>
  <c r="AB7" i="4"/>
  <c r="AC7" i="4"/>
  <c r="Z8" i="4"/>
  <c r="AA8" i="4"/>
  <c r="AB8" i="4"/>
  <c r="AC8" i="4"/>
  <c r="Z9" i="4"/>
  <c r="AA9" i="4"/>
  <c r="AB9" i="4"/>
  <c r="AC9" i="4"/>
  <c r="Z10" i="4"/>
  <c r="AA10" i="4"/>
  <c r="AB10" i="4"/>
  <c r="AC10" i="4"/>
  <c r="Z11" i="4"/>
  <c r="AA11" i="4"/>
  <c r="AB11" i="4"/>
  <c r="AC11" i="4"/>
  <c r="Z12" i="4"/>
  <c r="AA12" i="4"/>
  <c r="AB12" i="4"/>
  <c r="AC12" i="4"/>
  <c r="Z13" i="4"/>
  <c r="AA13" i="4"/>
  <c r="AB13" i="4"/>
  <c r="AC13" i="4"/>
  <c r="Z14" i="4"/>
  <c r="AA14" i="4"/>
  <c r="AB14" i="4"/>
  <c r="AC14" i="4"/>
  <c r="Z15" i="4"/>
  <c r="AA15" i="4"/>
  <c r="AB15" i="4"/>
  <c r="AC15" i="4"/>
  <c r="Z16" i="4"/>
  <c r="AA16" i="4"/>
  <c r="AB16" i="4"/>
  <c r="AC16" i="4"/>
  <c r="Z17" i="4"/>
  <c r="AA17" i="4"/>
  <c r="AB17" i="4"/>
  <c r="AC17" i="4"/>
  <c r="Z18" i="4"/>
  <c r="AA18" i="4"/>
  <c r="AB18" i="4"/>
  <c r="AC18" i="4"/>
  <c r="Z19" i="4"/>
  <c r="AA19" i="4"/>
  <c r="AB19" i="4"/>
  <c r="AC19" i="4"/>
  <c r="Z20" i="4"/>
  <c r="AA20" i="4"/>
  <c r="AB20" i="4"/>
  <c r="AC20" i="4"/>
  <c r="Z21" i="4"/>
  <c r="AA21" i="4"/>
  <c r="AB21" i="4"/>
  <c r="AC21" i="4"/>
  <c r="Z22" i="4"/>
  <c r="AA22" i="4"/>
  <c r="AB22" i="4"/>
  <c r="AC22" i="4"/>
  <c r="Z23" i="4"/>
  <c r="AA23" i="4"/>
  <c r="AB23" i="4"/>
  <c r="AC23" i="4"/>
  <c r="Z24" i="4"/>
  <c r="AA24" i="4"/>
  <c r="AB24" i="4"/>
  <c r="AC24" i="4"/>
  <c r="Z25" i="4"/>
  <c r="AA25" i="4"/>
  <c r="AB25" i="4"/>
  <c r="AC25" i="4"/>
  <c r="Z26" i="4"/>
  <c r="AA26" i="4"/>
  <c r="AB26" i="4"/>
  <c r="AC26" i="4"/>
  <c r="Z27" i="4"/>
  <c r="AA27" i="4"/>
  <c r="AB27" i="4"/>
  <c r="AC27" i="4"/>
  <c r="Z28" i="4"/>
  <c r="AA28" i="4"/>
  <c r="AB28" i="4"/>
  <c r="AC28" i="4"/>
  <c r="Z29" i="4"/>
  <c r="AA29" i="4"/>
  <c r="AB29" i="4"/>
  <c r="AC29" i="4"/>
  <c r="Z30" i="4"/>
  <c r="AA30" i="4"/>
  <c r="AB30" i="4"/>
  <c r="AC30" i="4"/>
  <c r="Z31" i="4"/>
  <c r="AA31" i="4"/>
  <c r="AB31" i="4"/>
  <c r="AC31" i="4"/>
  <c r="Z32" i="4"/>
  <c r="AA32" i="4"/>
  <c r="AB32" i="4"/>
  <c r="AC32" i="4"/>
  <c r="Z33" i="4"/>
  <c r="AA33" i="4"/>
  <c r="AB33" i="4"/>
  <c r="AC33" i="4"/>
  <c r="Z34" i="4"/>
  <c r="AA34" i="4"/>
  <c r="AB34" i="4"/>
  <c r="AC34" i="4"/>
  <c r="Z35" i="4"/>
  <c r="AA35" i="4"/>
  <c r="AB35" i="4"/>
  <c r="AC35" i="4"/>
  <c r="Z36" i="4"/>
  <c r="AA36" i="4"/>
  <c r="AB36" i="4"/>
  <c r="AC36" i="4"/>
  <c r="Z37" i="4"/>
  <c r="AA37" i="4"/>
  <c r="AB37" i="4"/>
  <c r="AC37" i="4"/>
  <c r="Z38" i="4"/>
  <c r="AA38" i="4"/>
  <c r="AB38" i="4"/>
  <c r="AC38" i="4"/>
  <c r="Z39" i="4"/>
  <c r="AA39" i="4"/>
  <c r="AB39" i="4"/>
  <c r="AC39" i="4"/>
  <c r="Z40" i="4"/>
  <c r="AA40" i="4"/>
  <c r="AB40" i="4"/>
  <c r="AC40" i="4"/>
  <c r="Z41" i="4"/>
  <c r="AA41" i="4"/>
  <c r="AB41" i="4"/>
  <c r="AC41" i="4"/>
  <c r="Z42" i="4"/>
  <c r="AA42" i="4"/>
  <c r="AB42" i="4"/>
  <c r="AC42" i="4"/>
  <c r="Z43" i="4"/>
  <c r="AA43" i="4"/>
  <c r="AB43" i="4"/>
  <c r="AC43" i="4"/>
  <c r="Z44" i="4"/>
  <c r="AA44" i="4"/>
  <c r="AB44" i="4"/>
  <c r="AC44" i="4"/>
  <c r="Z45" i="4"/>
  <c r="AA45" i="4"/>
  <c r="AB45" i="4"/>
  <c r="AC45" i="4"/>
  <c r="Z46" i="4"/>
  <c r="AA46" i="4"/>
  <c r="AB46" i="4"/>
  <c r="AC46" i="4"/>
  <c r="Z47" i="4"/>
  <c r="AA47" i="4"/>
  <c r="AB47" i="4"/>
  <c r="AC47" i="4"/>
  <c r="Z48" i="4"/>
  <c r="AA48" i="4"/>
  <c r="AB48" i="4"/>
  <c r="AC48" i="4"/>
  <c r="Z49" i="4"/>
  <c r="AA49" i="4"/>
  <c r="AB49" i="4"/>
  <c r="AC49" i="4"/>
  <c r="Z50" i="4"/>
  <c r="AA50" i="4"/>
  <c r="AB50" i="4"/>
  <c r="AC50" i="4"/>
  <c r="Z51" i="4"/>
  <c r="AA51" i="4"/>
  <c r="AB51" i="4"/>
  <c r="AC51" i="4"/>
  <c r="Z52" i="4"/>
  <c r="AA52" i="4"/>
  <c r="AB52" i="4"/>
  <c r="AC52" i="4"/>
  <c r="Z53" i="4"/>
  <c r="AA53" i="4"/>
  <c r="AB53" i="4"/>
  <c r="AC53" i="4"/>
  <c r="Z54" i="4"/>
  <c r="AA54" i="4"/>
  <c r="AB54" i="4"/>
  <c r="AC54" i="4"/>
  <c r="Z55" i="4"/>
  <c r="AA55" i="4"/>
  <c r="AB55" i="4"/>
  <c r="AC55" i="4"/>
  <c r="Z56" i="4"/>
  <c r="AA56" i="4"/>
  <c r="AB56" i="4"/>
  <c r="AC56" i="4"/>
  <c r="Z57" i="4"/>
  <c r="AA57" i="4"/>
  <c r="AB57" i="4"/>
  <c r="AC57" i="4"/>
  <c r="Z58" i="4"/>
  <c r="AA58" i="4"/>
  <c r="AB58" i="4"/>
  <c r="AC58" i="4"/>
  <c r="Z59" i="4"/>
  <c r="AA59" i="4"/>
  <c r="AB59" i="4"/>
  <c r="AC59" i="4"/>
  <c r="Z60" i="4"/>
  <c r="AA60" i="4"/>
  <c r="AB60" i="4"/>
  <c r="AC60" i="4"/>
  <c r="Z61" i="4"/>
  <c r="AA61" i="4"/>
  <c r="AB61" i="4"/>
  <c r="AC61" i="4"/>
  <c r="Z62" i="4"/>
  <c r="AA62" i="4"/>
  <c r="AB62" i="4"/>
  <c r="AC62" i="4"/>
  <c r="Z63" i="4"/>
  <c r="AA63" i="4"/>
  <c r="AB63" i="4"/>
  <c r="AC63" i="4"/>
  <c r="Z64" i="4"/>
  <c r="AA64" i="4"/>
  <c r="AB64" i="4"/>
  <c r="AC64" i="4"/>
  <c r="Z65" i="4"/>
  <c r="AA65" i="4"/>
  <c r="AB65" i="4"/>
  <c r="AC65" i="4"/>
  <c r="Z66" i="4"/>
  <c r="AA66" i="4"/>
  <c r="AB66" i="4"/>
  <c r="AC66" i="4"/>
  <c r="Z67" i="4"/>
  <c r="AA67" i="4"/>
  <c r="AB67" i="4"/>
  <c r="AC67" i="4"/>
  <c r="Z68" i="4"/>
  <c r="AA68" i="4"/>
  <c r="AB68" i="4"/>
  <c r="AC68" i="4"/>
  <c r="Z69" i="4"/>
  <c r="AA69" i="4"/>
  <c r="AB69" i="4"/>
  <c r="AC69" i="4"/>
  <c r="Z70" i="4"/>
  <c r="AA70" i="4"/>
  <c r="AB70" i="4"/>
  <c r="AC70" i="4"/>
  <c r="Z71" i="4"/>
  <c r="AA71" i="4"/>
  <c r="AB71" i="4"/>
  <c r="AC71" i="4"/>
  <c r="Z72" i="4"/>
  <c r="AA72" i="4"/>
  <c r="AB72" i="4"/>
  <c r="AC72" i="4"/>
  <c r="Z73" i="4"/>
  <c r="AA73" i="4"/>
  <c r="AB73" i="4"/>
  <c r="AC73" i="4"/>
  <c r="Z74" i="4"/>
  <c r="AA74" i="4"/>
  <c r="AB74" i="4"/>
  <c r="AC74" i="4"/>
  <c r="Z75" i="4"/>
  <c r="AA75" i="4"/>
  <c r="AB75" i="4"/>
  <c r="AC75" i="4"/>
  <c r="Z76" i="4"/>
  <c r="AA76" i="4"/>
  <c r="AB76" i="4"/>
  <c r="AC76" i="4"/>
  <c r="Z77" i="4"/>
  <c r="AA77" i="4"/>
  <c r="AB77" i="4"/>
  <c r="AC77" i="4"/>
  <c r="Z78" i="4"/>
  <c r="AA78" i="4"/>
  <c r="AB78" i="4"/>
  <c r="AC78" i="4"/>
  <c r="Z79" i="4"/>
  <c r="AA79" i="4"/>
  <c r="AB79" i="4"/>
  <c r="AC79" i="4"/>
  <c r="Z80" i="4"/>
  <c r="AA80" i="4"/>
  <c r="AB80" i="4"/>
  <c r="AC80" i="4"/>
  <c r="Z81" i="4"/>
  <c r="AA81" i="4"/>
  <c r="AB81" i="4"/>
  <c r="AC81" i="4"/>
  <c r="Z82" i="4"/>
  <c r="AA82" i="4"/>
  <c r="AB82" i="4"/>
  <c r="AC82" i="4"/>
  <c r="Z83" i="4"/>
  <c r="AA83" i="4"/>
  <c r="AB83" i="4"/>
  <c r="AC83" i="4"/>
  <c r="Z84" i="4"/>
  <c r="AA84" i="4"/>
  <c r="AB84" i="4"/>
  <c r="AC84" i="4"/>
  <c r="Z85" i="4"/>
  <c r="AA85" i="4"/>
  <c r="AB85" i="4"/>
  <c r="AC85" i="4"/>
  <c r="Z86" i="4"/>
  <c r="AA86" i="4"/>
  <c r="AB86" i="4"/>
  <c r="AC86" i="4"/>
  <c r="Z87" i="4"/>
  <c r="AA87" i="4"/>
  <c r="AB87" i="4"/>
  <c r="AC87" i="4"/>
  <c r="Z88" i="4"/>
  <c r="AA88" i="4"/>
  <c r="AB88" i="4"/>
  <c r="AC88" i="4"/>
  <c r="Z89" i="4"/>
  <c r="AA89" i="4"/>
  <c r="AB89" i="4"/>
  <c r="AC89" i="4"/>
  <c r="Z90" i="4"/>
  <c r="AA90" i="4"/>
  <c r="AB90" i="4"/>
  <c r="AC90" i="4"/>
  <c r="Z91" i="4"/>
  <c r="AA91" i="4"/>
  <c r="AB91" i="4"/>
  <c r="AC91" i="4"/>
  <c r="Z92" i="4"/>
  <c r="AA92" i="4"/>
  <c r="AB92" i="4"/>
  <c r="AC92" i="4"/>
  <c r="Z93" i="4"/>
  <c r="AA93" i="4"/>
  <c r="AB93" i="4"/>
  <c r="AC93" i="4"/>
  <c r="Z94" i="4"/>
  <c r="AA94" i="4"/>
  <c r="AB94" i="4"/>
  <c r="AC94" i="4"/>
  <c r="Z95" i="4"/>
  <c r="AA95" i="4"/>
  <c r="AB95" i="4"/>
  <c r="AC95" i="4"/>
  <c r="Z96" i="4"/>
  <c r="AA96" i="4"/>
  <c r="AB96" i="4"/>
  <c r="AC96" i="4"/>
  <c r="Z97" i="4"/>
  <c r="AA97" i="4"/>
  <c r="AB97" i="4"/>
  <c r="AC97" i="4"/>
  <c r="Z98" i="4"/>
  <c r="AA98" i="4"/>
  <c r="AB98" i="4"/>
  <c r="AC98" i="4"/>
  <c r="Z99" i="4"/>
  <c r="AA99" i="4"/>
  <c r="AB99" i="4"/>
  <c r="AC99" i="4"/>
  <c r="Z100" i="4"/>
  <c r="AA100" i="4"/>
  <c r="AB100" i="4"/>
  <c r="AC100" i="4"/>
  <c r="Z101" i="4"/>
  <c r="AA101" i="4"/>
  <c r="AB101" i="4"/>
  <c r="AC101" i="4"/>
  <c r="Z102" i="4"/>
  <c r="AA102" i="4"/>
  <c r="AB102" i="4"/>
  <c r="AC102" i="4"/>
  <c r="Z103" i="4"/>
  <c r="AA103" i="4"/>
  <c r="AB103" i="4"/>
  <c r="AC103" i="4"/>
  <c r="Z104" i="4"/>
  <c r="AA104" i="4"/>
  <c r="AB104" i="4"/>
  <c r="AC104" i="4"/>
  <c r="Z105" i="4"/>
  <c r="AA105" i="4"/>
  <c r="AB105" i="4"/>
  <c r="AC105" i="4"/>
  <c r="Z106" i="4"/>
  <c r="AA106" i="4"/>
  <c r="AB106" i="4"/>
  <c r="AC106" i="4"/>
  <c r="Z107" i="4"/>
  <c r="AA107" i="4"/>
  <c r="AB107" i="4"/>
  <c r="AC107" i="4"/>
  <c r="Z108" i="4"/>
  <c r="AA108" i="4"/>
  <c r="AB108" i="4"/>
  <c r="AC108" i="4"/>
  <c r="Z109" i="4"/>
  <c r="AA109" i="4"/>
  <c r="AB109" i="4"/>
  <c r="AC109" i="4"/>
  <c r="AC4" i="4"/>
  <c r="AB4" i="4"/>
  <c r="AA4" i="4"/>
  <c r="Z4" i="4"/>
  <c r="N5" i="4" a="1"/>
  <c r="N5" i="4" s="1"/>
  <c r="N6" i="4" s="1" a="1"/>
  <c r="N6" i="4" s="1"/>
  <c r="D21" i="4"/>
  <c r="C21" i="4"/>
  <c r="O7" i="4"/>
  <c r="M7" i="4"/>
  <c r="O6" i="4"/>
  <c r="M6" i="4"/>
  <c r="G6" i="4"/>
  <c r="G7" i="4" s="1"/>
  <c r="G8" i="4" s="1"/>
  <c r="O5" i="4"/>
  <c r="P5" i="4" s="1" a="1"/>
  <c r="P5" i="4" s="1"/>
  <c r="M5" i="4"/>
  <c r="G5" i="4"/>
  <c r="P4" i="4" a="1"/>
  <c r="P4" i="4" s="1"/>
  <c r="O4" i="4"/>
  <c r="N4" i="4" a="1"/>
  <c r="N4" i="4" s="1"/>
  <c r="M4" i="4"/>
  <c r="P6" i="4" l="1" a="1"/>
  <c r="P6" i="4" s="1"/>
  <c r="Q6" i="4" s="1"/>
  <c r="N7" i="4" a="1"/>
  <c r="N7" i="4" s="1"/>
  <c r="Q4" i="4"/>
  <c r="Q5" i="4"/>
  <c r="G9" i="4"/>
  <c r="O8" i="4"/>
  <c r="M8" i="4"/>
  <c r="P7" i="4" l="1" a="1"/>
  <c r="P7" i="4" s="1"/>
  <c r="Q7" i="4" s="1"/>
  <c r="N8" i="4" a="1"/>
  <c r="N8" i="4" s="1"/>
  <c r="M9" i="4"/>
  <c r="G10" i="4"/>
  <c r="O9" i="4"/>
  <c r="P8" i="4" l="1" a="1"/>
  <c r="P8" i="4" s="1"/>
  <c r="P9" i="4" s="1" a="1"/>
  <c r="P9" i="4" s="1"/>
  <c r="N9" i="4" a="1"/>
  <c r="N9" i="4" s="1"/>
  <c r="G11" i="4"/>
  <c r="M10" i="4"/>
  <c r="O10" i="4"/>
  <c r="P10" i="4" l="1" a="1"/>
  <c r="P10" i="4" s="1"/>
  <c r="Q9" i="4"/>
  <c r="Q8" i="4"/>
  <c r="N10" i="4" a="1"/>
  <c r="N10" i="4" s="1"/>
  <c r="O11" i="4"/>
  <c r="M11" i="4"/>
  <c r="G12" i="4"/>
  <c r="P11" i="4" l="1" a="1"/>
  <c r="P11" i="4" s="1"/>
  <c r="Q10" i="4"/>
  <c r="N11" i="4" a="1"/>
  <c r="N11" i="4" s="1"/>
  <c r="G13" i="4"/>
  <c r="O12" i="4"/>
  <c r="M12" i="4"/>
  <c r="N12" i="4" l="1" a="1"/>
  <c r="N12" i="4" s="1"/>
  <c r="P12" i="4" a="1"/>
  <c r="P12" i="4" s="1"/>
  <c r="Q11" i="4"/>
  <c r="O13" i="4"/>
  <c r="M13" i="4"/>
  <c r="G14" i="4"/>
  <c r="Q12" i="4" l="1"/>
  <c r="N13" i="4" a="1"/>
  <c r="N13" i="4" s="1"/>
  <c r="P13" i="4" a="1"/>
  <c r="P13" i="4" s="1"/>
  <c r="G15" i="4"/>
  <c r="O14" i="4"/>
  <c r="M14" i="4"/>
  <c r="P14" i="4" l="1" a="1"/>
  <c r="P14" i="4" s="1"/>
  <c r="Q13" i="4"/>
  <c r="N14" i="4" a="1"/>
  <c r="N14" i="4" s="1"/>
  <c r="O15" i="4"/>
  <c r="M15" i="4"/>
  <c r="G16" i="4"/>
  <c r="Q14" i="4" l="1"/>
  <c r="P15" i="4" a="1"/>
  <c r="P15" i="4" s="1"/>
  <c r="N15" i="4" a="1"/>
  <c r="N15" i="4" s="1"/>
  <c r="O16" i="4"/>
  <c r="M16" i="4"/>
  <c r="G17" i="4"/>
  <c r="Q15" i="4" l="1"/>
  <c r="P16" i="4" a="1"/>
  <c r="P16" i="4" s="1"/>
  <c r="N16" i="4" a="1"/>
  <c r="N16" i="4" s="1"/>
  <c r="G18" i="4"/>
  <c r="O17" i="4"/>
  <c r="M17" i="4"/>
  <c r="Q16" i="4" l="1"/>
  <c r="P17" i="4" a="1"/>
  <c r="P17" i="4" s="1"/>
  <c r="N17" i="4" a="1"/>
  <c r="N17" i="4" s="1"/>
  <c r="G19" i="4"/>
  <c r="O18" i="4"/>
  <c r="M18" i="4"/>
  <c r="P18" i="4" l="1" a="1"/>
  <c r="P18" i="4" s="1"/>
  <c r="Q17" i="4"/>
  <c r="N18" i="4" a="1"/>
  <c r="N18" i="4" s="1"/>
  <c r="G20" i="4"/>
  <c r="O19" i="4"/>
  <c r="M19" i="4"/>
  <c r="P19" i="4" l="1" a="1"/>
  <c r="P19" i="4" s="1"/>
  <c r="N19" i="4" a="1"/>
  <c r="N19" i="4" s="1"/>
  <c r="Q18" i="4"/>
  <c r="M20" i="4"/>
  <c r="O20" i="4"/>
  <c r="G21" i="4"/>
  <c r="P20" i="4" l="1" a="1"/>
  <c r="P20" i="4" s="1"/>
  <c r="Q19" i="4"/>
  <c r="N20" i="4" a="1"/>
  <c r="N20" i="4" s="1"/>
  <c r="G22" i="4"/>
  <c r="O21" i="4"/>
  <c r="M21" i="4"/>
  <c r="P21" i="4" l="1" a="1"/>
  <c r="P21" i="4" s="1"/>
  <c r="Q20" i="4"/>
  <c r="N21" i="4" a="1"/>
  <c r="N21" i="4" s="1"/>
  <c r="M22" i="4"/>
  <c r="G23" i="4"/>
  <c r="O22" i="4"/>
  <c r="P22" i="4" l="1" a="1"/>
  <c r="P22" i="4" s="1"/>
  <c r="Q21" i="4"/>
  <c r="N22" i="4" a="1"/>
  <c r="N22" i="4" s="1"/>
  <c r="G24" i="4"/>
  <c r="O23" i="4"/>
  <c r="M23" i="4"/>
  <c r="N23" i="4" l="1" a="1"/>
  <c r="N23" i="4" s="1"/>
  <c r="Q22" i="4"/>
  <c r="P23" i="4" a="1"/>
  <c r="P23" i="4" s="1"/>
  <c r="M24" i="4"/>
  <c r="G25" i="4"/>
  <c r="O24" i="4"/>
  <c r="N24" i="4" l="1" a="1"/>
  <c r="N24" i="4" s="1"/>
  <c r="Q23" i="4"/>
  <c r="P24" i="4" a="1"/>
  <c r="P24" i="4" s="1"/>
  <c r="G26" i="4"/>
  <c r="M25" i="4"/>
  <c r="O25" i="4"/>
  <c r="N25" i="4" l="1" a="1"/>
  <c r="N25" i="4" s="1"/>
  <c r="Q24" i="4"/>
  <c r="P25" i="4" a="1"/>
  <c r="P25" i="4" s="1"/>
  <c r="O26" i="4"/>
  <c r="M26" i="4"/>
  <c r="G27" i="4"/>
  <c r="N26" i="4" l="1" a="1"/>
  <c r="N26" i="4" s="1"/>
  <c r="Q25" i="4"/>
  <c r="P26" i="4" a="1"/>
  <c r="P26" i="4" s="1"/>
  <c r="M27" i="4"/>
  <c r="O27" i="4"/>
  <c r="G28" i="4"/>
  <c r="N27" i="4" l="1" a="1"/>
  <c r="N27" i="4" s="1"/>
  <c r="Q26" i="4"/>
  <c r="P27" i="4" a="1"/>
  <c r="P27" i="4" s="1"/>
  <c r="O28" i="4"/>
  <c r="M28" i="4"/>
  <c r="G29" i="4"/>
  <c r="N28" i="4" l="1" a="1"/>
  <c r="N28" i="4" s="1"/>
  <c r="Q27" i="4"/>
  <c r="P28" i="4" a="1"/>
  <c r="P28" i="4" s="1"/>
  <c r="O29" i="4"/>
  <c r="M29" i="4"/>
  <c r="G30" i="4"/>
  <c r="N29" i="4" l="1" a="1"/>
  <c r="N29" i="4" s="1"/>
  <c r="Q28" i="4"/>
  <c r="P29" i="4" a="1"/>
  <c r="P29" i="4" s="1"/>
  <c r="G31" i="4"/>
  <c r="O30" i="4"/>
  <c r="M30" i="4"/>
  <c r="N30" i="4" l="1" a="1"/>
  <c r="N30" i="4" s="1"/>
  <c r="Q29" i="4"/>
  <c r="P30" i="4" a="1"/>
  <c r="P30" i="4" s="1"/>
  <c r="M31" i="4"/>
  <c r="G32" i="4"/>
  <c r="O31" i="4"/>
  <c r="Q30" i="4" l="1"/>
  <c r="N31" i="4" a="1"/>
  <c r="N31" i="4" s="1"/>
  <c r="P31" i="4" a="1"/>
  <c r="P31" i="4" s="1"/>
  <c r="G33" i="4"/>
  <c r="M32" i="4"/>
  <c r="O32" i="4"/>
  <c r="Q31" i="4" l="1"/>
  <c r="N32" i="4" a="1"/>
  <c r="N32" i="4" s="1"/>
  <c r="P32" i="4" a="1"/>
  <c r="P32" i="4" s="1"/>
  <c r="M33" i="4"/>
  <c r="O33" i="4"/>
  <c r="G34" i="4"/>
  <c r="N33" i="4" l="1" a="1"/>
  <c r="N33" i="4" s="1"/>
  <c r="Q32" i="4"/>
  <c r="P33" i="4" a="1"/>
  <c r="P33" i="4" s="1"/>
  <c r="G35" i="4"/>
  <c r="M34" i="4"/>
  <c r="O34" i="4"/>
  <c r="N34" i="4" l="1" a="1"/>
  <c r="N34" i="4" s="1"/>
  <c r="Q33" i="4"/>
  <c r="P34" i="4" a="1"/>
  <c r="P34" i="4" s="1"/>
  <c r="O35" i="4"/>
  <c r="M35" i="4"/>
  <c r="G36" i="4"/>
  <c r="Q34" i="4" l="1"/>
  <c r="N35" i="4" a="1"/>
  <c r="N35" i="4" s="1"/>
  <c r="P35" i="4" a="1"/>
  <c r="P35" i="4" s="1"/>
  <c r="M36" i="4"/>
  <c r="O36" i="4"/>
  <c r="G37" i="4"/>
  <c r="N36" i="4" l="1" a="1"/>
  <c r="N36" i="4" s="1"/>
  <c r="Q35" i="4"/>
  <c r="P36" i="4" a="1"/>
  <c r="P36" i="4" s="1"/>
  <c r="O37" i="4"/>
  <c r="M37" i="4"/>
  <c r="G38" i="4"/>
  <c r="N37" i="4" l="1" a="1"/>
  <c r="N37" i="4" s="1"/>
  <c r="Q36" i="4"/>
  <c r="P37" i="4" a="1"/>
  <c r="P37" i="4" s="1"/>
  <c r="G39" i="4"/>
  <c r="O38" i="4"/>
  <c r="M38" i="4"/>
  <c r="N38" i="4" l="1" a="1"/>
  <c r="N38" i="4" s="1"/>
  <c r="Q37" i="4"/>
  <c r="P38" i="4" a="1"/>
  <c r="P38" i="4" s="1"/>
  <c r="G40" i="4"/>
  <c r="O39" i="4"/>
  <c r="M39" i="4"/>
  <c r="Q38" i="4" l="1"/>
  <c r="N39" i="4" a="1"/>
  <c r="N39" i="4" s="1"/>
  <c r="P39" i="4" a="1"/>
  <c r="P39" i="4" s="1"/>
  <c r="M40" i="4"/>
  <c r="O40" i="4"/>
  <c r="G41" i="4"/>
  <c r="N40" i="4" l="1" a="1"/>
  <c r="N40" i="4" s="1"/>
  <c r="Q39" i="4"/>
  <c r="P40" i="4" a="1"/>
  <c r="P40" i="4" s="1"/>
  <c r="G42" i="4"/>
  <c r="O41" i="4"/>
  <c r="M41" i="4"/>
  <c r="N41" i="4" l="1" a="1"/>
  <c r="N41" i="4" s="1"/>
  <c r="Q40" i="4"/>
  <c r="P41" i="4" a="1"/>
  <c r="P41" i="4" s="1"/>
  <c r="M42" i="4"/>
  <c r="G43" i="4"/>
  <c r="O42" i="4"/>
  <c r="N42" i="4" l="1" a="1"/>
  <c r="N42" i="4" s="1"/>
  <c r="Q41" i="4"/>
  <c r="P42" i="4" a="1"/>
  <c r="P42" i="4" s="1"/>
  <c r="G44" i="4"/>
  <c r="M43" i="4"/>
  <c r="O43" i="4"/>
  <c r="N43" i="4" l="1" a="1"/>
  <c r="N43" i="4" s="1"/>
  <c r="Q42" i="4"/>
  <c r="P43" i="4" a="1"/>
  <c r="P43" i="4" s="1"/>
  <c r="O44" i="4"/>
  <c r="M44" i="4"/>
  <c r="G45" i="4"/>
  <c r="N44" i="4" l="1" a="1"/>
  <c r="N44" i="4" s="1"/>
  <c r="Q43" i="4"/>
  <c r="P44" i="4" a="1"/>
  <c r="P44" i="4" s="1"/>
  <c r="O45" i="4"/>
  <c r="M45" i="4"/>
  <c r="G46" i="4"/>
  <c r="N45" i="4" l="1" a="1"/>
  <c r="N45" i="4" s="1"/>
  <c r="Q44" i="4"/>
  <c r="P45" i="4" a="1"/>
  <c r="P45" i="4" s="1"/>
  <c r="O46" i="4"/>
  <c r="M46" i="4"/>
  <c r="G47" i="4"/>
  <c r="N46" i="4" l="1" a="1"/>
  <c r="N46" i="4" s="1"/>
  <c r="Q45" i="4"/>
  <c r="P46" i="4" a="1"/>
  <c r="P46" i="4" s="1"/>
  <c r="G48" i="4"/>
  <c r="O47" i="4"/>
  <c r="M47" i="4"/>
  <c r="Q46" i="4" l="1"/>
  <c r="N47" i="4" a="1"/>
  <c r="N47" i="4" s="1"/>
  <c r="P47" i="4" a="1"/>
  <c r="P47" i="4" s="1"/>
  <c r="G49" i="4"/>
  <c r="O48" i="4"/>
  <c r="M48" i="4"/>
  <c r="Q47" i="4" l="1"/>
  <c r="N48" i="4" a="1"/>
  <c r="N48" i="4" s="1"/>
  <c r="P48" i="4" a="1"/>
  <c r="P48" i="4" s="1"/>
  <c r="M49" i="4"/>
  <c r="G50" i="4"/>
  <c r="O49" i="4"/>
  <c r="Q48" i="4" l="1"/>
  <c r="P49" i="4" a="1"/>
  <c r="P49" i="4" s="1"/>
  <c r="N49" i="4" a="1"/>
  <c r="N49" i="4" s="1"/>
  <c r="G51" i="4"/>
  <c r="M50" i="4"/>
  <c r="O50" i="4"/>
  <c r="Q49" i="4" l="1"/>
  <c r="P50" i="4" a="1"/>
  <c r="P50" i="4" s="1"/>
  <c r="N50" i="4" a="1"/>
  <c r="N50" i="4" s="1"/>
  <c r="M51" i="4"/>
  <c r="G52" i="4"/>
  <c r="O51" i="4"/>
  <c r="P51" i="4" l="1" a="1"/>
  <c r="P51" i="4" s="1"/>
  <c r="Q50" i="4"/>
  <c r="N51" i="4" a="1"/>
  <c r="N51" i="4" s="1"/>
  <c r="G53" i="4"/>
  <c r="M52" i="4"/>
  <c r="O52" i="4"/>
  <c r="P52" i="4" l="1" a="1"/>
  <c r="P52" i="4" s="1"/>
  <c r="Q51" i="4"/>
  <c r="N52" i="4" a="1"/>
  <c r="N52" i="4" s="1"/>
  <c r="O53" i="4"/>
  <c r="M53" i="4"/>
  <c r="G54" i="4"/>
  <c r="Q52" i="4" l="1"/>
  <c r="P53" i="4" a="1"/>
  <c r="P53" i="4" s="1"/>
  <c r="N53" i="4" a="1"/>
  <c r="N53" i="4" s="1"/>
  <c r="G55" i="4"/>
  <c r="O54" i="4"/>
  <c r="M54" i="4"/>
  <c r="Q53" i="4" l="1"/>
  <c r="P54" i="4" a="1"/>
  <c r="P54" i="4" s="1"/>
  <c r="N54" i="4" a="1"/>
  <c r="N54" i="4" s="1"/>
  <c r="O55" i="4"/>
  <c r="M55" i="4"/>
  <c r="G56" i="4"/>
  <c r="Q54" i="4" l="1"/>
  <c r="P55" i="4" a="1"/>
  <c r="P55" i="4" s="1"/>
  <c r="N55" i="4" a="1"/>
  <c r="N55" i="4" s="1"/>
  <c r="O56" i="4"/>
  <c r="M56" i="4"/>
  <c r="G57" i="4"/>
  <c r="N56" i="4" l="1" a="1"/>
  <c r="N56" i="4" s="1"/>
  <c r="P56" i="4" a="1"/>
  <c r="P56" i="4" s="1"/>
  <c r="Q55" i="4"/>
  <c r="G58" i="4"/>
  <c r="O57" i="4"/>
  <c r="M57" i="4"/>
  <c r="P57" i="4" l="1" a="1"/>
  <c r="P57" i="4" s="1"/>
  <c r="N57" i="4" a="1"/>
  <c r="N57" i="4" s="1"/>
  <c r="Q56" i="4"/>
  <c r="M58" i="4"/>
  <c r="G59" i="4"/>
  <c r="O58" i="4"/>
  <c r="P58" i="4" l="1" a="1"/>
  <c r="P58" i="4" s="1"/>
  <c r="Q57" i="4"/>
  <c r="N58" i="4" a="1"/>
  <c r="N58" i="4" s="1"/>
  <c r="G60" i="4"/>
  <c r="O59" i="4"/>
  <c r="M59" i="4"/>
  <c r="N59" i="4" l="1" a="1"/>
  <c r="N59" i="4" s="1"/>
  <c r="P59" i="4" a="1"/>
  <c r="P59" i="4" s="1"/>
  <c r="Q58" i="4"/>
  <c r="M60" i="4"/>
  <c r="O60" i="4"/>
  <c r="G61" i="4"/>
  <c r="N60" i="4" l="1" a="1"/>
  <c r="N60" i="4" s="1"/>
  <c r="Q59" i="4"/>
  <c r="P60" i="4" a="1"/>
  <c r="P60" i="4" s="1"/>
  <c r="G62" i="4"/>
  <c r="M61" i="4"/>
  <c r="O61" i="4"/>
  <c r="Q60" i="4" l="1"/>
  <c r="N61" i="4" a="1"/>
  <c r="N61" i="4" s="1"/>
  <c r="P61" i="4" a="1"/>
  <c r="P61" i="4" s="1"/>
  <c r="O62" i="4"/>
  <c r="M62" i="4"/>
  <c r="G63" i="4"/>
  <c r="Q61" i="4" l="1"/>
  <c r="N62" i="4" a="1"/>
  <c r="N62" i="4" s="1"/>
  <c r="P62" i="4" a="1"/>
  <c r="P62" i="4" s="1"/>
  <c r="G64" i="4"/>
  <c r="O63" i="4"/>
  <c r="M63" i="4"/>
  <c r="N63" i="4" l="1" a="1"/>
  <c r="N63" i="4" s="1"/>
  <c r="Q62" i="4"/>
  <c r="P63" i="4" a="1"/>
  <c r="P63" i="4" s="1"/>
  <c r="M64" i="4"/>
  <c r="O64" i="4"/>
  <c r="G65" i="4"/>
  <c r="N64" i="4" l="1" a="1"/>
  <c r="N64" i="4" s="1"/>
  <c r="Q63" i="4"/>
  <c r="P64" i="4" a="1"/>
  <c r="P64" i="4" s="1"/>
  <c r="M65" i="4"/>
  <c r="G66" i="4"/>
  <c r="O65" i="4"/>
  <c r="N65" i="4" l="1" a="1"/>
  <c r="N65" i="4" s="1"/>
  <c r="Q64" i="4"/>
  <c r="P65" i="4" a="1"/>
  <c r="P65" i="4" s="1"/>
  <c r="O66" i="4"/>
  <c r="G67" i="4"/>
  <c r="M66" i="4"/>
  <c r="N66" i="4" l="1" a="1"/>
  <c r="N66" i="4" s="1"/>
  <c r="Q65" i="4"/>
  <c r="P66" i="4" a="1"/>
  <c r="P66" i="4" s="1"/>
  <c r="M67" i="4"/>
  <c r="G68" i="4"/>
  <c r="O67" i="4"/>
  <c r="N67" i="4" l="1" a="1"/>
  <c r="N67" i="4" s="1"/>
  <c r="Q66" i="4"/>
  <c r="P67" i="4" a="1"/>
  <c r="P67" i="4" s="1"/>
  <c r="G69" i="4"/>
  <c r="O68" i="4"/>
  <c r="M68" i="4"/>
  <c r="Q67" i="4" l="1"/>
  <c r="N68" i="4" a="1"/>
  <c r="N68" i="4" s="1"/>
  <c r="P68" i="4" a="1"/>
  <c r="P68" i="4" s="1"/>
  <c r="M69" i="4"/>
  <c r="O69" i="4"/>
  <c r="G70" i="4"/>
  <c r="Q68" i="4" l="1"/>
  <c r="N69" i="4" a="1"/>
  <c r="N69" i="4" s="1"/>
  <c r="P69" i="4" a="1"/>
  <c r="P69" i="4" s="1"/>
  <c r="G71" i="4"/>
  <c r="M70" i="4"/>
  <c r="O70" i="4"/>
  <c r="Q69" i="4" l="1"/>
  <c r="N70" i="4" a="1"/>
  <c r="N70" i="4" s="1"/>
  <c r="P70" i="4" a="1"/>
  <c r="P70" i="4" s="1"/>
  <c r="O71" i="4"/>
  <c r="M71" i="4"/>
  <c r="G72" i="4"/>
  <c r="N71" i="4" l="1" a="1"/>
  <c r="N71" i="4" s="1"/>
  <c r="Q70" i="4"/>
  <c r="P71" i="4" a="1"/>
  <c r="P71" i="4" s="1"/>
  <c r="G73" i="4"/>
  <c r="O72" i="4"/>
  <c r="M72" i="4"/>
  <c r="Q71" i="4" l="1"/>
  <c r="N72" i="4" a="1"/>
  <c r="N72" i="4" s="1"/>
  <c r="P72" i="4" a="1"/>
  <c r="P72" i="4" s="1"/>
  <c r="O73" i="4"/>
  <c r="M73" i="4"/>
  <c r="G74" i="4"/>
  <c r="Q72" i="4" l="1"/>
  <c r="N73" i="4" a="1"/>
  <c r="N73" i="4" s="1"/>
  <c r="P73" i="4" a="1"/>
  <c r="P73" i="4" s="1"/>
  <c r="O74" i="4"/>
  <c r="M74" i="4"/>
  <c r="G75" i="4"/>
  <c r="Q73" i="4" l="1"/>
  <c r="N74" i="4" a="1"/>
  <c r="N74" i="4" s="1"/>
  <c r="P74" i="4" a="1"/>
  <c r="P74" i="4" s="1"/>
  <c r="O75" i="4"/>
  <c r="G76" i="4"/>
  <c r="M75" i="4"/>
  <c r="Q74" i="4" l="1"/>
  <c r="N75" i="4" a="1"/>
  <c r="N75" i="4" s="1"/>
  <c r="P75" i="4" a="1"/>
  <c r="P75" i="4" s="1"/>
  <c r="Q75" i="4" s="1"/>
  <c r="M76" i="4"/>
  <c r="O76" i="4"/>
  <c r="G77" i="4"/>
  <c r="N76" i="4" l="1" a="1"/>
  <c r="N76" i="4" s="1"/>
  <c r="P76" i="4" a="1"/>
  <c r="P76" i="4" s="1"/>
  <c r="G78" i="4"/>
  <c r="O77" i="4"/>
  <c r="M77" i="4"/>
  <c r="N77" i="4" l="1" a="1"/>
  <c r="N77" i="4" s="1"/>
  <c r="Q76" i="4"/>
  <c r="P77" i="4" a="1"/>
  <c r="P77" i="4" s="1"/>
  <c r="Q77" i="4" s="1"/>
  <c r="M78" i="4"/>
  <c r="N78" i="4" s="1" a="1"/>
  <c r="N78" i="4" s="1"/>
  <c r="G79" i="4"/>
  <c r="O78" i="4"/>
  <c r="P78" i="4" l="1" a="1"/>
  <c r="P78" i="4" s="1"/>
  <c r="Q78" i="4" s="1"/>
  <c r="G80" i="4"/>
  <c r="M79" i="4"/>
  <c r="N79" i="4" s="1" a="1"/>
  <c r="N79" i="4" s="1"/>
  <c r="O79" i="4"/>
  <c r="P79" i="4" l="1" a="1"/>
  <c r="P79" i="4" s="1"/>
  <c r="Q79" i="4" s="1"/>
  <c r="O80" i="4"/>
  <c r="M80" i="4"/>
  <c r="N80" i="4" s="1" a="1"/>
  <c r="N80" i="4" s="1"/>
  <c r="G81" i="4"/>
  <c r="P80" i="4" l="1" a="1"/>
  <c r="P80" i="4" s="1"/>
  <c r="Q80" i="4" s="1"/>
  <c r="G82" i="4"/>
  <c r="M81" i="4"/>
  <c r="N81" i="4" s="1" a="1"/>
  <c r="N81" i="4" s="1"/>
  <c r="O81" i="4"/>
  <c r="P81" i="4" l="1" a="1"/>
  <c r="P81" i="4" s="1"/>
  <c r="Q81" i="4" s="1"/>
  <c r="M82" i="4"/>
  <c r="N82" i="4" s="1" a="1"/>
  <c r="N82" i="4" s="1"/>
  <c r="O82" i="4"/>
  <c r="G83" i="4"/>
  <c r="P82" i="4" l="1" a="1"/>
  <c r="P82" i="4" s="1"/>
  <c r="Q82" i="4" s="1"/>
  <c r="O83" i="4"/>
  <c r="M83" i="4"/>
  <c r="N83" i="4" s="1" a="1"/>
  <c r="N83" i="4" s="1"/>
  <c r="G84" i="4"/>
  <c r="P83" i="4" l="1" a="1"/>
  <c r="P83" i="4" s="1"/>
  <c r="Q83" i="4" s="1"/>
  <c r="G85" i="4"/>
  <c r="O84" i="4"/>
  <c r="M84" i="4"/>
  <c r="N84" i="4" s="1" a="1"/>
  <c r="N84" i="4" s="1"/>
  <c r="P84" i="4" l="1" a="1"/>
  <c r="P84" i="4" s="1"/>
  <c r="Q84" i="4" s="1"/>
  <c r="M85" i="4"/>
  <c r="N85" i="4" s="1" a="1"/>
  <c r="N85" i="4" s="1"/>
  <c r="G86" i="4"/>
  <c r="O85" i="4"/>
  <c r="P85" i="4" l="1" a="1"/>
  <c r="P85" i="4" s="1"/>
  <c r="Q85" i="4" s="1"/>
  <c r="G87" i="4"/>
  <c r="O86" i="4"/>
  <c r="M86" i="4"/>
  <c r="N86" i="4" s="1" a="1"/>
  <c r="N86" i="4" s="1"/>
  <c r="P86" i="4" l="1" a="1"/>
  <c r="P86" i="4" s="1"/>
  <c r="Q86" i="4" s="1"/>
  <c r="M87" i="4"/>
  <c r="N87" i="4" s="1" a="1"/>
  <c r="N87" i="4" s="1"/>
  <c r="G88" i="4"/>
  <c r="O87" i="4"/>
  <c r="P87" i="4" l="1" a="1"/>
  <c r="P87" i="4" s="1"/>
  <c r="Q87" i="4" s="1"/>
  <c r="G89" i="4"/>
  <c r="M88" i="4"/>
  <c r="N88" i="4" s="1" a="1"/>
  <c r="N88" i="4" s="1"/>
  <c r="O88" i="4"/>
  <c r="P88" i="4" l="1" a="1"/>
  <c r="P88" i="4" s="1"/>
  <c r="Q88" i="4" s="1"/>
  <c r="O89" i="4"/>
  <c r="M89" i="4"/>
  <c r="N89" i="4" s="1" a="1"/>
  <c r="N89" i="4" s="1"/>
  <c r="G90" i="4"/>
  <c r="P89" i="4" l="1" a="1"/>
  <c r="P89" i="4" s="1"/>
  <c r="Q89" i="4" s="1"/>
  <c r="G91" i="4"/>
  <c r="O90" i="4"/>
  <c r="M90" i="4"/>
  <c r="N90" i="4" s="1" a="1"/>
  <c r="N90" i="4" s="1"/>
  <c r="P90" i="4" l="1" a="1"/>
  <c r="P90" i="4" s="1"/>
  <c r="Q90" i="4" s="1"/>
  <c r="O91" i="4"/>
  <c r="M91" i="4"/>
  <c r="N91" i="4" s="1" a="1"/>
  <c r="N91" i="4" s="1"/>
  <c r="G92" i="4"/>
  <c r="P91" i="4" l="1" a="1"/>
  <c r="P91" i="4" s="1"/>
  <c r="Q91" i="4" s="1"/>
  <c r="O92" i="4"/>
  <c r="G93" i="4"/>
  <c r="M92" i="4"/>
  <c r="N92" i="4" s="1" a="1"/>
  <c r="N92" i="4" s="1"/>
  <c r="P92" i="4" l="1" a="1"/>
  <c r="P92" i="4" s="1"/>
  <c r="Q92" i="4" s="1"/>
  <c r="G94" i="4"/>
  <c r="O93" i="4"/>
  <c r="M93" i="4"/>
  <c r="N93" i="4" s="1" a="1"/>
  <c r="N93" i="4" s="1"/>
  <c r="P93" i="4" l="1" a="1"/>
  <c r="P93" i="4" s="1"/>
  <c r="Q93" i="4" s="1"/>
  <c r="M94" i="4"/>
  <c r="N94" i="4" s="1" a="1"/>
  <c r="N94" i="4" s="1"/>
  <c r="O94" i="4"/>
  <c r="G95" i="4"/>
  <c r="P94" i="4" l="1" a="1"/>
  <c r="P94" i="4" s="1"/>
  <c r="Q94" i="4" s="1"/>
  <c r="G96" i="4"/>
  <c r="O95" i="4"/>
  <c r="M95" i="4"/>
  <c r="N95" i="4" s="1" a="1"/>
  <c r="N95" i="4" s="1"/>
  <c r="P95" i="4" l="1" a="1"/>
  <c r="P95" i="4" s="1"/>
  <c r="Q95" i="4" s="1"/>
  <c r="M96" i="4"/>
  <c r="N96" i="4" s="1" a="1"/>
  <c r="N96" i="4" s="1"/>
  <c r="G97" i="4"/>
  <c r="O96" i="4"/>
  <c r="P96" i="4" l="1" a="1"/>
  <c r="P96" i="4" s="1"/>
  <c r="Q96" i="4" s="1"/>
  <c r="G98" i="4"/>
  <c r="M97" i="4"/>
  <c r="N97" i="4" s="1" a="1"/>
  <c r="N97" i="4" s="1"/>
  <c r="O97" i="4"/>
  <c r="P97" i="4" l="1" a="1"/>
  <c r="P97" i="4" s="1"/>
  <c r="Q97" i="4" s="1"/>
  <c r="O98" i="4"/>
  <c r="M98" i="4"/>
  <c r="N98" i="4" s="1" a="1"/>
  <c r="N98" i="4" s="1"/>
  <c r="G99" i="4"/>
  <c r="P98" i="4" l="1" a="1"/>
  <c r="P98" i="4" s="1"/>
  <c r="Q98" i="4" s="1"/>
  <c r="G100" i="4"/>
  <c r="M99" i="4"/>
  <c r="N99" i="4" s="1" a="1"/>
  <c r="N99" i="4" s="1"/>
  <c r="O99" i="4"/>
  <c r="P99" i="4" s="1" a="1"/>
  <c r="P99" i="4" s="1"/>
  <c r="Q99" i="4" l="1"/>
  <c r="M100" i="4"/>
  <c r="N100" i="4" s="1" a="1"/>
  <c r="N100" i="4" s="1"/>
  <c r="O100" i="4"/>
  <c r="P100" i="4" s="1" a="1"/>
  <c r="P100" i="4" s="1"/>
  <c r="G101" i="4"/>
  <c r="Q100" i="4" l="1"/>
  <c r="O101" i="4"/>
  <c r="P101" i="4" s="1" a="1"/>
  <c r="P101" i="4" s="1"/>
  <c r="G102" i="4"/>
  <c r="M101" i="4"/>
  <c r="N101" i="4" s="1" a="1"/>
  <c r="N101" i="4" s="1"/>
  <c r="Q101" i="4" l="1"/>
  <c r="G103" i="4"/>
  <c r="O102" i="4"/>
  <c r="P102" i="4" s="1" a="1"/>
  <c r="P102" i="4" s="1"/>
  <c r="M102" i="4"/>
  <c r="N102" i="4" s="1" a="1"/>
  <c r="N102" i="4" s="1"/>
  <c r="Q102" i="4" l="1"/>
  <c r="M103" i="4"/>
  <c r="N103" i="4" s="1" a="1"/>
  <c r="N103" i="4" s="1"/>
  <c r="G104" i="4"/>
  <c r="O103" i="4"/>
  <c r="P103" i="4" s="1" a="1"/>
  <c r="P103" i="4" s="1"/>
  <c r="O104" i="4" l="1"/>
  <c r="P104" i="4" s="1" a="1"/>
  <c r="P104" i="4" s="1"/>
  <c r="G105" i="4"/>
  <c r="M104" i="4"/>
  <c r="N104" i="4" s="1" a="1"/>
  <c r="N104" i="4" s="1"/>
  <c r="Q103" i="4"/>
  <c r="Q104" i="4" l="1"/>
  <c r="M105" i="4"/>
  <c r="N105" i="4" s="1" a="1"/>
  <c r="N105" i="4" s="1"/>
  <c r="G106" i="4"/>
  <c r="O105" i="4"/>
  <c r="P105" i="4" s="1" a="1"/>
  <c r="P105" i="4" s="1"/>
  <c r="G107" i="4" l="1"/>
  <c r="M106" i="4"/>
  <c r="N106" i="4" s="1" a="1"/>
  <c r="N106" i="4" s="1"/>
  <c r="O106" i="4"/>
  <c r="P106" i="4" s="1" a="1"/>
  <c r="P106" i="4" s="1"/>
  <c r="Q105" i="4"/>
  <c r="Q106" i="4" l="1"/>
  <c r="O107" i="4"/>
  <c r="P107" i="4" s="1" a="1"/>
  <c r="P107" i="4" s="1"/>
  <c r="M107" i="4"/>
  <c r="N107" i="4" s="1" a="1"/>
  <c r="N107" i="4" s="1"/>
  <c r="G108" i="4"/>
  <c r="Q107" i="4" l="1"/>
  <c r="G109" i="4"/>
  <c r="O108" i="4"/>
  <c r="P108" i="4" s="1" a="1"/>
  <c r="P108" i="4" s="1"/>
  <c r="M108" i="4"/>
  <c r="N108" i="4" s="1" a="1"/>
  <c r="N108" i="4" s="1"/>
  <c r="Q108" i="4" l="1"/>
  <c r="M109" i="4"/>
  <c r="N109" i="4" s="1" a="1"/>
  <c r="N109" i="4" s="1"/>
  <c r="O109" i="4"/>
  <c r="P109" i="4" s="1" a="1"/>
  <c r="P109" i="4" s="1"/>
  <c r="Q109" i="4" l="1"/>
  <c r="D13" i="4" s="1" a="1"/>
  <c r="D13" i="4" s="1"/>
  <c r="T5" i="2" l="1"/>
  <c r="U5" i="2" s="1" a="1"/>
  <c r="U5" i="2" s="1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4" i="2"/>
  <c r="U4" i="2" a="1"/>
  <c r="U4" i="2" s="1"/>
  <c r="E22" i="2"/>
  <c r="S4" i="2" a="1"/>
  <c r="S4" i="2" s="1"/>
  <c r="Q4" i="2" a="1"/>
  <c r="Q4" i="2" s="1"/>
  <c r="R4" i="2"/>
  <c r="P4" i="2"/>
  <c r="V4" i="2" l="1"/>
  <c r="U6" i="2" a="1"/>
  <c r="U6" i="2" s="1"/>
  <c r="R6" i="2"/>
  <c r="R5" i="2"/>
  <c r="S5" i="2" s="1" a="1"/>
  <c r="S5" i="2" s="1"/>
  <c r="P6" i="2"/>
  <c r="P5" i="2"/>
  <c r="Q5" i="2" s="1" a="1"/>
  <c r="Q5" i="2" s="1"/>
  <c r="V5" i="2" l="1"/>
  <c r="U7" i="2" a="1"/>
  <c r="U7" i="2" s="1"/>
  <c r="S6" i="2" a="1"/>
  <c r="S6" i="2" s="1"/>
  <c r="Q6" i="2" a="1"/>
  <c r="Q6" i="2" s="1"/>
  <c r="H5" i="2"/>
  <c r="C22" i="2"/>
  <c r="D22" i="2"/>
  <c r="V6" i="2" l="1"/>
  <c r="U8" i="2" a="1"/>
  <c r="U8" i="2" s="1"/>
  <c r="H6" i="2"/>
  <c r="H7" i="2" s="1"/>
  <c r="U9" i="2" l="1" a="1"/>
  <c r="U9" i="2" s="1"/>
  <c r="R7" i="2"/>
  <c r="S7" i="2" s="1" a="1"/>
  <c r="S7" i="2" s="1"/>
  <c r="P7" i="2"/>
  <c r="Q7" i="2" s="1" a="1"/>
  <c r="Q7" i="2" s="1"/>
  <c r="H8" i="2"/>
  <c r="V7" i="2" l="1"/>
  <c r="U10" i="2" a="1"/>
  <c r="U10" i="2" s="1"/>
  <c r="H9" i="2"/>
  <c r="R8" i="2"/>
  <c r="S8" i="2" s="1" a="1"/>
  <c r="S8" i="2" s="1"/>
  <c r="P8" i="2"/>
  <c r="Q8" i="2" s="1" a="1"/>
  <c r="Q8" i="2" s="1"/>
  <c r="V8" i="2" l="1"/>
  <c r="U11" i="2" a="1"/>
  <c r="U11" i="2" s="1"/>
  <c r="P9" i="2"/>
  <c r="Q9" i="2" s="1" a="1"/>
  <c r="Q9" i="2" s="1"/>
  <c r="R9" i="2"/>
  <c r="S9" i="2" s="1" a="1"/>
  <c r="S9" i="2" s="1"/>
  <c r="H10" i="2"/>
  <c r="V9" i="2" l="1"/>
  <c r="U12" i="2" a="1"/>
  <c r="U12" i="2" s="1"/>
  <c r="H11" i="2"/>
  <c r="R10" i="2"/>
  <c r="S10" i="2" s="1" a="1"/>
  <c r="S10" i="2" s="1"/>
  <c r="P10" i="2"/>
  <c r="Q10" i="2" s="1" a="1"/>
  <c r="Q10" i="2" s="1"/>
  <c r="V10" i="2" l="1"/>
  <c r="U13" i="2" a="1"/>
  <c r="U13" i="2" s="1"/>
  <c r="P11" i="2"/>
  <c r="Q11" i="2" s="1" a="1"/>
  <c r="Q11" i="2" s="1"/>
  <c r="H12" i="2"/>
  <c r="R11" i="2"/>
  <c r="S11" i="2" s="1" a="1"/>
  <c r="S11" i="2" s="1"/>
  <c r="V11" i="2" l="1"/>
  <c r="U14" i="2" a="1"/>
  <c r="U14" i="2" s="1"/>
  <c r="R12" i="2"/>
  <c r="S12" i="2" s="1" a="1"/>
  <c r="S12" i="2" s="1"/>
  <c r="H13" i="2"/>
  <c r="P12" i="2"/>
  <c r="Q12" i="2" s="1" a="1"/>
  <c r="Q12" i="2" s="1"/>
  <c r="V12" i="2" l="1"/>
  <c r="U15" i="2" a="1"/>
  <c r="U15" i="2" s="1"/>
  <c r="P13" i="2"/>
  <c r="Q13" i="2" s="1" a="1"/>
  <c r="Q13" i="2" s="1"/>
  <c r="R13" i="2"/>
  <c r="S13" i="2" s="1" a="1"/>
  <c r="S13" i="2" s="1"/>
  <c r="H14" i="2"/>
  <c r="V13" i="2" l="1"/>
  <c r="U16" i="2" a="1"/>
  <c r="U16" i="2" s="1"/>
  <c r="H15" i="2"/>
  <c r="R14" i="2"/>
  <c r="S14" i="2" s="1" a="1"/>
  <c r="S14" i="2" s="1"/>
  <c r="P14" i="2"/>
  <c r="Q14" i="2" s="1" a="1"/>
  <c r="Q14" i="2" s="1"/>
  <c r="V14" i="2" l="1"/>
  <c r="U17" i="2" a="1"/>
  <c r="U17" i="2" s="1"/>
  <c r="H16" i="2"/>
  <c r="R15" i="2"/>
  <c r="S15" i="2" s="1" a="1"/>
  <c r="S15" i="2" s="1"/>
  <c r="P15" i="2"/>
  <c r="Q15" i="2" s="1" a="1"/>
  <c r="Q15" i="2" s="1"/>
  <c r="V15" i="2" l="1"/>
  <c r="U18" i="2" a="1"/>
  <c r="U18" i="2" s="1"/>
  <c r="H17" i="2"/>
  <c r="R16" i="2"/>
  <c r="S16" i="2" s="1" a="1"/>
  <c r="S16" i="2" s="1"/>
  <c r="P16" i="2"/>
  <c r="Q16" i="2" s="1" a="1"/>
  <c r="Q16" i="2" s="1"/>
  <c r="V16" i="2" l="1"/>
  <c r="U19" i="2" a="1"/>
  <c r="U19" i="2" s="1"/>
  <c r="H18" i="2"/>
  <c r="P17" i="2"/>
  <c r="Q17" i="2" s="1" a="1"/>
  <c r="Q17" i="2" s="1"/>
  <c r="R17" i="2"/>
  <c r="S17" i="2" s="1" a="1"/>
  <c r="S17" i="2" s="1"/>
  <c r="V17" i="2" l="1"/>
  <c r="U20" i="2" a="1"/>
  <c r="U20" i="2" s="1"/>
  <c r="P18" i="2"/>
  <c r="Q18" i="2" s="1" a="1"/>
  <c r="Q18" i="2" s="1"/>
  <c r="R18" i="2"/>
  <c r="S18" i="2" s="1" a="1"/>
  <c r="S18" i="2" s="1"/>
  <c r="H19" i="2"/>
  <c r="V18" i="2" l="1"/>
  <c r="U21" i="2" a="1"/>
  <c r="U21" i="2" s="1"/>
  <c r="H20" i="2"/>
  <c r="P19" i="2"/>
  <c r="Q19" i="2" s="1" a="1"/>
  <c r="Q19" i="2" s="1"/>
  <c r="R19" i="2"/>
  <c r="S19" i="2" s="1" a="1"/>
  <c r="S19" i="2" s="1"/>
  <c r="V19" i="2" l="1"/>
  <c r="U22" i="2" a="1"/>
  <c r="U22" i="2" s="1"/>
  <c r="P20" i="2"/>
  <c r="Q20" i="2" s="1" a="1"/>
  <c r="Q20" i="2" s="1"/>
  <c r="H21" i="2"/>
  <c r="R20" i="2"/>
  <c r="S20" i="2" s="1" a="1"/>
  <c r="S20" i="2" s="1"/>
  <c r="V20" i="2" l="1"/>
  <c r="U23" i="2" a="1"/>
  <c r="U23" i="2" s="1"/>
  <c r="R21" i="2"/>
  <c r="S21" i="2" s="1" a="1"/>
  <c r="S21" i="2" s="1"/>
  <c r="P21" i="2"/>
  <c r="Q21" i="2" s="1" a="1"/>
  <c r="Q21" i="2" s="1"/>
  <c r="H22" i="2"/>
  <c r="V21" i="2" l="1"/>
  <c r="U24" i="2" a="1"/>
  <c r="U24" i="2" s="1"/>
  <c r="H23" i="2"/>
  <c r="P22" i="2"/>
  <c r="Q22" i="2" s="1" a="1"/>
  <c r="Q22" i="2" s="1"/>
  <c r="R22" i="2"/>
  <c r="S22" i="2" s="1" a="1"/>
  <c r="S22" i="2" s="1"/>
  <c r="V22" i="2" l="1"/>
  <c r="U25" i="2" a="1"/>
  <c r="U25" i="2" s="1"/>
  <c r="P23" i="2"/>
  <c r="Q23" i="2" s="1" a="1"/>
  <c r="Q23" i="2" s="1"/>
  <c r="H24" i="2"/>
  <c r="R23" i="2"/>
  <c r="S23" i="2" s="1" a="1"/>
  <c r="S23" i="2" s="1"/>
  <c r="V23" i="2" l="1"/>
  <c r="U26" i="2" a="1"/>
  <c r="U26" i="2" s="1"/>
  <c r="H25" i="2"/>
  <c r="R24" i="2"/>
  <c r="S24" i="2" s="1" a="1"/>
  <c r="S24" i="2" s="1"/>
  <c r="P24" i="2"/>
  <c r="Q24" i="2" s="1" a="1"/>
  <c r="Q24" i="2" s="1"/>
  <c r="V24" i="2" l="1"/>
  <c r="U27" i="2" a="1"/>
  <c r="U27" i="2" s="1"/>
  <c r="R25" i="2"/>
  <c r="S25" i="2" s="1" a="1"/>
  <c r="S25" i="2" s="1"/>
  <c r="P25" i="2"/>
  <c r="Q25" i="2" s="1" a="1"/>
  <c r="Q25" i="2" s="1"/>
  <c r="H26" i="2"/>
  <c r="V25" i="2" l="1"/>
  <c r="U28" i="2" a="1"/>
  <c r="U28" i="2" s="1"/>
  <c r="H27" i="2"/>
  <c r="R26" i="2"/>
  <c r="S26" i="2" s="1" a="1"/>
  <c r="S26" i="2" s="1"/>
  <c r="P26" i="2"/>
  <c r="Q26" i="2" s="1" a="1"/>
  <c r="Q26" i="2" s="1"/>
  <c r="V26" i="2" l="1"/>
  <c r="U29" i="2" a="1"/>
  <c r="U29" i="2" s="1"/>
  <c r="H28" i="2"/>
  <c r="P27" i="2"/>
  <c r="Q27" i="2" s="1" a="1"/>
  <c r="Q27" i="2" s="1"/>
  <c r="R27" i="2"/>
  <c r="S27" i="2" s="1" a="1"/>
  <c r="S27" i="2" s="1"/>
  <c r="V27" i="2" l="1"/>
  <c r="U30" i="2" a="1"/>
  <c r="U30" i="2" s="1"/>
  <c r="H29" i="2"/>
  <c r="P28" i="2"/>
  <c r="Q28" i="2" s="1" a="1"/>
  <c r="Q28" i="2" s="1"/>
  <c r="R28" i="2"/>
  <c r="S28" i="2" s="1" a="1"/>
  <c r="S28" i="2" s="1"/>
  <c r="V28" i="2" l="1"/>
  <c r="U31" i="2" a="1"/>
  <c r="U31" i="2" s="1"/>
  <c r="P29" i="2"/>
  <c r="Q29" i="2" s="1" a="1"/>
  <c r="Q29" i="2" s="1"/>
  <c r="H30" i="2"/>
  <c r="R29" i="2"/>
  <c r="S29" i="2" s="1" a="1"/>
  <c r="S29" i="2" s="1"/>
  <c r="V29" i="2" l="1"/>
  <c r="U32" i="2" a="1"/>
  <c r="U32" i="2" s="1"/>
  <c r="H31" i="2"/>
  <c r="R30" i="2"/>
  <c r="S30" i="2" s="1" a="1"/>
  <c r="S30" i="2" s="1"/>
  <c r="P30" i="2"/>
  <c r="Q30" i="2" s="1" a="1"/>
  <c r="Q30" i="2" s="1"/>
  <c r="V30" i="2" l="1"/>
  <c r="U33" i="2" a="1"/>
  <c r="U33" i="2" s="1"/>
  <c r="P31" i="2"/>
  <c r="Q31" i="2" s="1" a="1"/>
  <c r="Q31" i="2" s="1"/>
  <c r="R31" i="2"/>
  <c r="S31" i="2" s="1" a="1"/>
  <c r="S31" i="2" s="1"/>
  <c r="H32" i="2"/>
  <c r="V31" i="2" l="1"/>
  <c r="U34" i="2" a="1"/>
  <c r="U34" i="2" s="1"/>
  <c r="P32" i="2"/>
  <c r="Q32" i="2" s="1" a="1"/>
  <c r="Q32" i="2" s="1"/>
  <c r="R32" i="2"/>
  <c r="S32" i="2" s="1" a="1"/>
  <c r="S32" i="2" s="1"/>
  <c r="H33" i="2"/>
  <c r="V32" i="2" l="1"/>
  <c r="U35" i="2" a="1"/>
  <c r="U35" i="2" s="1"/>
  <c r="R33" i="2"/>
  <c r="S33" i="2" s="1" a="1"/>
  <c r="S33" i="2" s="1"/>
  <c r="P33" i="2"/>
  <c r="Q33" i="2" s="1" a="1"/>
  <c r="Q33" i="2" s="1"/>
  <c r="H34" i="2"/>
  <c r="V33" i="2" l="1"/>
  <c r="U36" i="2" a="1"/>
  <c r="U36" i="2" s="1"/>
  <c r="R34" i="2"/>
  <c r="S34" i="2" s="1" a="1"/>
  <c r="S34" i="2" s="1"/>
  <c r="P34" i="2"/>
  <c r="Q34" i="2" s="1" a="1"/>
  <c r="Q34" i="2" s="1"/>
  <c r="H35" i="2"/>
  <c r="V34" i="2" l="1"/>
  <c r="U37" i="2" a="1"/>
  <c r="U37" i="2" s="1"/>
  <c r="P35" i="2"/>
  <c r="Q35" i="2" s="1" a="1"/>
  <c r="Q35" i="2" s="1"/>
  <c r="R35" i="2"/>
  <c r="S35" i="2" s="1" a="1"/>
  <c r="S35" i="2" s="1"/>
  <c r="H36" i="2"/>
  <c r="V35" i="2" l="1"/>
  <c r="U38" i="2" a="1"/>
  <c r="U38" i="2" s="1"/>
  <c r="R36" i="2"/>
  <c r="S36" i="2" s="1" a="1"/>
  <c r="S36" i="2" s="1"/>
  <c r="P36" i="2"/>
  <c r="Q36" i="2" s="1" a="1"/>
  <c r="Q36" i="2" s="1"/>
  <c r="H37" i="2"/>
  <c r="V36" i="2" l="1"/>
  <c r="U39" i="2" a="1"/>
  <c r="U39" i="2" s="1"/>
  <c r="P37" i="2"/>
  <c r="Q37" i="2" s="1" a="1"/>
  <c r="Q37" i="2" s="1"/>
  <c r="H38" i="2"/>
  <c r="R37" i="2"/>
  <c r="S37" i="2" s="1" a="1"/>
  <c r="S37" i="2" s="1"/>
  <c r="V37" i="2" l="1"/>
  <c r="U40" i="2" a="1"/>
  <c r="U40" i="2" s="1"/>
  <c r="H39" i="2"/>
  <c r="R38" i="2"/>
  <c r="S38" i="2" s="1" a="1"/>
  <c r="S38" i="2" s="1"/>
  <c r="P38" i="2"/>
  <c r="Q38" i="2" s="1" a="1"/>
  <c r="Q38" i="2" s="1"/>
  <c r="V38" i="2" l="1"/>
  <c r="U41" i="2" a="1"/>
  <c r="U41" i="2" s="1"/>
  <c r="H40" i="2"/>
  <c r="R39" i="2"/>
  <c r="S39" i="2" s="1" a="1"/>
  <c r="S39" i="2" s="1"/>
  <c r="P39" i="2"/>
  <c r="Q39" i="2" s="1" a="1"/>
  <c r="Q39" i="2" s="1"/>
  <c r="V39" i="2" l="1"/>
  <c r="U42" i="2" a="1"/>
  <c r="U42" i="2" s="1"/>
  <c r="P40" i="2"/>
  <c r="Q40" i="2" s="1" a="1"/>
  <c r="Q40" i="2" s="1"/>
  <c r="H41" i="2"/>
  <c r="R40" i="2"/>
  <c r="S40" i="2" s="1" a="1"/>
  <c r="S40" i="2" s="1"/>
  <c r="V40" i="2" l="1"/>
  <c r="U43" i="2" a="1"/>
  <c r="U43" i="2" s="1"/>
  <c r="P41" i="2"/>
  <c r="Q41" i="2" s="1" a="1"/>
  <c r="Q41" i="2" s="1"/>
  <c r="R41" i="2"/>
  <c r="S41" i="2" s="1" a="1"/>
  <c r="S41" i="2" s="1"/>
  <c r="H42" i="2"/>
  <c r="V41" i="2" l="1"/>
  <c r="U44" i="2" a="1"/>
  <c r="U44" i="2" s="1"/>
  <c r="H43" i="2"/>
  <c r="R42" i="2"/>
  <c r="S42" i="2" s="1" a="1"/>
  <c r="S42" i="2" s="1"/>
  <c r="P42" i="2"/>
  <c r="Q42" i="2" s="1" a="1"/>
  <c r="Q42" i="2" s="1"/>
  <c r="V42" i="2" l="1"/>
  <c r="U45" i="2" a="1"/>
  <c r="U45" i="2" s="1"/>
  <c r="H44" i="2"/>
  <c r="P43" i="2"/>
  <c r="Q43" i="2" s="1" a="1"/>
  <c r="Q43" i="2" s="1"/>
  <c r="R43" i="2"/>
  <c r="S43" i="2" s="1" a="1"/>
  <c r="S43" i="2" s="1"/>
  <c r="V43" i="2" l="1"/>
  <c r="U46" i="2" a="1"/>
  <c r="U46" i="2" s="1"/>
  <c r="R44" i="2"/>
  <c r="S44" i="2" s="1" a="1"/>
  <c r="S44" i="2" s="1"/>
  <c r="H45" i="2"/>
  <c r="P44" i="2"/>
  <c r="Q44" i="2" s="1" a="1"/>
  <c r="Q44" i="2" s="1"/>
  <c r="V44" i="2" l="1"/>
  <c r="U47" i="2" a="1"/>
  <c r="U47" i="2" s="1"/>
  <c r="H46" i="2"/>
  <c r="R45" i="2"/>
  <c r="S45" i="2" s="1" a="1"/>
  <c r="S45" i="2" s="1"/>
  <c r="P45" i="2"/>
  <c r="Q45" i="2" s="1" a="1"/>
  <c r="Q45" i="2" s="1"/>
  <c r="V45" i="2" l="1"/>
  <c r="U48" i="2" a="1"/>
  <c r="U48" i="2" s="1"/>
  <c r="R46" i="2"/>
  <c r="S46" i="2" s="1" a="1"/>
  <c r="S46" i="2" s="1"/>
  <c r="H47" i="2"/>
  <c r="P46" i="2"/>
  <c r="Q46" i="2" s="1" a="1"/>
  <c r="Q46" i="2" s="1"/>
  <c r="V46" i="2" l="1"/>
  <c r="U49" i="2" a="1"/>
  <c r="U49" i="2" s="1"/>
  <c r="P47" i="2"/>
  <c r="Q47" i="2" s="1" a="1"/>
  <c r="Q47" i="2" s="1"/>
  <c r="H48" i="2"/>
  <c r="R47" i="2"/>
  <c r="S47" i="2" s="1" a="1"/>
  <c r="S47" i="2" s="1"/>
  <c r="V47" i="2" l="1"/>
  <c r="U50" i="2" a="1"/>
  <c r="U50" i="2" s="1"/>
  <c r="P48" i="2"/>
  <c r="Q48" i="2" s="1" a="1"/>
  <c r="Q48" i="2" s="1"/>
  <c r="H49" i="2"/>
  <c r="R48" i="2"/>
  <c r="S48" i="2" s="1" a="1"/>
  <c r="S48" i="2" s="1"/>
  <c r="V48" i="2" l="1"/>
  <c r="U51" i="2" a="1"/>
  <c r="U51" i="2" s="1"/>
  <c r="P49" i="2"/>
  <c r="Q49" i="2" s="1" a="1"/>
  <c r="Q49" i="2" s="1"/>
  <c r="H50" i="2"/>
  <c r="R49" i="2"/>
  <c r="S49" i="2" s="1" a="1"/>
  <c r="S49" i="2" s="1"/>
  <c r="V49" i="2" l="1"/>
  <c r="U52" i="2" a="1"/>
  <c r="U52" i="2" s="1"/>
  <c r="H51" i="2"/>
  <c r="R50" i="2"/>
  <c r="S50" i="2" s="1" a="1"/>
  <c r="S50" i="2" s="1"/>
  <c r="P50" i="2"/>
  <c r="Q50" i="2" s="1" a="1"/>
  <c r="Q50" i="2" s="1"/>
  <c r="V50" i="2" l="1"/>
  <c r="U53" i="2" a="1"/>
  <c r="U53" i="2" s="1"/>
  <c r="R51" i="2"/>
  <c r="S51" i="2" s="1" a="1"/>
  <c r="S51" i="2" s="1"/>
  <c r="P51" i="2"/>
  <c r="Q51" i="2" s="1" a="1"/>
  <c r="Q51" i="2" s="1"/>
  <c r="H52" i="2"/>
  <c r="V51" i="2" l="1"/>
  <c r="U54" i="2" a="1"/>
  <c r="U54" i="2" s="1"/>
  <c r="P52" i="2"/>
  <c r="Q52" i="2" s="1" a="1"/>
  <c r="Q52" i="2" s="1"/>
  <c r="H53" i="2"/>
  <c r="R52" i="2"/>
  <c r="S52" i="2" s="1" a="1"/>
  <c r="S52" i="2" s="1"/>
  <c r="V52" i="2" l="1"/>
  <c r="U55" i="2" a="1"/>
  <c r="U55" i="2" s="1"/>
  <c r="R53" i="2"/>
  <c r="S53" i="2" s="1" a="1"/>
  <c r="S53" i="2" s="1"/>
  <c r="P53" i="2"/>
  <c r="Q53" i="2" s="1" a="1"/>
  <c r="Q53" i="2" s="1"/>
  <c r="H54" i="2"/>
  <c r="V53" i="2" l="1"/>
  <c r="U56" i="2" a="1"/>
  <c r="U56" i="2" s="1"/>
  <c r="H55" i="2"/>
  <c r="P54" i="2"/>
  <c r="Q54" i="2" s="1" a="1"/>
  <c r="Q54" i="2" s="1"/>
  <c r="R54" i="2"/>
  <c r="S54" i="2" s="1" a="1"/>
  <c r="S54" i="2" s="1"/>
  <c r="V54" i="2" l="1"/>
  <c r="U57" i="2" a="1"/>
  <c r="U57" i="2" s="1"/>
  <c r="R55" i="2"/>
  <c r="S55" i="2" s="1" a="1"/>
  <c r="S55" i="2" s="1"/>
  <c r="P55" i="2"/>
  <c r="Q55" i="2" s="1" a="1"/>
  <c r="Q55" i="2" s="1"/>
  <c r="H56" i="2"/>
  <c r="V55" i="2" l="1"/>
  <c r="U58" i="2" a="1"/>
  <c r="U58" i="2" s="1"/>
  <c r="P56" i="2"/>
  <c r="Q56" i="2" s="1" a="1"/>
  <c r="Q56" i="2" s="1"/>
  <c r="R56" i="2"/>
  <c r="S56" i="2" s="1" a="1"/>
  <c r="S56" i="2" s="1"/>
  <c r="H57" i="2"/>
  <c r="V56" i="2" l="1"/>
  <c r="U59" i="2" a="1"/>
  <c r="U59" i="2" s="1"/>
  <c r="R57" i="2"/>
  <c r="S57" i="2" s="1" a="1"/>
  <c r="S57" i="2" s="1"/>
  <c r="P57" i="2"/>
  <c r="Q57" i="2" s="1" a="1"/>
  <c r="Q57" i="2" s="1"/>
  <c r="H58" i="2"/>
  <c r="V57" i="2" l="1"/>
  <c r="U60" i="2" a="1"/>
  <c r="U60" i="2" s="1"/>
  <c r="H59" i="2"/>
  <c r="P58" i="2"/>
  <c r="Q58" i="2" s="1" a="1"/>
  <c r="Q58" i="2" s="1"/>
  <c r="R58" i="2"/>
  <c r="S58" i="2" s="1" a="1"/>
  <c r="S58" i="2" s="1"/>
  <c r="V58" i="2" l="1"/>
  <c r="U61" i="2" a="1"/>
  <c r="U61" i="2" s="1"/>
  <c r="H60" i="2"/>
  <c r="P59" i="2"/>
  <c r="Q59" i="2" s="1" a="1"/>
  <c r="Q59" i="2" s="1"/>
  <c r="R59" i="2"/>
  <c r="S59" i="2" s="1" a="1"/>
  <c r="S59" i="2" s="1"/>
  <c r="V59" i="2" l="1"/>
  <c r="U62" i="2" a="1"/>
  <c r="U62" i="2" s="1"/>
  <c r="P60" i="2"/>
  <c r="Q60" i="2" s="1" a="1"/>
  <c r="Q60" i="2" s="1"/>
  <c r="R60" i="2"/>
  <c r="S60" i="2" s="1" a="1"/>
  <c r="S60" i="2" s="1"/>
  <c r="H61" i="2"/>
  <c r="V60" i="2" l="1"/>
  <c r="U63" i="2" a="1"/>
  <c r="U63" i="2" s="1"/>
  <c r="R61" i="2"/>
  <c r="S61" i="2" s="1" a="1"/>
  <c r="S61" i="2" s="1"/>
  <c r="P61" i="2"/>
  <c r="Q61" i="2" s="1" a="1"/>
  <c r="Q61" i="2" s="1"/>
  <c r="H62" i="2"/>
  <c r="V61" i="2" l="1"/>
  <c r="U64" i="2" a="1"/>
  <c r="U64" i="2" s="1"/>
  <c r="H63" i="2"/>
  <c r="R62" i="2"/>
  <c r="S62" i="2" s="1" a="1"/>
  <c r="S62" i="2" s="1"/>
  <c r="P62" i="2"/>
  <c r="Q62" i="2" s="1" a="1"/>
  <c r="Q62" i="2" s="1"/>
  <c r="V62" i="2" l="1"/>
  <c r="U65" i="2" a="1"/>
  <c r="U65" i="2" s="1"/>
  <c r="P63" i="2"/>
  <c r="Q63" i="2" s="1" a="1"/>
  <c r="Q63" i="2" s="1"/>
  <c r="H64" i="2"/>
  <c r="R63" i="2"/>
  <c r="S63" i="2" s="1" a="1"/>
  <c r="S63" i="2" s="1"/>
  <c r="V63" i="2" l="1"/>
  <c r="U66" i="2" a="1"/>
  <c r="U66" i="2" s="1"/>
  <c r="R64" i="2"/>
  <c r="S64" i="2" s="1" a="1"/>
  <c r="S64" i="2" s="1"/>
  <c r="H65" i="2"/>
  <c r="P64" i="2"/>
  <c r="Q64" i="2" s="1" a="1"/>
  <c r="Q64" i="2" s="1"/>
  <c r="V64" i="2" l="1"/>
  <c r="U67" i="2" a="1"/>
  <c r="U67" i="2" s="1"/>
  <c r="H66" i="2"/>
  <c r="P65" i="2"/>
  <c r="Q65" i="2" s="1" a="1"/>
  <c r="Q65" i="2" s="1"/>
  <c r="R65" i="2"/>
  <c r="S65" i="2" s="1" a="1"/>
  <c r="S65" i="2" s="1"/>
  <c r="V65" i="2" l="1"/>
  <c r="U68" i="2" a="1"/>
  <c r="U68" i="2" s="1"/>
  <c r="P66" i="2"/>
  <c r="Q66" i="2" s="1" a="1"/>
  <c r="Q66" i="2" s="1"/>
  <c r="H67" i="2"/>
  <c r="R66" i="2"/>
  <c r="S66" i="2" s="1" a="1"/>
  <c r="S66" i="2" s="1"/>
  <c r="V66" i="2" l="1"/>
  <c r="U69" i="2" a="1"/>
  <c r="U69" i="2" s="1"/>
  <c r="R67" i="2"/>
  <c r="S67" i="2" s="1" a="1"/>
  <c r="S67" i="2" s="1"/>
  <c r="P67" i="2"/>
  <c r="Q67" i="2" s="1" a="1"/>
  <c r="Q67" i="2" s="1"/>
  <c r="H68" i="2"/>
  <c r="V67" i="2" l="1"/>
  <c r="U70" i="2" a="1"/>
  <c r="U70" i="2" s="1"/>
  <c r="P68" i="2"/>
  <c r="Q68" i="2" s="1" a="1"/>
  <c r="Q68" i="2" s="1"/>
  <c r="H69" i="2"/>
  <c r="R68" i="2"/>
  <c r="S68" i="2" s="1" a="1"/>
  <c r="S68" i="2" s="1"/>
  <c r="V68" i="2" l="1"/>
  <c r="U71" i="2" a="1"/>
  <c r="U71" i="2" s="1"/>
  <c r="H70" i="2"/>
  <c r="R69" i="2"/>
  <c r="S69" i="2" s="1" a="1"/>
  <c r="S69" i="2" s="1"/>
  <c r="P69" i="2"/>
  <c r="Q69" i="2" s="1" a="1"/>
  <c r="Q69" i="2" s="1"/>
  <c r="V69" i="2" l="1"/>
  <c r="U72" i="2" a="1"/>
  <c r="U72" i="2" s="1"/>
  <c r="H71" i="2"/>
  <c r="R70" i="2"/>
  <c r="S70" i="2" s="1" a="1"/>
  <c r="S70" i="2" s="1"/>
  <c r="P70" i="2"/>
  <c r="Q70" i="2" s="1" a="1"/>
  <c r="Q70" i="2" s="1"/>
  <c r="V70" i="2" l="1"/>
  <c r="U73" i="2" a="1"/>
  <c r="U73" i="2" s="1"/>
  <c r="R71" i="2"/>
  <c r="S71" i="2" s="1" a="1"/>
  <c r="S71" i="2" s="1"/>
  <c r="P71" i="2"/>
  <c r="Q71" i="2" s="1" a="1"/>
  <c r="Q71" i="2" s="1"/>
  <c r="H72" i="2"/>
  <c r="V71" i="2" l="1"/>
  <c r="U74" i="2" a="1"/>
  <c r="U74" i="2" s="1"/>
  <c r="P72" i="2"/>
  <c r="Q72" i="2" s="1" a="1"/>
  <c r="Q72" i="2" s="1"/>
  <c r="R72" i="2"/>
  <c r="S72" i="2" s="1" a="1"/>
  <c r="S72" i="2" s="1"/>
  <c r="H73" i="2"/>
  <c r="V72" i="2" l="1"/>
  <c r="U75" i="2" a="1"/>
  <c r="U75" i="2" s="1"/>
  <c r="R73" i="2"/>
  <c r="S73" i="2" s="1" a="1"/>
  <c r="S73" i="2" s="1"/>
  <c r="P73" i="2"/>
  <c r="Q73" i="2" s="1" a="1"/>
  <c r="Q73" i="2" s="1"/>
  <c r="H74" i="2"/>
  <c r="V73" i="2" l="1"/>
  <c r="U76" i="2" a="1"/>
  <c r="U76" i="2" s="1"/>
  <c r="R74" i="2"/>
  <c r="S74" i="2" s="1" a="1"/>
  <c r="S74" i="2" s="1"/>
  <c r="H75" i="2"/>
  <c r="P74" i="2"/>
  <c r="Q74" i="2" s="1" a="1"/>
  <c r="Q74" i="2" s="1"/>
  <c r="V74" i="2" l="1"/>
  <c r="U77" i="2" a="1"/>
  <c r="U77" i="2" s="1"/>
  <c r="R75" i="2"/>
  <c r="S75" i="2" s="1" a="1"/>
  <c r="S75" i="2" s="1"/>
  <c r="H76" i="2"/>
  <c r="P75" i="2"/>
  <c r="Q75" i="2" s="1" a="1"/>
  <c r="Q75" i="2" s="1"/>
  <c r="V75" i="2" l="1"/>
  <c r="U78" i="2" a="1"/>
  <c r="U78" i="2" s="1"/>
  <c r="H77" i="2"/>
  <c r="R76" i="2"/>
  <c r="S76" i="2" s="1" a="1"/>
  <c r="S76" i="2" s="1"/>
  <c r="P76" i="2"/>
  <c r="Q76" i="2" s="1" a="1"/>
  <c r="Q76" i="2" s="1"/>
  <c r="V76" i="2" l="1"/>
  <c r="U79" i="2" a="1"/>
  <c r="U79" i="2" s="1"/>
  <c r="R77" i="2"/>
  <c r="S77" i="2" s="1" a="1"/>
  <c r="S77" i="2" s="1"/>
  <c r="H78" i="2"/>
  <c r="P77" i="2"/>
  <c r="Q77" i="2" s="1" a="1"/>
  <c r="Q77" i="2" s="1"/>
  <c r="V77" i="2" l="1"/>
  <c r="U80" i="2" a="1"/>
  <c r="U80" i="2" s="1"/>
  <c r="R78" i="2"/>
  <c r="S78" i="2" s="1" a="1"/>
  <c r="S78" i="2" s="1"/>
  <c r="P78" i="2"/>
  <c r="Q78" i="2" s="1" a="1"/>
  <c r="Q78" i="2" s="1"/>
  <c r="H79" i="2"/>
  <c r="V78" i="2" l="1"/>
  <c r="U81" i="2" a="1"/>
  <c r="U81" i="2" s="1"/>
  <c r="P79" i="2"/>
  <c r="Q79" i="2" s="1" a="1"/>
  <c r="Q79" i="2" s="1"/>
  <c r="H80" i="2"/>
  <c r="R79" i="2"/>
  <c r="S79" i="2" s="1" a="1"/>
  <c r="S79" i="2" s="1"/>
  <c r="V79" i="2" l="1"/>
  <c r="U82" i="2" a="1"/>
  <c r="U82" i="2" s="1"/>
  <c r="R80" i="2"/>
  <c r="S80" i="2" s="1" a="1"/>
  <c r="S80" i="2" s="1"/>
  <c r="P80" i="2"/>
  <c r="Q80" i="2" s="1" a="1"/>
  <c r="Q80" i="2" s="1"/>
  <c r="H81" i="2"/>
  <c r="V80" i="2" l="1"/>
  <c r="U83" i="2" a="1"/>
  <c r="U83" i="2" s="1"/>
  <c r="P81" i="2"/>
  <c r="Q81" i="2" s="1" a="1"/>
  <c r="Q81" i="2" s="1"/>
  <c r="H82" i="2"/>
  <c r="R81" i="2"/>
  <c r="S81" i="2" s="1" a="1"/>
  <c r="S81" i="2" s="1"/>
  <c r="V81" i="2" l="1"/>
  <c r="U84" i="2" a="1"/>
  <c r="U84" i="2" s="1"/>
  <c r="R82" i="2"/>
  <c r="S82" i="2" s="1" a="1"/>
  <c r="S82" i="2" s="1"/>
  <c r="P82" i="2"/>
  <c r="Q82" i="2" s="1" a="1"/>
  <c r="Q82" i="2" s="1"/>
  <c r="H83" i="2"/>
  <c r="V82" i="2" l="1"/>
  <c r="U85" i="2" a="1"/>
  <c r="U85" i="2" s="1"/>
  <c r="R83" i="2"/>
  <c r="S83" i="2" s="1" a="1"/>
  <c r="S83" i="2" s="1"/>
  <c r="H84" i="2"/>
  <c r="P83" i="2"/>
  <c r="Q83" i="2" s="1" a="1"/>
  <c r="Q83" i="2" s="1"/>
  <c r="V83" i="2" l="1"/>
  <c r="U86" i="2" a="1"/>
  <c r="U86" i="2" s="1"/>
  <c r="P84" i="2"/>
  <c r="Q84" i="2" s="1" a="1"/>
  <c r="Q84" i="2" s="1"/>
  <c r="R84" i="2"/>
  <c r="S84" i="2" s="1" a="1"/>
  <c r="S84" i="2" s="1"/>
  <c r="H85" i="2"/>
  <c r="V84" i="2" l="1"/>
  <c r="U87" i="2" a="1"/>
  <c r="U87" i="2" s="1"/>
  <c r="P85" i="2"/>
  <c r="Q85" i="2" s="1" a="1"/>
  <c r="Q85" i="2" s="1"/>
  <c r="R85" i="2"/>
  <c r="S85" i="2" s="1" a="1"/>
  <c r="S85" i="2" s="1"/>
  <c r="H86" i="2"/>
  <c r="V85" i="2" l="1"/>
  <c r="U88" i="2" a="1"/>
  <c r="U88" i="2" s="1"/>
  <c r="R86" i="2"/>
  <c r="S86" i="2" s="1" a="1"/>
  <c r="S86" i="2" s="1"/>
  <c r="P86" i="2"/>
  <c r="Q86" i="2" s="1" a="1"/>
  <c r="Q86" i="2" s="1"/>
  <c r="H87" i="2"/>
  <c r="V86" i="2" l="1"/>
  <c r="U89" i="2" a="1"/>
  <c r="U89" i="2" s="1"/>
  <c r="P87" i="2"/>
  <c r="Q87" i="2" s="1" a="1"/>
  <c r="Q87" i="2" s="1"/>
  <c r="R87" i="2"/>
  <c r="S87" i="2" s="1" a="1"/>
  <c r="S87" i="2" s="1"/>
  <c r="H88" i="2"/>
  <c r="V87" i="2" l="1"/>
  <c r="U90" i="2" a="1"/>
  <c r="U90" i="2" s="1"/>
  <c r="P88" i="2"/>
  <c r="Q88" i="2" s="1" a="1"/>
  <c r="Q88" i="2" s="1"/>
  <c r="R88" i="2"/>
  <c r="S88" i="2" s="1" a="1"/>
  <c r="S88" i="2" s="1"/>
  <c r="H89" i="2"/>
  <c r="V88" i="2" l="1"/>
  <c r="U91" i="2" a="1"/>
  <c r="U91" i="2" s="1"/>
  <c r="P89" i="2"/>
  <c r="Q89" i="2" s="1" a="1"/>
  <c r="Q89" i="2" s="1"/>
  <c r="R89" i="2"/>
  <c r="S89" i="2" s="1" a="1"/>
  <c r="S89" i="2" s="1"/>
  <c r="H90" i="2"/>
  <c r="V89" i="2" l="1"/>
  <c r="U92" i="2" a="1"/>
  <c r="U92" i="2" s="1"/>
  <c r="R90" i="2"/>
  <c r="S90" i="2" s="1" a="1"/>
  <c r="S90" i="2" s="1"/>
  <c r="P90" i="2"/>
  <c r="Q90" i="2" s="1" a="1"/>
  <c r="Q90" i="2" s="1"/>
  <c r="H91" i="2"/>
  <c r="V90" i="2" l="1"/>
  <c r="U93" i="2" a="1"/>
  <c r="U93" i="2" s="1"/>
  <c r="P91" i="2"/>
  <c r="Q91" i="2" s="1" a="1"/>
  <c r="Q91" i="2" s="1"/>
  <c r="H92" i="2"/>
  <c r="R91" i="2"/>
  <c r="S91" i="2" s="1" a="1"/>
  <c r="S91" i="2" s="1"/>
  <c r="V91" i="2" l="1"/>
  <c r="U94" i="2" a="1"/>
  <c r="U94" i="2" s="1"/>
  <c r="R92" i="2"/>
  <c r="S92" i="2" s="1" a="1"/>
  <c r="S92" i="2" s="1"/>
  <c r="P92" i="2"/>
  <c r="Q92" i="2" s="1" a="1"/>
  <c r="Q92" i="2" s="1"/>
  <c r="H93" i="2"/>
  <c r="V92" i="2" l="1"/>
  <c r="U95" i="2" a="1"/>
  <c r="U95" i="2" s="1"/>
  <c r="P93" i="2"/>
  <c r="Q93" i="2" s="1" a="1"/>
  <c r="Q93" i="2" s="1"/>
  <c r="R93" i="2"/>
  <c r="S93" i="2" s="1" a="1"/>
  <c r="S93" i="2" s="1"/>
  <c r="H94" i="2"/>
  <c r="V93" i="2" l="1"/>
  <c r="U96" i="2" a="1"/>
  <c r="U96" i="2" s="1"/>
  <c r="P94" i="2"/>
  <c r="Q94" i="2" s="1" a="1"/>
  <c r="Q94" i="2" s="1"/>
  <c r="H95" i="2"/>
  <c r="R94" i="2"/>
  <c r="S94" i="2" s="1" a="1"/>
  <c r="S94" i="2" s="1"/>
  <c r="V94" i="2" l="1"/>
  <c r="U97" i="2" a="1"/>
  <c r="U97" i="2" s="1"/>
  <c r="P95" i="2"/>
  <c r="Q95" i="2" s="1" a="1"/>
  <c r="Q95" i="2" s="1"/>
  <c r="H96" i="2"/>
  <c r="R95" i="2"/>
  <c r="S95" i="2" s="1" a="1"/>
  <c r="S95" i="2" s="1"/>
  <c r="V95" i="2" l="1"/>
  <c r="U98" i="2" a="1"/>
  <c r="U98" i="2" s="1"/>
  <c r="P96" i="2"/>
  <c r="Q96" i="2" s="1" a="1"/>
  <c r="Q96" i="2" s="1"/>
  <c r="H97" i="2"/>
  <c r="R96" i="2"/>
  <c r="S96" i="2" s="1" a="1"/>
  <c r="S96" i="2" s="1"/>
  <c r="V96" i="2" l="1"/>
  <c r="U99" i="2" a="1"/>
  <c r="U99" i="2" s="1"/>
  <c r="R97" i="2"/>
  <c r="S97" i="2" s="1" a="1"/>
  <c r="S97" i="2" s="1"/>
  <c r="H98" i="2"/>
  <c r="P97" i="2"/>
  <c r="Q97" i="2" s="1" a="1"/>
  <c r="Q97" i="2" s="1"/>
  <c r="V97" i="2" l="1"/>
  <c r="U100" i="2" a="1"/>
  <c r="U100" i="2" s="1"/>
  <c r="R98" i="2"/>
  <c r="S98" i="2" s="1" a="1"/>
  <c r="S98" i="2" s="1"/>
  <c r="P98" i="2"/>
  <c r="Q98" i="2" s="1" a="1"/>
  <c r="Q98" i="2" s="1"/>
  <c r="H99" i="2"/>
  <c r="V98" i="2" l="1"/>
  <c r="U101" i="2" a="1"/>
  <c r="U101" i="2" s="1"/>
  <c r="P99" i="2"/>
  <c r="Q99" i="2" s="1" a="1"/>
  <c r="Q99" i="2" s="1"/>
  <c r="H100" i="2"/>
  <c r="R99" i="2"/>
  <c r="S99" i="2" s="1" a="1"/>
  <c r="S99" i="2" s="1"/>
  <c r="V99" i="2" l="1"/>
  <c r="U102" i="2" a="1"/>
  <c r="U102" i="2" s="1"/>
  <c r="P100" i="2"/>
  <c r="Q100" i="2" s="1" a="1"/>
  <c r="Q100" i="2" s="1"/>
  <c r="H101" i="2"/>
  <c r="R100" i="2"/>
  <c r="S100" i="2" s="1" a="1"/>
  <c r="S100" i="2" s="1"/>
  <c r="V100" i="2" l="1"/>
  <c r="U103" i="2" a="1"/>
  <c r="U103" i="2" s="1"/>
  <c r="P101" i="2"/>
  <c r="Q101" i="2" s="1" a="1"/>
  <c r="Q101" i="2" s="1"/>
  <c r="R101" i="2"/>
  <c r="S101" i="2" s="1" a="1"/>
  <c r="S101" i="2" s="1"/>
  <c r="H102" i="2"/>
  <c r="V101" i="2" l="1"/>
  <c r="U104" i="2" a="1"/>
  <c r="U104" i="2" s="1"/>
  <c r="P102" i="2"/>
  <c r="Q102" i="2" s="1" a="1"/>
  <c r="Q102" i="2" s="1"/>
  <c r="R102" i="2"/>
  <c r="S102" i="2" s="1" a="1"/>
  <c r="S102" i="2" s="1"/>
  <c r="H103" i="2"/>
  <c r="V102" i="2" l="1"/>
  <c r="U105" i="2" a="1"/>
  <c r="U105" i="2" s="1"/>
  <c r="P103" i="2"/>
  <c r="Q103" i="2" s="1" a="1"/>
  <c r="Q103" i="2" s="1"/>
  <c r="R103" i="2"/>
  <c r="S103" i="2" s="1" a="1"/>
  <c r="S103" i="2" s="1"/>
  <c r="H104" i="2"/>
  <c r="V103" i="2" l="1"/>
  <c r="U106" i="2" a="1"/>
  <c r="U106" i="2" s="1"/>
  <c r="R104" i="2"/>
  <c r="S104" i="2" s="1" a="1"/>
  <c r="S104" i="2" s="1"/>
  <c r="P104" i="2"/>
  <c r="Q104" i="2" s="1" a="1"/>
  <c r="Q104" i="2" s="1"/>
  <c r="H105" i="2"/>
  <c r="V104" i="2" l="1"/>
  <c r="U107" i="2" a="1"/>
  <c r="U107" i="2" s="1"/>
  <c r="P105" i="2"/>
  <c r="Q105" i="2" s="1" a="1"/>
  <c r="Q105" i="2" s="1"/>
  <c r="H106" i="2"/>
  <c r="R105" i="2"/>
  <c r="S105" i="2" s="1" a="1"/>
  <c r="S105" i="2" s="1"/>
  <c r="V105" i="2" l="1"/>
  <c r="U108" i="2" a="1"/>
  <c r="U108" i="2" s="1"/>
  <c r="R106" i="2"/>
  <c r="S106" i="2" s="1" a="1"/>
  <c r="S106" i="2" s="1"/>
  <c r="H107" i="2"/>
  <c r="P106" i="2"/>
  <c r="Q106" i="2" s="1" a="1"/>
  <c r="Q106" i="2" s="1"/>
  <c r="V106" i="2" l="1"/>
  <c r="U109" i="2" a="1"/>
  <c r="U109" i="2" s="1"/>
  <c r="R107" i="2"/>
  <c r="S107" i="2" s="1" a="1"/>
  <c r="S107" i="2" s="1"/>
  <c r="P107" i="2"/>
  <c r="Q107" i="2" s="1" a="1"/>
  <c r="Q107" i="2" s="1"/>
  <c r="H108" i="2"/>
  <c r="V107" i="2" l="1"/>
  <c r="R108" i="2"/>
  <c r="S108" i="2" s="1" a="1"/>
  <c r="S108" i="2" s="1"/>
  <c r="H109" i="2"/>
  <c r="P108" i="2"/>
  <c r="Q108" i="2" s="1" a="1"/>
  <c r="Q108" i="2" s="1"/>
  <c r="V108" i="2" l="1"/>
  <c r="P109" i="2"/>
  <c r="Q109" i="2" s="1" a="1"/>
  <c r="Q109" i="2" s="1"/>
  <c r="R109" i="2"/>
  <c r="S109" i="2" s="1" a="1"/>
  <c r="S109" i="2" s="1"/>
  <c r="V109" i="2" l="1"/>
  <c r="D13" i="2" s="1" a="1"/>
  <c r="D13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<sst xmlns="http://schemas.openxmlformats.org/spreadsheetml/2006/main" count="97" uniqueCount="32">
  <si>
    <t>Tongatapu</t>
  </si>
  <si>
    <t>Petrol</t>
  </si>
  <si>
    <t>Diesel</t>
  </si>
  <si>
    <t>(litres)</t>
  </si>
  <si>
    <t>Unpumpable tank capacity</t>
  </si>
  <si>
    <t>Pumpable tank capacity</t>
  </si>
  <si>
    <t>Safe fill capacity</t>
  </si>
  <si>
    <t>Closing Stock</t>
  </si>
  <si>
    <t>Offtake</t>
  </si>
  <si>
    <t>Petrol (litres)</t>
  </si>
  <si>
    <t>Diesel (litres)</t>
  </si>
  <si>
    <t>ACTUAL</t>
  </si>
  <si>
    <t>Terminal Info</t>
  </si>
  <si>
    <t>FORECAST</t>
  </si>
  <si>
    <t>Date</t>
  </si>
  <si>
    <t>Next resupply 1</t>
  </si>
  <si>
    <t>Next resupply 2</t>
  </si>
  <si>
    <t>Next resupply 3</t>
  </si>
  <si>
    <t>Next resupply 4</t>
  </si>
  <si>
    <t>Next resupply 5</t>
  </si>
  <si>
    <t>Forecast delivery</t>
  </si>
  <si>
    <t>Update as required</t>
  </si>
  <si>
    <t>ENTER DATA INTO GREEN CELLS</t>
  </si>
  <si>
    <t>Kerosene (litres)</t>
  </si>
  <si>
    <t>Kerosene</t>
  </si>
  <si>
    <t>Daily stock report for Pacific Energy</t>
  </si>
  <si>
    <t>TONGATAPU</t>
  </si>
  <si>
    <t>VAVA'U</t>
  </si>
  <si>
    <t>Vava'u</t>
  </si>
  <si>
    <t>Min</t>
  </si>
  <si>
    <t>Max</t>
  </si>
  <si>
    <t>Kero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</si>
</sst>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\-#,##0\ "/>
    <numFmt numFmtId="165" formatCode="ddd\ dd\ mmm\ \'yy"/>
    <numFmt numFmtId="166" formatCode="ddd\ dd\ mmm"/>
  </numFmts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indexed="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64" fontId="3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vertical="center"/>
    </xf>
    <xf numFmtId="164" fontId="0" fillId="0" borderId="4" xfId="0" applyNumberForma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 applyProtection="1">
      <alignment horizontal="right" vertical="center"/>
      <protection locked="0"/>
    </xf>
    <xf numFmtId="164" fontId="0" fillId="4" borderId="10" xfId="0" applyNumberFormat="1" applyFill="1" applyBorder="1" applyAlignment="1">
      <alignment horizontal="right" vertical="center"/>
    </xf>
    <xf numFmtId="164" fontId="0" fillId="4" borderId="11" xfId="0" applyNumberFormat="1" applyFill="1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2" fillId="4" borderId="12" xfId="0" applyNumberFormat="1" applyFont="1" applyFill="1" applyBorder="1" applyAlignment="1">
      <alignment horizontal="left" vertical="center"/>
    </xf>
    <xf numFmtId="164" fontId="0" fillId="4" borderId="13" xfId="0" applyNumberFormat="1" applyFill="1" applyBorder="1" applyAlignment="1">
      <alignment horizontal="right" vertical="center"/>
    </xf>
    <xf numFmtId="164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right" vertical="center"/>
    </xf>
    <xf numFmtId="164" fontId="0" fillId="4" borderId="14" xfId="0" applyNumberFormat="1" applyFill="1" applyBorder="1" applyAlignment="1">
      <alignment horizontal="left" vertical="center"/>
    </xf>
    <xf numFmtId="164" fontId="0" fillId="4" borderId="13" xfId="0" applyNumberFormat="1" applyFill="1" applyBorder="1" applyAlignment="1">
      <alignment horizontal="left" vertical="center"/>
    </xf>
    <xf numFmtId="164" fontId="0" fillId="4" borderId="15" xfId="0" applyNumberFormat="1" applyFill="1" applyBorder="1" applyAlignment="1">
      <alignment horizontal="left" vertical="center"/>
    </xf>
    <xf numFmtId="164" fontId="0" fillId="4" borderId="16" xfId="0" applyNumberFormat="1" applyFill="1" applyBorder="1" applyAlignment="1">
      <alignment horizontal="right" vertical="center"/>
    </xf>
    <xf numFmtId="164" fontId="2" fillId="4" borderId="17" xfId="0" applyNumberFormat="1" applyFont="1" applyFill="1" applyBorder="1" applyAlignment="1">
      <alignment horizontal="left" vertical="center"/>
    </xf>
    <xf numFmtId="164" fontId="2" fillId="4" borderId="0" xfId="0" applyNumberFormat="1" applyFont="1" applyFill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64" fontId="5" fillId="2" borderId="18" xfId="0" applyNumberFormat="1" applyFont="1" applyFill="1" applyBorder="1" applyAlignment="1">
      <alignment horizontal="center" vertical="center" wrapText="1"/>
    </xf>
    <xf numFmtId="164" fontId="5" fillId="2" borderId="19" xfId="0" applyNumberFormat="1" applyFont="1" applyFill="1" applyBorder="1" applyAlignment="1">
      <alignment horizontal="center" vertical="center" wrapText="1"/>
    </xf>
    <xf numFmtId="165" fontId="0" fillId="3" borderId="4" xfId="0" applyNumberFormat="1" applyFill="1" applyBorder="1" applyAlignment="1" applyProtection="1">
      <alignment horizontal="center" vertical="center"/>
      <protection locked="0"/>
    </xf>
    <xf numFmtId="3" fontId="0" fillId="3" borderId="4" xfId="0" applyNumberFormat="1" applyFill="1" applyBorder="1" applyAlignment="1" applyProtection="1">
      <alignment horizontal="center" vertical="center"/>
      <protection locked="0"/>
    </xf>
    <xf numFmtId="164" fontId="0" fillId="3" borderId="4" xfId="0" applyNumberFormat="1" applyFill="1" applyBorder="1" applyAlignment="1" applyProtection="1">
      <alignment horizontal="right" vertical="center"/>
      <protection locked="0"/>
    </xf>
    <xf numFmtId="164" fontId="2" fillId="3" borderId="4" xfId="0" applyNumberFormat="1" applyFont="1" applyFill="1" applyBorder="1" applyAlignment="1" applyProtection="1">
      <alignment horizontal="right" vertical="center"/>
      <protection locked="0"/>
    </xf>
    <xf numFmtId="164" fontId="5" fillId="2" borderId="1" xfId="0" applyNumberFormat="1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164" fontId="5" fillId="2" borderId="20" xfId="0" applyNumberFormat="1" applyFont="1" applyFill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165" fontId="0" fillId="3" borderId="3" xfId="0" applyNumberFormat="1" applyFill="1" applyBorder="1" applyAlignment="1" applyProtection="1">
      <alignment horizontal="center" vertical="center"/>
      <protection locked="0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164" fontId="5" fillId="2" borderId="24" xfId="0" applyNumberFormat="1" applyFont="1" applyFill="1" applyBorder="1" applyAlignment="1">
      <alignment horizontal="center" vertical="center"/>
    </xf>
    <xf numFmtId="164" fontId="5" fillId="2" borderId="25" xfId="0" applyNumberFormat="1" applyFont="1" applyFill="1" applyBorder="1" applyAlignment="1">
      <alignment horizontal="center" vertical="center"/>
    </xf>
    <xf numFmtId="164" fontId="5" fillId="2" borderId="26" xfId="0" applyNumberFormat="1" applyFont="1" applyFill="1" applyBorder="1" applyAlignment="1">
      <alignment horizontal="center" vertical="center"/>
    </xf>
    <xf numFmtId="164" fontId="5" fillId="2" borderId="19" xfId="0" applyNumberFormat="1" applyFont="1" applyFill="1" applyBorder="1" applyAlignment="1">
      <alignment horizontal="center" vertical="center"/>
    </xf>
    <xf numFmtId="164" fontId="5" fillId="2" borderId="20" xfId="0" applyNumberFormat="1" applyFont="1" applyFill="1" applyBorder="1" applyAlignment="1">
      <alignment horizontal="center" vertical="center"/>
    </xf>
    <xf numFmtId="164" fontId="0" fillId="3" borderId="3" xfId="0" applyNumberFormat="1" applyFill="1" applyBorder="1" applyAlignment="1" applyProtection="1">
      <alignment horizontal="right" vertical="center"/>
      <protection locked="0"/>
    </xf>
    <xf numFmtId="164" fontId="2" fillId="4" borderId="16" xfId="0" applyNumberFormat="1" applyFont="1" applyFill="1" applyBorder="1" applyAlignment="1">
      <alignment horizontal="right" vertical="center"/>
    </xf>
    <xf numFmtId="164" fontId="2" fillId="4" borderId="14" xfId="0" applyNumberFormat="1" applyFont="1" applyFill="1" applyBorder="1" applyAlignment="1">
      <alignment horizontal="left" vertical="center"/>
    </xf>
    <xf numFmtId="164" fontId="8" fillId="3" borderId="3" xfId="0" applyNumberFormat="1" applyFont="1" applyFill="1" applyBorder="1" applyAlignment="1" applyProtection="1">
      <alignment horizontal="right" vertical="center"/>
      <protection locked="0"/>
    </xf>
    <xf numFmtId="164" fontId="5" fillId="2" borderId="18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right" vertical="center"/>
    </xf>
    <xf numFmtId="164" fontId="3" fillId="5" borderId="30" xfId="0" applyNumberFormat="1" applyFont="1" applyFill="1" applyBorder="1" applyAlignment="1">
      <alignment horizontal="center" vertical="center"/>
    </xf>
    <xf numFmtId="164" fontId="3" fillId="5" borderId="31" xfId="0" applyNumberFormat="1" applyFont="1" applyFill="1" applyBorder="1" applyAlignment="1">
      <alignment horizontal="center" vertical="center"/>
    </xf>
    <xf numFmtId="164" fontId="5" fillId="2" borderId="22" xfId="0" applyNumberFormat="1" applyFont="1" applyFill="1" applyBorder="1" applyAlignment="1">
      <alignment horizontal="center" vertical="center"/>
    </xf>
    <xf numFmtId="164" fontId="5" fillId="2" borderId="23" xfId="0" applyNumberFormat="1" applyFont="1" applyFill="1" applyBorder="1" applyAlignment="1">
      <alignment horizontal="center" vertical="center"/>
    </xf>
    <xf numFmtId="164" fontId="5" fillId="2" borderId="21" xfId="0" applyNumberFormat="1" applyFont="1" applyFill="1" applyBorder="1" applyAlignment="1">
      <alignment horizontal="center" vertical="center"/>
    </xf>
    <xf numFmtId="164" fontId="3" fillId="3" borderId="27" xfId="0" applyNumberFormat="1" applyFont="1" applyFill="1" applyBorder="1" applyAlignment="1">
      <alignment horizontal="center" vertical="center"/>
    </xf>
    <xf numFmtId="164" fontId="3" fillId="3" borderId="28" xfId="0" applyNumberFormat="1" applyFont="1" applyFill="1" applyBorder="1" applyAlignment="1">
      <alignment horizontal="center" vertical="center"/>
    </xf>
    <xf numFmtId="164" fontId="3" fillId="3" borderId="29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164" fontId="5" fillId="2" borderId="9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RichValueTypes" Target="richData/rdRichValueTypes.xml"/><Relationship Id="rId5" Type="http://schemas.openxmlformats.org/officeDocument/2006/relationships/sharedStrings" Target="sharedStrings.xml"/><Relationship Id="rId10" Type="http://schemas.microsoft.com/office/2017/06/relationships/rdRichValue" Target="richData/rdrichvalue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Petrol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1"/>
          <c:order val="0"/>
          <c:tx>
            <c:v>Petrol Stock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Report'!$Q$4:$Q$109</c:f>
              <c:numCache>
                <c:formatCode>#,##0_ ;\-#,##0\ </c:formatCode>
                <c:ptCount val="106"/>
                <c:pt idx="0">
                  <c:v>760533</c:v>
                </c:pt>
                <c:pt idx="1">
                  <c:v>690540</c:v>
                </c:pt>
                <c:pt idx="2">
                  <c:v>615514</c:v>
                </c:pt>
                <c:pt idx="3">
                  <c:v>500273</c:v>
                </c:pt>
                <c:pt idx="4">
                  <c:v>500273</c:v>
                </c:pt>
                <c:pt idx="5">
                  <c:v>500273</c:v>
                </c:pt>
                <c:pt idx="6">
                  <c:v>400940</c:v>
                </c:pt>
                <c:pt idx="7">
                  <c:v>341003</c:v>
                </c:pt>
                <c:pt idx="8">
                  <c:v>289512</c:v>
                </c:pt>
                <c:pt idx="9">
                  <c:v>226543</c:v>
                </c:pt>
                <c:pt idx="10">
                  <c:v>965601</c:v>
                </c:pt>
                <c:pt idx="11">
                  <c:v>965601</c:v>
                </c:pt>
                <c:pt idx="12">
                  <c:v>965601</c:v>
                </c:pt>
                <c:pt idx="13">
                  <c:v>794190</c:v>
                </c:pt>
                <c:pt idx="14">
                  <c:v>634730</c:v>
                </c:pt>
                <c:pt idx="15">
                  <c:v>628492</c:v>
                </c:pt>
                <c:pt idx="16">
                  <c:v>500125</c:v>
                </c:pt>
                <c:pt idx="17">
                  <c:v>500125</c:v>
                </c:pt>
                <c:pt idx="18">
                  <c:v>500125</c:v>
                </c:pt>
                <c:pt idx="19">
                  <c:v>500125</c:v>
                </c:pt>
                <c:pt idx="20">
                  <c:v>500125</c:v>
                </c:pt>
                <c:pt idx="21">
                  <c:v>400893</c:v>
                </c:pt>
                <c:pt idx="22">
                  <c:v>345157</c:v>
                </c:pt>
                <c:pt idx="23">
                  <c:v>283388</c:v>
                </c:pt>
                <c:pt idx="24">
                  <c:v>1000506</c:v>
                </c:pt>
                <c:pt idx="25">
                  <c:v>1000506</c:v>
                </c:pt>
                <c:pt idx="26">
                  <c:v>1000506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6D-4B0D-9A5A-34E7FC55835A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Report'!$AE$4:$AE$109</c:f>
              <c:numCache>
                <c:formatCode>#,##0_ ;\-#,##0\ </c:formatCode>
                <c:ptCount val="106"/>
                <c:pt idx="0">
                  <c:v>47000</c:v>
                </c:pt>
                <c:pt idx="1">
                  <c:v>47000</c:v>
                </c:pt>
                <c:pt idx="2">
                  <c:v>47000</c:v>
                </c:pt>
                <c:pt idx="3">
                  <c:v>47000</c:v>
                </c:pt>
                <c:pt idx="4">
                  <c:v>47000</c:v>
                </c:pt>
                <c:pt idx="5">
                  <c:v>47000</c:v>
                </c:pt>
                <c:pt idx="6">
                  <c:v>47000</c:v>
                </c:pt>
                <c:pt idx="7">
                  <c:v>47000</c:v>
                </c:pt>
                <c:pt idx="8">
                  <c:v>47000</c:v>
                </c:pt>
                <c:pt idx="9">
                  <c:v>47000</c:v>
                </c:pt>
                <c:pt idx="10">
                  <c:v>47000</c:v>
                </c:pt>
                <c:pt idx="11">
                  <c:v>47000</c:v>
                </c:pt>
                <c:pt idx="12">
                  <c:v>47000</c:v>
                </c:pt>
                <c:pt idx="13">
                  <c:v>47000</c:v>
                </c:pt>
                <c:pt idx="14">
                  <c:v>47000</c:v>
                </c:pt>
                <c:pt idx="15">
                  <c:v>47000</c:v>
                </c:pt>
                <c:pt idx="16">
                  <c:v>47000</c:v>
                </c:pt>
                <c:pt idx="17">
                  <c:v>47000</c:v>
                </c:pt>
                <c:pt idx="18">
                  <c:v>47000</c:v>
                </c:pt>
                <c:pt idx="19">
                  <c:v>47000</c:v>
                </c:pt>
                <c:pt idx="20">
                  <c:v>47000</c:v>
                </c:pt>
                <c:pt idx="21">
                  <c:v>47000</c:v>
                </c:pt>
                <c:pt idx="22">
                  <c:v>47000</c:v>
                </c:pt>
                <c:pt idx="23">
                  <c:v>47000</c:v>
                </c:pt>
                <c:pt idx="24">
                  <c:v>47000</c:v>
                </c:pt>
                <c:pt idx="25">
                  <c:v>47000</c:v>
                </c:pt>
                <c:pt idx="26">
                  <c:v>47000</c:v>
                </c:pt>
                <c:pt idx="27">
                  <c:v>47000</c:v>
                </c:pt>
                <c:pt idx="28">
                  <c:v>47000</c:v>
                </c:pt>
                <c:pt idx="29">
                  <c:v>47000</c:v>
                </c:pt>
                <c:pt idx="30">
                  <c:v>47000</c:v>
                </c:pt>
                <c:pt idx="31">
                  <c:v>47000</c:v>
                </c:pt>
                <c:pt idx="32">
                  <c:v>47000</c:v>
                </c:pt>
                <c:pt idx="33">
                  <c:v>47000</c:v>
                </c:pt>
                <c:pt idx="34">
                  <c:v>47000</c:v>
                </c:pt>
                <c:pt idx="35">
                  <c:v>47000</c:v>
                </c:pt>
                <c:pt idx="36">
                  <c:v>47000</c:v>
                </c:pt>
                <c:pt idx="37">
                  <c:v>47000</c:v>
                </c:pt>
                <c:pt idx="38">
                  <c:v>47000</c:v>
                </c:pt>
                <c:pt idx="39">
                  <c:v>47000</c:v>
                </c:pt>
                <c:pt idx="40">
                  <c:v>47000</c:v>
                </c:pt>
                <c:pt idx="41">
                  <c:v>47000</c:v>
                </c:pt>
                <c:pt idx="42">
                  <c:v>47000</c:v>
                </c:pt>
                <c:pt idx="43">
                  <c:v>47000</c:v>
                </c:pt>
                <c:pt idx="44">
                  <c:v>47000</c:v>
                </c:pt>
                <c:pt idx="45">
                  <c:v>47000</c:v>
                </c:pt>
                <c:pt idx="46">
                  <c:v>47000</c:v>
                </c:pt>
                <c:pt idx="47">
                  <c:v>47000</c:v>
                </c:pt>
                <c:pt idx="48">
                  <c:v>47000</c:v>
                </c:pt>
                <c:pt idx="49">
                  <c:v>47000</c:v>
                </c:pt>
                <c:pt idx="50">
                  <c:v>47000</c:v>
                </c:pt>
                <c:pt idx="51">
                  <c:v>47000</c:v>
                </c:pt>
                <c:pt idx="52">
                  <c:v>47000</c:v>
                </c:pt>
                <c:pt idx="53">
                  <c:v>47000</c:v>
                </c:pt>
                <c:pt idx="54">
                  <c:v>47000</c:v>
                </c:pt>
                <c:pt idx="55">
                  <c:v>47000</c:v>
                </c:pt>
                <c:pt idx="56">
                  <c:v>47000</c:v>
                </c:pt>
                <c:pt idx="57">
                  <c:v>47000</c:v>
                </c:pt>
                <c:pt idx="58">
                  <c:v>47000</c:v>
                </c:pt>
                <c:pt idx="59">
                  <c:v>47000</c:v>
                </c:pt>
                <c:pt idx="60">
                  <c:v>47000</c:v>
                </c:pt>
                <c:pt idx="61">
                  <c:v>47000</c:v>
                </c:pt>
                <c:pt idx="62">
                  <c:v>47000</c:v>
                </c:pt>
                <c:pt idx="63">
                  <c:v>47000</c:v>
                </c:pt>
                <c:pt idx="64">
                  <c:v>47000</c:v>
                </c:pt>
                <c:pt idx="65">
                  <c:v>47000</c:v>
                </c:pt>
                <c:pt idx="66">
                  <c:v>47000</c:v>
                </c:pt>
                <c:pt idx="67">
                  <c:v>47000</c:v>
                </c:pt>
                <c:pt idx="68">
                  <c:v>47000</c:v>
                </c:pt>
                <c:pt idx="69">
                  <c:v>47000</c:v>
                </c:pt>
                <c:pt idx="70">
                  <c:v>47000</c:v>
                </c:pt>
                <c:pt idx="71">
                  <c:v>47000</c:v>
                </c:pt>
                <c:pt idx="72">
                  <c:v>47000</c:v>
                </c:pt>
                <c:pt idx="73">
                  <c:v>47000</c:v>
                </c:pt>
                <c:pt idx="74">
                  <c:v>47000</c:v>
                </c:pt>
                <c:pt idx="75">
                  <c:v>47000</c:v>
                </c:pt>
                <c:pt idx="76">
                  <c:v>47000</c:v>
                </c:pt>
                <c:pt idx="77">
                  <c:v>47000</c:v>
                </c:pt>
                <c:pt idx="78">
                  <c:v>47000</c:v>
                </c:pt>
                <c:pt idx="79">
                  <c:v>47000</c:v>
                </c:pt>
                <c:pt idx="80">
                  <c:v>47000</c:v>
                </c:pt>
                <c:pt idx="81">
                  <c:v>47000</c:v>
                </c:pt>
                <c:pt idx="82">
                  <c:v>47000</c:v>
                </c:pt>
                <c:pt idx="83">
                  <c:v>47000</c:v>
                </c:pt>
                <c:pt idx="84">
                  <c:v>47000</c:v>
                </c:pt>
                <c:pt idx="85">
                  <c:v>47000</c:v>
                </c:pt>
                <c:pt idx="86">
                  <c:v>47000</c:v>
                </c:pt>
                <c:pt idx="87">
                  <c:v>47000</c:v>
                </c:pt>
                <c:pt idx="88">
                  <c:v>47000</c:v>
                </c:pt>
                <c:pt idx="89">
                  <c:v>47000</c:v>
                </c:pt>
                <c:pt idx="90">
                  <c:v>47000</c:v>
                </c:pt>
                <c:pt idx="91">
                  <c:v>47000</c:v>
                </c:pt>
                <c:pt idx="92">
                  <c:v>47000</c:v>
                </c:pt>
                <c:pt idx="93">
                  <c:v>47000</c:v>
                </c:pt>
                <c:pt idx="94">
                  <c:v>47000</c:v>
                </c:pt>
                <c:pt idx="95">
                  <c:v>47000</c:v>
                </c:pt>
                <c:pt idx="96">
                  <c:v>47000</c:v>
                </c:pt>
                <c:pt idx="97">
                  <c:v>47000</c:v>
                </c:pt>
                <c:pt idx="98">
                  <c:v>47000</c:v>
                </c:pt>
                <c:pt idx="99">
                  <c:v>47000</c:v>
                </c:pt>
                <c:pt idx="100">
                  <c:v>47000</c:v>
                </c:pt>
                <c:pt idx="101">
                  <c:v>47000</c:v>
                </c:pt>
                <c:pt idx="102">
                  <c:v>47000</c:v>
                </c:pt>
                <c:pt idx="103">
                  <c:v>47000</c:v>
                </c:pt>
                <c:pt idx="104">
                  <c:v>47000</c:v>
                </c:pt>
                <c:pt idx="105">
                  <c:v>47000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FD-4E7E-A69D-E615FFD72B27}"/>
            </c:ext>
          </c:extLst>
        </c:ser>
        <c:ser>
          <c:idx val="2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Report'!$AF$4:$AF$109</c:f>
              <c:numCache>
                <c:formatCode>#,##0_ ;\-#,##0\ </c:formatCode>
                <c:ptCount val="106"/>
                <c:pt idx="0">
                  <c:v>1223106</c:v>
                </c:pt>
                <c:pt idx="1">
                  <c:v>1223106</c:v>
                </c:pt>
                <c:pt idx="2">
                  <c:v>1223106</c:v>
                </c:pt>
                <c:pt idx="3">
                  <c:v>1223106</c:v>
                </c:pt>
                <c:pt idx="4">
                  <c:v>1223106</c:v>
                </c:pt>
                <c:pt idx="5">
                  <c:v>1223106</c:v>
                </c:pt>
                <c:pt idx="6">
                  <c:v>1223106</c:v>
                </c:pt>
                <c:pt idx="7">
                  <c:v>1223106</c:v>
                </c:pt>
                <c:pt idx="8">
                  <c:v>1223106</c:v>
                </c:pt>
                <c:pt idx="9">
                  <c:v>1223106</c:v>
                </c:pt>
                <c:pt idx="10">
                  <c:v>1223106</c:v>
                </c:pt>
                <c:pt idx="11">
                  <c:v>1223106</c:v>
                </c:pt>
                <c:pt idx="12">
                  <c:v>1223106</c:v>
                </c:pt>
                <c:pt idx="13">
                  <c:v>1223106</c:v>
                </c:pt>
                <c:pt idx="14">
                  <c:v>1223106</c:v>
                </c:pt>
                <c:pt idx="15">
                  <c:v>1223106</c:v>
                </c:pt>
                <c:pt idx="16">
                  <c:v>1223106</c:v>
                </c:pt>
                <c:pt idx="17">
                  <c:v>1223106</c:v>
                </c:pt>
                <c:pt idx="18">
                  <c:v>1223106</c:v>
                </c:pt>
                <c:pt idx="19">
                  <c:v>1223106</c:v>
                </c:pt>
                <c:pt idx="20">
                  <c:v>1223106</c:v>
                </c:pt>
                <c:pt idx="21">
                  <c:v>1223106</c:v>
                </c:pt>
                <c:pt idx="22">
                  <c:v>1223106</c:v>
                </c:pt>
                <c:pt idx="23">
                  <c:v>1223106</c:v>
                </c:pt>
                <c:pt idx="24">
                  <c:v>1223106</c:v>
                </c:pt>
                <c:pt idx="25">
                  <c:v>1223106</c:v>
                </c:pt>
                <c:pt idx="26">
                  <c:v>1223106</c:v>
                </c:pt>
                <c:pt idx="27">
                  <c:v>1223106</c:v>
                </c:pt>
                <c:pt idx="28">
                  <c:v>1223106</c:v>
                </c:pt>
                <c:pt idx="29">
                  <c:v>1223106</c:v>
                </c:pt>
                <c:pt idx="30">
                  <c:v>1223106</c:v>
                </c:pt>
                <c:pt idx="31">
                  <c:v>1223106</c:v>
                </c:pt>
                <c:pt idx="32">
                  <c:v>1223106</c:v>
                </c:pt>
                <c:pt idx="33">
                  <c:v>1223106</c:v>
                </c:pt>
                <c:pt idx="34">
                  <c:v>1223106</c:v>
                </c:pt>
                <c:pt idx="35">
                  <c:v>1223106</c:v>
                </c:pt>
                <c:pt idx="36">
                  <c:v>1223106</c:v>
                </c:pt>
                <c:pt idx="37">
                  <c:v>1223106</c:v>
                </c:pt>
                <c:pt idx="38">
                  <c:v>1223106</c:v>
                </c:pt>
                <c:pt idx="39">
                  <c:v>1223106</c:v>
                </c:pt>
                <c:pt idx="40">
                  <c:v>1223106</c:v>
                </c:pt>
                <c:pt idx="41">
                  <c:v>1223106</c:v>
                </c:pt>
                <c:pt idx="42">
                  <c:v>1223106</c:v>
                </c:pt>
                <c:pt idx="43">
                  <c:v>1223106</c:v>
                </c:pt>
                <c:pt idx="44">
                  <c:v>1223106</c:v>
                </c:pt>
                <c:pt idx="45">
                  <c:v>1223106</c:v>
                </c:pt>
                <c:pt idx="46">
                  <c:v>1223106</c:v>
                </c:pt>
                <c:pt idx="47">
                  <c:v>1223106</c:v>
                </c:pt>
                <c:pt idx="48">
                  <c:v>1223106</c:v>
                </c:pt>
                <c:pt idx="49">
                  <c:v>1223106</c:v>
                </c:pt>
                <c:pt idx="50">
                  <c:v>1223106</c:v>
                </c:pt>
                <c:pt idx="51">
                  <c:v>1223106</c:v>
                </c:pt>
                <c:pt idx="52">
                  <c:v>1223106</c:v>
                </c:pt>
                <c:pt idx="53">
                  <c:v>1223106</c:v>
                </c:pt>
                <c:pt idx="54">
                  <c:v>1223106</c:v>
                </c:pt>
                <c:pt idx="55">
                  <c:v>1223106</c:v>
                </c:pt>
                <c:pt idx="56">
                  <c:v>1223106</c:v>
                </c:pt>
                <c:pt idx="57">
                  <c:v>1223106</c:v>
                </c:pt>
                <c:pt idx="58">
                  <c:v>1223106</c:v>
                </c:pt>
                <c:pt idx="59">
                  <c:v>1223106</c:v>
                </c:pt>
                <c:pt idx="60">
                  <c:v>1223106</c:v>
                </c:pt>
                <c:pt idx="61">
                  <c:v>1223106</c:v>
                </c:pt>
                <c:pt idx="62">
                  <c:v>1223106</c:v>
                </c:pt>
                <c:pt idx="63">
                  <c:v>1223106</c:v>
                </c:pt>
                <c:pt idx="64">
                  <c:v>1223106</c:v>
                </c:pt>
                <c:pt idx="65">
                  <c:v>1223106</c:v>
                </c:pt>
                <c:pt idx="66">
                  <c:v>1223106</c:v>
                </c:pt>
                <c:pt idx="67">
                  <c:v>1223106</c:v>
                </c:pt>
                <c:pt idx="68">
                  <c:v>1223106</c:v>
                </c:pt>
                <c:pt idx="69">
                  <c:v>1223106</c:v>
                </c:pt>
                <c:pt idx="70">
                  <c:v>1223106</c:v>
                </c:pt>
                <c:pt idx="71">
                  <c:v>1223106</c:v>
                </c:pt>
                <c:pt idx="72">
                  <c:v>1223106</c:v>
                </c:pt>
                <c:pt idx="73">
                  <c:v>1223106</c:v>
                </c:pt>
                <c:pt idx="74">
                  <c:v>1223106</c:v>
                </c:pt>
                <c:pt idx="75">
                  <c:v>1223106</c:v>
                </c:pt>
                <c:pt idx="76">
                  <c:v>1223106</c:v>
                </c:pt>
                <c:pt idx="77">
                  <c:v>1223106</c:v>
                </c:pt>
                <c:pt idx="78">
                  <c:v>1223106</c:v>
                </c:pt>
                <c:pt idx="79">
                  <c:v>1223106</c:v>
                </c:pt>
                <c:pt idx="80">
                  <c:v>1223106</c:v>
                </c:pt>
                <c:pt idx="81">
                  <c:v>1223106</c:v>
                </c:pt>
                <c:pt idx="82">
                  <c:v>1223106</c:v>
                </c:pt>
                <c:pt idx="83">
                  <c:v>1223106</c:v>
                </c:pt>
                <c:pt idx="84">
                  <c:v>1223106</c:v>
                </c:pt>
                <c:pt idx="85">
                  <c:v>1223106</c:v>
                </c:pt>
                <c:pt idx="86">
                  <c:v>1223106</c:v>
                </c:pt>
                <c:pt idx="87">
                  <c:v>1223106</c:v>
                </c:pt>
                <c:pt idx="88">
                  <c:v>1223106</c:v>
                </c:pt>
                <c:pt idx="89">
                  <c:v>1223106</c:v>
                </c:pt>
                <c:pt idx="90">
                  <c:v>1223106</c:v>
                </c:pt>
                <c:pt idx="91">
                  <c:v>1223106</c:v>
                </c:pt>
                <c:pt idx="92">
                  <c:v>1223106</c:v>
                </c:pt>
                <c:pt idx="93">
                  <c:v>1223106</c:v>
                </c:pt>
                <c:pt idx="94">
                  <c:v>1223106</c:v>
                </c:pt>
                <c:pt idx="95">
                  <c:v>1223106</c:v>
                </c:pt>
                <c:pt idx="96">
                  <c:v>1223106</c:v>
                </c:pt>
                <c:pt idx="97">
                  <c:v>1223106</c:v>
                </c:pt>
                <c:pt idx="98">
                  <c:v>1223106</c:v>
                </c:pt>
                <c:pt idx="99">
                  <c:v>1223106</c:v>
                </c:pt>
                <c:pt idx="100">
                  <c:v>1223106</c:v>
                </c:pt>
                <c:pt idx="101">
                  <c:v>1223106</c:v>
                </c:pt>
                <c:pt idx="102">
                  <c:v>1223106</c:v>
                </c:pt>
                <c:pt idx="103">
                  <c:v>1223106</c:v>
                </c:pt>
                <c:pt idx="104">
                  <c:v>1223106</c:v>
                </c:pt>
                <c:pt idx="105">
                  <c:v>1223106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FD-4E7E-A69D-E615FFD72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1400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Diesel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3"/>
          <c:order val="0"/>
          <c:tx>
            <c:v>Diesel Stock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Report'!$S$4:$S$109</c:f>
              <c:numCache>
                <c:formatCode>#,##0_ ;\-#,##0\ </c:formatCode>
                <c:ptCount val="106"/>
                <c:pt idx="0">
                  <c:v>634040</c:v>
                </c:pt>
                <c:pt idx="1">
                  <c:v>578425</c:v>
                </c:pt>
                <c:pt idx="2">
                  <c:v>491946</c:v>
                </c:pt>
                <c:pt idx="3">
                  <c:v>424838</c:v>
                </c:pt>
                <c:pt idx="4">
                  <c:v>424838</c:v>
                </c:pt>
                <c:pt idx="5">
                  <c:v>424838</c:v>
                </c:pt>
                <c:pt idx="6">
                  <c:v>376262</c:v>
                </c:pt>
                <c:pt idx="7">
                  <c:v>348535</c:v>
                </c:pt>
                <c:pt idx="8">
                  <c:v>318704</c:v>
                </c:pt>
                <c:pt idx="9">
                  <c:v>281351</c:v>
                </c:pt>
                <c:pt idx="10">
                  <c:v>639390</c:v>
                </c:pt>
                <c:pt idx="11">
                  <c:v>639390</c:v>
                </c:pt>
                <c:pt idx="12">
                  <c:v>639390</c:v>
                </c:pt>
                <c:pt idx="13">
                  <c:v>515573</c:v>
                </c:pt>
                <c:pt idx="14">
                  <c:v>358173</c:v>
                </c:pt>
                <c:pt idx="15">
                  <c:v>348251</c:v>
                </c:pt>
                <c:pt idx="16">
                  <c:v>313734</c:v>
                </c:pt>
                <c:pt idx="17">
                  <c:v>313734</c:v>
                </c:pt>
                <c:pt idx="18">
                  <c:v>313734</c:v>
                </c:pt>
                <c:pt idx="19">
                  <c:v>313734</c:v>
                </c:pt>
                <c:pt idx="20">
                  <c:v>313734</c:v>
                </c:pt>
                <c:pt idx="21">
                  <c:v>252748</c:v>
                </c:pt>
                <c:pt idx="22">
                  <c:v>217109</c:v>
                </c:pt>
                <c:pt idx="23">
                  <c:v>193741</c:v>
                </c:pt>
                <c:pt idx="24">
                  <c:v>562852</c:v>
                </c:pt>
                <c:pt idx="25">
                  <c:v>562852</c:v>
                </c:pt>
                <c:pt idx="26">
                  <c:v>562852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CD-4AA8-B063-3AE107E6F485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Report'!$AG$4:$AG$109</c:f>
              <c:numCache>
                <c:formatCode>#,##0_ ;\-#,##0\ </c:formatCode>
                <c:ptCount val="106"/>
                <c:pt idx="0">
                  <c:v>45000</c:v>
                </c:pt>
                <c:pt idx="1">
                  <c:v>45000</c:v>
                </c:pt>
                <c:pt idx="2">
                  <c:v>45000</c:v>
                </c:pt>
                <c:pt idx="3">
                  <c:v>45000</c:v>
                </c:pt>
                <c:pt idx="4">
                  <c:v>45000</c:v>
                </c:pt>
                <c:pt idx="5">
                  <c:v>45000</c:v>
                </c:pt>
                <c:pt idx="6">
                  <c:v>45000</c:v>
                </c:pt>
                <c:pt idx="7">
                  <c:v>45000</c:v>
                </c:pt>
                <c:pt idx="8">
                  <c:v>45000</c:v>
                </c:pt>
                <c:pt idx="9">
                  <c:v>45000</c:v>
                </c:pt>
                <c:pt idx="10">
                  <c:v>45000</c:v>
                </c:pt>
                <c:pt idx="11">
                  <c:v>45000</c:v>
                </c:pt>
                <c:pt idx="12">
                  <c:v>45000</c:v>
                </c:pt>
                <c:pt idx="13">
                  <c:v>45000</c:v>
                </c:pt>
                <c:pt idx="14">
                  <c:v>45000</c:v>
                </c:pt>
                <c:pt idx="15">
                  <c:v>45000</c:v>
                </c:pt>
                <c:pt idx="16">
                  <c:v>45000</c:v>
                </c:pt>
                <c:pt idx="17">
                  <c:v>45000</c:v>
                </c:pt>
                <c:pt idx="18">
                  <c:v>45000</c:v>
                </c:pt>
                <c:pt idx="19">
                  <c:v>45000</c:v>
                </c:pt>
                <c:pt idx="20">
                  <c:v>45000</c:v>
                </c:pt>
                <c:pt idx="21">
                  <c:v>45000</c:v>
                </c:pt>
                <c:pt idx="22">
                  <c:v>45000</c:v>
                </c:pt>
                <c:pt idx="23">
                  <c:v>45000</c:v>
                </c:pt>
                <c:pt idx="24">
                  <c:v>45000</c:v>
                </c:pt>
                <c:pt idx="25">
                  <c:v>45000</c:v>
                </c:pt>
                <c:pt idx="26">
                  <c:v>45000</c:v>
                </c:pt>
                <c:pt idx="27">
                  <c:v>45000</c:v>
                </c:pt>
                <c:pt idx="28">
                  <c:v>45000</c:v>
                </c:pt>
                <c:pt idx="29">
                  <c:v>45000</c:v>
                </c:pt>
                <c:pt idx="30">
                  <c:v>45000</c:v>
                </c:pt>
                <c:pt idx="31">
                  <c:v>45000</c:v>
                </c:pt>
                <c:pt idx="32">
                  <c:v>45000</c:v>
                </c:pt>
                <c:pt idx="33">
                  <c:v>45000</c:v>
                </c:pt>
                <c:pt idx="34">
                  <c:v>45000</c:v>
                </c:pt>
                <c:pt idx="35">
                  <c:v>45000</c:v>
                </c:pt>
                <c:pt idx="36">
                  <c:v>45000</c:v>
                </c:pt>
                <c:pt idx="37">
                  <c:v>45000</c:v>
                </c:pt>
                <c:pt idx="38">
                  <c:v>45000</c:v>
                </c:pt>
                <c:pt idx="39">
                  <c:v>45000</c:v>
                </c:pt>
                <c:pt idx="40">
                  <c:v>45000</c:v>
                </c:pt>
                <c:pt idx="41">
                  <c:v>45000</c:v>
                </c:pt>
                <c:pt idx="42">
                  <c:v>45000</c:v>
                </c:pt>
                <c:pt idx="43">
                  <c:v>45000</c:v>
                </c:pt>
                <c:pt idx="44">
                  <c:v>45000</c:v>
                </c:pt>
                <c:pt idx="45">
                  <c:v>45000</c:v>
                </c:pt>
                <c:pt idx="46">
                  <c:v>45000</c:v>
                </c:pt>
                <c:pt idx="47">
                  <c:v>45000</c:v>
                </c:pt>
                <c:pt idx="48">
                  <c:v>45000</c:v>
                </c:pt>
                <c:pt idx="49">
                  <c:v>45000</c:v>
                </c:pt>
                <c:pt idx="50">
                  <c:v>45000</c:v>
                </c:pt>
                <c:pt idx="51">
                  <c:v>45000</c:v>
                </c:pt>
                <c:pt idx="52">
                  <c:v>45000</c:v>
                </c:pt>
                <c:pt idx="53">
                  <c:v>45000</c:v>
                </c:pt>
                <c:pt idx="54">
                  <c:v>45000</c:v>
                </c:pt>
                <c:pt idx="55">
                  <c:v>45000</c:v>
                </c:pt>
                <c:pt idx="56">
                  <c:v>45000</c:v>
                </c:pt>
                <c:pt idx="57">
                  <c:v>45000</c:v>
                </c:pt>
                <c:pt idx="58">
                  <c:v>45000</c:v>
                </c:pt>
                <c:pt idx="59">
                  <c:v>45000</c:v>
                </c:pt>
                <c:pt idx="60">
                  <c:v>45000</c:v>
                </c:pt>
                <c:pt idx="61">
                  <c:v>45000</c:v>
                </c:pt>
                <c:pt idx="62">
                  <c:v>45000</c:v>
                </c:pt>
                <c:pt idx="63">
                  <c:v>45000</c:v>
                </c:pt>
                <c:pt idx="64">
                  <c:v>45000</c:v>
                </c:pt>
                <c:pt idx="65">
                  <c:v>45000</c:v>
                </c:pt>
                <c:pt idx="66">
                  <c:v>45000</c:v>
                </c:pt>
                <c:pt idx="67">
                  <c:v>45000</c:v>
                </c:pt>
                <c:pt idx="68">
                  <c:v>45000</c:v>
                </c:pt>
                <c:pt idx="69">
                  <c:v>45000</c:v>
                </c:pt>
                <c:pt idx="70">
                  <c:v>45000</c:v>
                </c:pt>
                <c:pt idx="71">
                  <c:v>45000</c:v>
                </c:pt>
                <c:pt idx="72">
                  <c:v>45000</c:v>
                </c:pt>
                <c:pt idx="73">
                  <c:v>45000</c:v>
                </c:pt>
                <c:pt idx="74">
                  <c:v>45000</c:v>
                </c:pt>
                <c:pt idx="75">
                  <c:v>45000</c:v>
                </c:pt>
                <c:pt idx="76">
                  <c:v>45000</c:v>
                </c:pt>
                <c:pt idx="77">
                  <c:v>45000</c:v>
                </c:pt>
                <c:pt idx="78">
                  <c:v>45000</c:v>
                </c:pt>
                <c:pt idx="79">
                  <c:v>45000</c:v>
                </c:pt>
                <c:pt idx="80">
                  <c:v>45000</c:v>
                </c:pt>
                <c:pt idx="81">
                  <c:v>45000</c:v>
                </c:pt>
                <c:pt idx="82">
                  <c:v>45000</c:v>
                </c:pt>
                <c:pt idx="83">
                  <c:v>45000</c:v>
                </c:pt>
                <c:pt idx="84">
                  <c:v>45000</c:v>
                </c:pt>
                <c:pt idx="85">
                  <c:v>45000</c:v>
                </c:pt>
                <c:pt idx="86">
                  <c:v>45000</c:v>
                </c:pt>
                <c:pt idx="87">
                  <c:v>45000</c:v>
                </c:pt>
                <c:pt idx="88">
                  <c:v>45000</c:v>
                </c:pt>
                <c:pt idx="89">
                  <c:v>45000</c:v>
                </c:pt>
                <c:pt idx="90">
                  <c:v>45000</c:v>
                </c:pt>
                <c:pt idx="91">
                  <c:v>45000</c:v>
                </c:pt>
                <c:pt idx="92">
                  <c:v>45000</c:v>
                </c:pt>
                <c:pt idx="93">
                  <c:v>45000</c:v>
                </c:pt>
                <c:pt idx="94">
                  <c:v>45000</c:v>
                </c:pt>
                <c:pt idx="95">
                  <c:v>45000</c:v>
                </c:pt>
                <c:pt idx="96">
                  <c:v>45000</c:v>
                </c:pt>
                <c:pt idx="97">
                  <c:v>45000</c:v>
                </c:pt>
                <c:pt idx="98">
                  <c:v>45000</c:v>
                </c:pt>
                <c:pt idx="99">
                  <c:v>45000</c:v>
                </c:pt>
                <c:pt idx="100">
                  <c:v>45000</c:v>
                </c:pt>
                <c:pt idx="101">
                  <c:v>45000</c:v>
                </c:pt>
                <c:pt idx="102">
                  <c:v>45000</c:v>
                </c:pt>
                <c:pt idx="103">
                  <c:v>45000</c:v>
                </c:pt>
                <c:pt idx="104">
                  <c:v>45000</c:v>
                </c:pt>
                <c:pt idx="105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9-4770-BA63-C8C704781B1D}"/>
            </c:ext>
          </c:extLst>
        </c:ser>
        <c:ser>
          <c:idx val="1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Report'!$AH$4:$AH$109</c:f>
              <c:numCache>
                <c:formatCode>#,##0_ ;\-#,##0\ </c:formatCode>
                <c:ptCount val="106"/>
                <c:pt idx="0">
                  <c:v>858361</c:v>
                </c:pt>
                <c:pt idx="1">
                  <c:v>858361</c:v>
                </c:pt>
                <c:pt idx="2">
                  <c:v>858361</c:v>
                </c:pt>
                <c:pt idx="3">
                  <c:v>858361</c:v>
                </c:pt>
                <c:pt idx="4">
                  <c:v>858361</c:v>
                </c:pt>
                <c:pt idx="5">
                  <c:v>858361</c:v>
                </c:pt>
                <c:pt idx="6">
                  <c:v>858361</c:v>
                </c:pt>
                <c:pt idx="7">
                  <c:v>858361</c:v>
                </c:pt>
                <c:pt idx="8">
                  <c:v>858361</c:v>
                </c:pt>
                <c:pt idx="9">
                  <c:v>858361</c:v>
                </c:pt>
                <c:pt idx="10">
                  <c:v>858361</c:v>
                </c:pt>
                <c:pt idx="11">
                  <c:v>858361</c:v>
                </c:pt>
                <c:pt idx="12">
                  <c:v>858361</c:v>
                </c:pt>
                <c:pt idx="13">
                  <c:v>858361</c:v>
                </c:pt>
                <c:pt idx="14">
                  <c:v>858361</c:v>
                </c:pt>
                <c:pt idx="15">
                  <c:v>858361</c:v>
                </c:pt>
                <c:pt idx="16">
                  <c:v>858361</c:v>
                </c:pt>
                <c:pt idx="17">
                  <c:v>858361</c:v>
                </c:pt>
                <c:pt idx="18">
                  <c:v>858361</c:v>
                </c:pt>
                <c:pt idx="19">
                  <c:v>858361</c:v>
                </c:pt>
                <c:pt idx="20">
                  <c:v>858361</c:v>
                </c:pt>
                <c:pt idx="21">
                  <c:v>858361</c:v>
                </c:pt>
                <c:pt idx="22">
                  <c:v>858361</c:v>
                </c:pt>
                <c:pt idx="23">
                  <c:v>858361</c:v>
                </c:pt>
                <c:pt idx="24">
                  <c:v>858361</c:v>
                </c:pt>
                <c:pt idx="25">
                  <c:v>858361</c:v>
                </c:pt>
                <c:pt idx="26">
                  <c:v>858361</c:v>
                </c:pt>
                <c:pt idx="27">
                  <c:v>858361</c:v>
                </c:pt>
                <c:pt idx="28">
                  <c:v>858361</c:v>
                </c:pt>
                <c:pt idx="29">
                  <c:v>858361</c:v>
                </c:pt>
                <c:pt idx="30">
                  <c:v>858361</c:v>
                </c:pt>
                <c:pt idx="31">
                  <c:v>858361</c:v>
                </c:pt>
                <c:pt idx="32">
                  <c:v>858361</c:v>
                </c:pt>
                <c:pt idx="33">
                  <c:v>858361</c:v>
                </c:pt>
                <c:pt idx="34">
                  <c:v>858361</c:v>
                </c:pt>
                <c:pt idx="35">
                  <c:v>858361</c:v>
                </c:pt>
                <c:pt idx="36">
                  <c:v>858361</c:v>
                </c:pt>
                <c:pt idx="37">
                  <c:v>858361</c:v>
                </c:pt>
                <c:pt idx="38">
                  <c:v>858361</c:v>
                </c:pt>
                <c:pt idx="39">
                  <c:v>858361</c:v>
                </c:pt>
                <c:pt idx="40">
                  <c:v>858361</c:v>
                </c:pt>
                <c:pt idx="41">
                  <c:v>858361</c:v>
                </c:pt>
                <c:pt idx="42">
                  <c:v>858361</c:v>
                </c:pt>
                <c:pt idx="43">
                  <c:v>858361</c:v>
                </c:pt>
                <c:pt idx="44">
                  <c:v>858361</c:v>
                </c:pt>
                <c:pt idx="45">
                  <c:v>858361</c:v>
                </c:pt>
                <c:pt idx="46">
                  <c:v>858361</c:v>
                </c:pt>
                <c:pt idx="47">
                  <c:v>858361</c:v>
                </c:pt>
                <c:pt idx="48">
                  <c:v>858361</c:v>
                </c:pt>
                <c:pt idx="49">
                  <c:v>858361</c:v>
                </c:pt>
                <c:pt idx="50">
                  <c:v>858361</c:v>
                </c:pt>
                <c:pt idx="51">
                  <c:v>858361</c:v>
                </c:pt>
                <c:pt idx="52">
                  <c:v>858361</c:v>
                </c:pt>
                <c:pt idx="53">
                  <c:v>858361</c:v>
                </c:pt>
                <c:pt idx="54">
                  <c:v>858361</c:v>
                </c:pt>
                <c:pt idx="55">
                  <c:v>858361</c:v>
                </c:pt>
                <c:pt idx="56">
                  <c:v>858361</c:v>
                </c:pt>
                <c:pt idx="57">
                  <c:v>858361</c:v>
                </c:pt>
                <c:pt idx="58">
                  <c:v>858361</c:v>
                </c:pt>
                <c:pt idx="59">
                  <c:v>858361</c:v>
                </c:pt>
                <c:pt idx="60">
                  <c:v>858361</c:v>
                </c:pt>
                <c:pt idx="61">
                  <c:v>858361</c:v>
                </c:pt>
                <c:pt idx="62">
                  <c:v>858361</c:v>
                </c:pt>
                <c:pt idx="63">
                  <c:v>858361</c:v>
                </c:pt>
                <c:pt idx="64">
                  <c:v>858361</c:v>
                </c:pt>
                <c:pt idx="65">
                  <c:v>858361</c:v>
                </c:pt>
                <c:pt idx="66">
                  <c:v>858361</c:v>
                </c:pt>
                <c:pt idx="67">
                  <c:v>858361</c:v>
                </c:pt>
                <c:pt idx="68">
                  <c:v>858361</c:v>
                </c:pt>
                <c:pt idx="69">
                  <c:v>858361</c:v>
                </c:pt>
                <c:pt idx="70">
                  <c:v>858361</c:v>
                </c:pt>
                <c:pt idx="71">
                  <c:v>858361</c:v>
                </c:pt>
                <c:pt idx="72">
                  <c:v>858361</c:v>
                </c:pt>
                <c:pt idx="73">
                  <c:v>858361</c:v>
                </c:pt>
                <c:pt idx="74">
                  <c:v>858361</c:v>
                </c:pt>
                <c:pt idx="75">
                  <c:v>858361</c:v>
                </c:pt>
                <c:pt idx="76">
                  <c:v>858361</c:v>
                </c:pt>
                <c:pt idx="77">
                  <c:v>858361</c:v>
                </c:pt>
                <c:pt idx="78">
                  <c:v>858361</c:v>
                </c:pt>
                <c:pt idx="79">
                  <c:v>858361</c:v>
                </c:pt>
                <c:pt idx="80">
                  <c:v>858361</c:v>
                </c:pt>
                <c:pt idx="81">
                  <c:v>858361</c:v>
                </c:pt>
                <c:pt idx="82">
                  <c:v>858361</c:v>
                </c:pt>
                <c:pt idx="83">
                  <c:v>858361</c:v>
                </c:pt>
                <c:pt idx="84">
                  <c:v>858361</c:v>
                </c:pt>
                <c:pt idx="85">
                  <c:v>858361</c:v>
                </c:pt>
                <c:pt idx="86">
                  <c:v>858361</c:v>
                </c:pt>
                <c:pt idx="87">
                  <c:v>858361</c:v>
                </c:pt>
                <c:pt idx="88">
                  <c:v>858361</c:v>
                </c:pt>
                <c:pt idx="89">
                  <c:v>858361</c:v>
                </c:pt>
                <c:pt idx="90">
                  <c:v>858361</c:v>
                </c:pt>
                <c:pt idx="91">
                  <c:v>858361</c:v>
                </c:pt>
                <c:pt idx="92">
                  <c:v>858361</c:v>
                </c:pt>
                <c:pt idx="93">
                  <c:v>858361</c:v>
                </c:pt>
                <c:pt idx="94">
                  <c:v>858361</c:v>
                </c:pt>
                <c:pt idx="95">
                  <c:v>858361</c:v>
                </c:pt>
                <c:pt idx="96">
                  <c:v>858361</c:v>
                </c:pt>
                <c:pt idx="97">
                  <c:v>858361</c:v>
                </c:pt>
                <c:pt idx="98">
                  <c:v>858361</c:v>
                </c:pt>
                <c:pt idx="99">
                  <c:v>858361</c:v>
                </c:pt>
                <c:pt idx="100">
                  <c:v>858361</c:v>
                </c:pt>
                <c:pt idx="101">
                  <c:v>858361</c:v>
                </c:pt>
                <c:pt idx="102">
                  <c:v>858361</c:v>
                </c:pt>
                <c:pt idx="103">
                  <c:v>858361</c:v>
                </c:pt>
                <c:pt idx="104">
                  <c:v>858361</c:v>
                </c:pt>
                <c:pt idx="105">
                  <c:v>858361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89-4770-BA63-C8C704781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1000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Kerosene</a:t>
            </a:r>
            <a:r>
              <a:rPr lang="en-NZ" baseline="0"/>
              <a:t> </a:t>
            </a:r>
            <a:r>
              <a:rPr lang="en-NZ"/>
              <a:t>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1"/>
          <c:order val="0"/>
          <c:tx>
            <c:v>Kero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Report'!$U$4:$U$109</c:f>
              <c:numCache>
                <c:formatCode>#,##0_ ;\-#,##0\ </c:formatCode>
                <c:ptCount val="106"/>
                <c:pt idx="0">
                  <c:v>339785</c:v>
                </c:pt>
                <c:pt idx="1">
                  <c:v>339500</c:v>
                </c:pt>
                <c:pt idx="2">
                  <c:v>339500</c:v>
                </c:pt>
                <c:pt idx="3">
                  <c:v>296708</c:v>
                </c:pt>
                <c:pt idx="4">
                  <c:v>296708</c:v>
                </c:pt>
                <c:pt idx="5">
                  <c:v>296708</c:v>
                </c:pt>
                <c:pt idx="6">
                  <c:v>296696</c:v>
                </c:pt>
                <c:pt idx="7">
                  <c:v>237758</c:v>
                </c:pt>
                <c:pt idx="8">
                  <c:v>246962</c:v>
                </c:pt>
                <c:pt idx="9">
                  <c:v>228225</c:v>
                </c:pt>
                <c:pt idx="10">
                  <c:v>595090</c:v>
                </c:pt>
                <c:pt idx="11">
                  <c:v>595090</c:v>
                </c:pt>
                <c:pt idx="12">
                  <c:v>595090</c:v>
                </c:pt>
                <c:pt idx="13">
                  <c:v>400527</c:v>
                </c:pt>
                <c:pt idx="14">
                  <c:v>349463</c:v>
                </c:pt>
                <c:pt idx="15">
                  <c:v>325604</c:v>
                </c:pt>
                <c:pt idx="16">
                  <c:v>269126</c:v>
                </c:pt>
                <c:pt idx="17">
                  <c:v>269126</c:v>
                </c:pt>
                <c:pt idx="18">
                  <c:v>269126</c:v>
                </c:pt>
                <c:pt idx="19">
                  <c:v>269126</c:v>
                </c:pt>
                <c:pt idx="20">
                  <c:v>269126</c:v>
                </c:pt>
                <c:pt idx="21">
                  <c:v>250338</c:v>
                </c:pt>
                <c:pt idx="22">
                  <c:v>228309</c:v>
                </c:pt>
                <c:pt idx="23">
                  <c:v>209082</c:v>
                </c:pt>
                <c:pt idx="24">
                  <c:v>505156</c:v>
                </c:pt>
                <c:pt idx="25">
                  <c:v>505156</c:v>
                </c:pt>
                <c:pt idx="26">
                  <c:v>505156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9-41A0-B183-0CF439B753E2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Report'!$AI$4:$AI$109</c:f>
              <c:numCache>
                <c:formatCode>#,##0_ ;\-#,##0\ </c:formatCode>
                <c:ptCount val="106"/>
                <c:pt idx="0">
                  <c:v>24500</c:v>
                </c:pt>
                <c:pt idx="1">
                  <c:v>24500</c:v>
                </c:pt>
                <c:pt idx="2">
                  <c:v>24500</c:v>
                </c:pt>
                <c:pt idx="3">
                  <c:v>24500</c:v>
                </c:pt>
                <c:pt idx="4">
                  <c:v>24500</c:v>
                </c:pt>
                <c:pt idx="5">
                  <c:v>24500</c:v>
                </c:pt>
                <c:pt idx="6">
                  <c:v>24500</c:v>
                </c:pt>
                <c:pt idx="7">
                  <c:v>24500</c:v>
                </c:pt>
                <c:pt idx="8">
                  <c:v>24500</c:v>
                </c:pt>
                <c:pt idx="9">
                  <c:v>24500</c:v>
                </c:pt>
                <c:pt idx="10">
                  <c:v>24500</c:v>
                </c:pt>
                <c:pt idx="11">
                  <c:v>24500</c:v>
                </c:pt>
                <c:pt idx="12">
                  <c:v>24500</c:v>
                </c:pt>
                <c:pt idx="13">
                  <c:v>24500</c:v>
                </c:pt>
                <c:pt idx="14">
                  <c:v>24500</c:v>
                </c:pt>
                <c:pt idx="15">
                  <c:v>24500</c:v>
                </c:pt>
                <c:pt idx="16">
                  <c:v>24500</c:v>
                </c:pt>
                <c:pt idx="17">
                  <c:v>24500</c:v>
                </c:pt>
                <c:pt idx="18">
                  <c:v>24500</c:v>
                </c:pt>
                <c:pt idx="19">
                  <c:v>24500</c:v>
                </c:pt>
                <c:pt idx="20">
                  <c:v>24500</c:v>
                </c:pt>
                <c:pt idx="21">
                  <c:v>24500</c:v>
                </c:pt>
                <c:pt idx="22">
                  <c:v>24500</c:v>
                </c:pt>
                <c:pt idx="23">
                  <c:v>24500</c:v>
                </c:pt>
                <c:pt idx="24">
                  <c:v>24500</c:v>
                </c:pt>
                <c:pt idx="25">
                  <c:v>24500</c:v>
                </c:pt>
                <c:pt idx="26">
                  <c:v>24500</c:v>
                </c:pt>
                <c:pt idx="27">
                  <c:v>24500</c:v>
                </c:pt>
                <c:pt idx="28">
                  <c:v>24500</c:v>
                </c:pt>
                <c:pt idx="29">
                  <c:v>24500</c:v>
                </c:pt>
                <c:pt idx="30">
                  <c:v>24500</c:v>
                </c:pt>
                <c:pt idx="31">
                  <c:v>24500</c:v>
                </c:pt>
                <c:pt idx="32">
                  <c:v>24500</c:v>
                </c:pt>
                <c:pt idx="33">
                  <c:v>24500</c:v>
                </c:pt>
                <c:pt idx="34">
                  <c:v>24500</c:v>
                </c:pt>
                <c:pt idx="35">
                  <c:v>24500</c:v>
                </c:pt>
                <c:pt idx="36">
                  <c:v>24500</c:v>
                </c:pt>
                <c:pt idx="37">
                  <c:v>24500</c:v>
                </c:pt>
                <c:pt idx="38">
                  <c:v>24500</c:v>
                </c:pt>
                <c:pt idx="39">
                  <c:v>24500</c:v>
                </c:pt>
                <c:pt idx="40">
                  <c:v>24500</c:v>
                </c:pt>
                <c:pt idx="41">
                  <c:v>24500</c:v>
                </c:pt>
                <c:pt idx="42">
                  <c:v>24500</c:v>
                </c:pt>
                <c:pt idx="43">
                  <c:v>24500</c:v>
                </c:pt>
                <c:pt idx="44">
                  <c:v>24500</c:v>
                </c:pt>
                <c:pt idx="45">
                  <c:v>24500</c:v>
                </c:pt>
                <c:pt idx="46">
                  <c:v>24500</c:v>
                </c:pt>
                <c:pt idx="47">
                  <c:v>24500</c:v>
                </c:pt>
                <c:pt idx="48">
                  <c:v>24500</c:v>
                </c:pt>
                <c:pt idx="49">
                  <c:v>24500</c:v>
                </c:pt>
                <c:pt idx="50">
                  <c:v>24500</c:v>
                </c:pt>
                <c:pt idx="51">
                  <c:v>24500</c:v>
                </c:pt>
                <c:pt idx="52">
                  <c:v>24500</c:v>
                </c:pt>
                <c:pt idx="53">
                  <c:v>24500</c:v>
                </c:pt>
                <c:pt idx="54">
                  <c:v>24500</c:v>
                </c:pt>
                <c:pt idx="55">
                  <c:v>24500</c:v>
                </c:pt>
                <c:pt idx="56">
                  <c:v>24500</c:v>
                </c:pt>
                <c:pt idx="57">
                  <c:v>24500</c:v>
                </c:pt>
                <c:pt idx="58">
                  <c:v>24500</c:v>
                </c:pt>
                <c:pt idx="59">
                  <c:v>24500</c:v>
                </c:pt>
                <c:pt idx="60">
                  <c:v>24500</c:v>
                </c:pt>
                <c:pt idx="61">
                  <c:v>24500</c:v>
                </c:pt>
                <c:pt idx="62">
                  <c:v>24500</c:v>
                </c:pt>
                <c:pt idx="63">
                  <c:v>24500</c:v>
                </c:pt>
                <c:pt idx="64">
                  <c:v>24500</c:v>
                </c:pt>
                <c:pt idx="65">
                  <c:v>24500</c:v>
                </c:pt>
                <c:pt idx="66">
                  <c:v>24500</c:v>
                </c:pt>
                <c:pt idx="67">
                  <c:v>24500</c:v>
                </c:pt>
                <c:pt idx="68">
                  <c:v>24500</c:v>
                </c:pt>
                <c:pt idx="69">
                  <c:v>24500</c:v>
                </c:pt>
                <c:pt idx="70">
                  <c:v>24500</c:v>
                </c:pt>
                <c:pt idx="71">
                  <c:v>24500</c:v>
                </c:pt>
                <c:pt idx="72">
                  <c:v>24500</c:v>
                </c:pt>
                <c:pt idx="73">
                  <c:v>24500</c:v>
                </c:pt>
                <c:pt idx="74">
                  <c:v>24500</c:v>
                </c:pt>
                <c:pt idx="75">
                  <c:v>24500</c:v>
                </c:pt>
                <c:pt idx="76">
                  <c:v>24500</c:v>
                </c:pt>
                <c:pt idx="77">
                  <c:v>24500</c:v>
                </c:pt>
                <c:pt idx="78">
                  <c:v>24500</c:v>
                </c:pt>
                <c:pt idx="79">
                  <c:v>24500</c:v>
                </c:pt>
                <c:pt idx="80">
                  <c:v>24500</c:v>
                </c:pt>
                <c:pt idx="81">
                  <c:v>24500</c:v>
                </c:pt>
                <c:pt idx="82">
                  <c:v>24500</c:v>
                </c:pt>
                <c:pt idx="83">
                  <c:v>24500</c:v>
                </c:pt>
                <c:pt idx="84">
                  <c:v>24500</c:v>
                </c:pt>
                <c:pt idx="85">
                  <c:v>24500</c:v>
                </c:pt>
                <c:pt idx="86">
                  <c:v>24500</c:v>
                </c:pt>
                <c:pt idx="87">
                  <c:v>24500</c:v>
                </c:pt>
                <c:pt idx="88">
                  <c:v>24500</c:v>
                </c:pt>
                <c:pt idx="89">
                  <c:v>24500</c:v>
                </c:pt>
                <c:pt idx="90">
                  <c:v>24500</c:v>
                </c:pt>
                <c:pt idx="91">
                  <c:v>24500</c:v>
                </c:pt>
                <c:pt idx="92">
                  <c:v>24500</c:v>
                </c:pt>
                <c:pt idx="93">
                  <c:v>24500</c:v>
                </c:pt>
                <c:pt idx="94">
                  <c:v>24500</c:v>
                </c:pt>
                <c:pt idx="95">
                  <c:v>24500</c:v>
                </c:pt>
                <c:pt idx="96">
                  <c:v>24500</c:v>
                </c:pt>
                <c:pt idx="97">
                  <c:v>24500</c:v>
                </c:pt>
                <c:pt idx="98">
                  <c:v>24500</c:v>
                </c:pt>
                <c:pt idx="99">
                  <c:v>24500</c:v>
                </c:pt>
                <c:pt idx="100">
                  <c:v>24500</c:v>
                </c:pt>
                <c:pt idx="101">
                  <c:v>24500</c:v>
                </c:pt>
                <c:pt idx="102">
                  <c:v>24500</c:v>
                </c:pt>
                <c:pt idx="103">
                  <c:v>24500</c:v>
                </c:pt>
                <c:pt idx="104">
                  <c:v>24500</c:v>
                </c:pt>
                <c:pt idx="105">
                  <c:v>24500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9-41A0-B183-0CF439B753E2}"/>
            </c:ext>
          </c:extLst>
        </c:ser>
        <c:ser>
          <c:idx val="2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Report'!$AJ$4:$AJ$109</c:f>
              <c:numCache>
                <c:formatCode>#,##0_ ;\-#,##0\ </c:formatCode>
                <c:ptCount val="106"/>
                <c:pt idx="0">
                  <c:v>589571</c:v>
                </c:pt>
                <c:pt idx="1">
                  <c:v>589571</c:v>
                </c:pt>
                <c:pt idx="2">
                  <c:v>589571</c:v>
                </c:pt>
                <c:pt idx="3">
                  <c:v>589571</c:v>
                </c:pt>
                <c:pt idx="4">
                  <c:v>589571</c:v>
                </c:pt>
                <c:pt idx="5">
                  <c:v>589571</c:v>
                </c:pt>
                <c:pt idx="6">
                  <c:v>589571</c:v>
                </c:pt>
                <c:pt idx="7">
                  <c:v>589571</c:v>
                </c:pt>
                <c:pt idx="8">
                  <c:v>589571</c:v>
                </c:pt>
                <c:pt idx="9">
                  <c:v>589571</c:v>
                </c:pt>
                <c:pt idx="10">
                  <c:v>589571</c:v>
                </c:pt>
                <c:pt idx="11">
                  <c:v>589571</c:v>
                </c:pt>
                <c:pt idx="12">
                  <c:v>589571</c:v>
                </c:pt>
                <c:pt idx="13">
                  <c:v>589571</c:v>
                </c:pt>
                <c:pt idx="14">
                  <c:v>589571</c:v>
                </c:pt>
                <c:pt idx="15">
                  <c:v>589571</c:v>
                </c:pt>
                <c:pt idx="16">
                  <c:v>589571</c:v>
                </c:pt>
                <c:pt idx="17">
                  <c:v>589571</c:v>
                </c:pt>
                <c:pt idx="18">
                  <c:v>589571</c:v>
                </c:pt>
                <c:pt idx="19">
                  <c:v>589571</c:v>
                </c:pt>
                <c:pt idx="20">
                  <c:v>589571</c:v>
                </c:pt>
                <c:pt idx="21">
                  <c:v>589571</c:v>
                </c:pt>
                <c:pt idx="22">
                  <c:v>589571</c:v>
                </c:pt>
                <c:pt idx="23">
                  <c:v>589571</c:v>
                </c:pt>
                <c:pt idx="24">
                  <c:v>589571</c:v>
                </c:pt>
                <c:pt idx="25">
                  <c:v>589571</c:v>
                </c:pt>
                <c:pt idx="26">
                  <c:v>589571</c:v>
                </c:pt>
                <c:pt idx="27">
                  <c:v>589571</c:v>
                </c:pt>
                <c:pt idx="28">
                  <c:v>589571</c:v>
                </c:pt>
                <c:pt idx="29">
                  <c:v>589571</c:v>
                </c:pt>
                <c:pt idx="30">
                  <c:v>589571</c:v>
                </c:pt>
                <c:pt idx="31">
                  <c:v>589571</c:v>
                </c:pt>
                <c:pt idx="32">
                  <c:v>589571</c:v>
                </c:pt>
                <c:pt idx="33">
                  <c:v>589571</c:v>
                </c:pt>
                <c:pt idx="34">
                  <c:v>589571</c:v>
                </c:pt>
                <c:pt idx="35">
                  <c:v>589571</c:v>
                </c:pt>
                <c:pt idx="36">
                  <c:v>589571</c:v>
                </c:pt>
                <c:pt idx="37">
                  <c:v>589571</c:v>
                </c:pt>
                <c:pt idx="38">
                  <c:v>589571</c:v>
                </c:pt>
                <c:pt idx="39">
                  <c:v>589571</c:v>
                </c:pt>
                <c:pt idx="40">
                  <c:v>589571</c:v>
                </c:pt>
                <c:pt idx="41">
                  <c:v>589571</c:v>
                </c:pt>
                <c:pt idx="42">
                  <c:v>589571</c:v>
                </c:pt>
                <c:pt idx="43">
                  <c:v>589571</c:v>
                </c:pt>
                <c:pt idx="44">
                  <c:v>589571</c:v>
                </c:pt>
                <c:pt idx="45">
                  <c:v>589571</c:v>
                </c:pt>
                <c:pt idx="46">
                  <c:v>589571</c:v>
                </c:pt>
                <c:pt idx="47">
                  <c:v>589571</c:v>
                </c:pt>
                <c:pt idx="48">
                  <c:v>589571</c:v>
                </c:pt>
                <c:pt idx="49">
                  <c:v>589571</c:v>
                </c:pt>
                <c:pt idx="50">
                  <c:v>589571</c:v>
                </c:pt>
                <c:pt idx="51">
                  <c:v>589571</c:v>
                </c:pt>
                <c:pt idx="52">
                  <c:v>589571</c:v>
                </c:pt>
                <c:pt idx="53">
                  <c:v>589571</c:v>
                </c:pt>
                <c:pt idx="54">
                  <c:v>589571</c:v>
                </c:pt>
                <c:pt idx="55">
                  <c:v>589571</c:v>
                </c:pt>
                <c:pt idx="56">
                  <c:v>589571</c:v>
                </c:pt>
                <c:pt idx="57">
                  <c:v>589571</c:v>
                </c:pt>
                <c:pt idx="58">
                  <c:v>589571</c:v>
                </c:pt>
                <c:pt idx="59">
                  <c:v>589571</c:v>
                </c:pt>
                <c:pt idx="60">
                  <c:v>589571</c:v>
                </c:pt>
                <c:pt idx="61">
                  <c:v>589571</c:v>
                </c:pt>
                <c:pt idx="62">
                  <c:v>589571</c:v>
                </c:pt>
                <c:pt idx="63">
                  <c:v>589571</c:v>
                </c:pt>
                <c:pt idx="64">
                  <c:v>589571</c:v>
                </c:pt>
                <c:pt idx="65">
                  <c:v>589571</c:v>
                </c:pt>
                <c:pt idx="66">
                  <c:v>589571</c:v>
                </c:pt>
                <c:pt idx="67">
                  <c:v>589571</c:v>
                </c:pt>
                <c:pt idx="68">
                  <c:v>589571</c:v>
                </c:pt>
                <c:pt idx="69">
                  <c:v>589571</c:v>
                </c:pt>
                <c:pt idx="70">
                  <c:v>589571</c:v>
                </c:pt>
                <c:pt idx="71">
                  <c:v>589571</c:v>
                </c:pt>
                <c:pt idx="72">
                  <c:v>589571</c:v>
                </c:pt>
                <c:pt idx="73">
                  <c:v>589571</c:v>
                </c:pt>
                <c:pt idx="74">
                  <c:v>589571</c:v>
                </c:pt>
                <c:pt idx="75">
                  <c:v>589571</c:v>
                </c:pt>
                <c:pt idx="76">
                  <c:v>589571</c:v>
                </c:pt>
                <c:pt idx="77">
                  <c:v>589571</c:v>
                </c:pt>
                <c:pt idx="78">
                  <c:v>589571</c:v>
                </c:pt>
                <c:pt idx="79">
                  <c:v>589571</c:v>
                </c:pt>
                <c:pt idx="80">
                  <c:v>589571</c:v>
                </c:pt>
                <c:pt idx="81">
                  <c:v>589571</c:v>
                </c:pt>
                <c:pt idx="82">
                  <c:v>589571</c:v>
                </c:pt>
                <c:pt idx="83">
                  <c:v>589571</c:v>
                </c:pt>
                <c:pt idx="84">
                  <c:v>589571</c:v>
                </c:pt>
                <c:pt idx="85">
                  <c:v>589571</c:v>
                </c:pt>
                <c:pt idx="86">
                  <c:v>589571</c:v>
                </c:pt>
                <c:pt idx="87">
                  <c:v>589571</c:v>
                </c:pt>
                <c:pt idx="88">
                  <c:v>589571</c:v>
                </c:pt>
                <c:pt idx="89">
                  <c:v>589571</c:v>
                </c:pt>
                <c:pt idx="90">
                  <c:v>589571</c:v>
                </c:pt>
                <c:pt idx="91">
                  <c:v>589571</c:v>
                </c:pt>
                <c:pt idx="92">
                  <c:v>589571</c:v>
                </c:pt>
                <c:pt idx="93">
                  <c:v>589571</c:v>
                </c:pt>
                <c:pt idx="94">
                  <c:v>589571</c:v>
                </c:pt>
                <c:pt idx="95">
                  <c:v>589571</c:v>
                </c:pt>
                <c:pt idx="96">
                  <c:v>589571</c:v>
                </c:pt>
                <c:pt idx="97">
                  <c:v>589571</c:v>
                </c:pt>
                <c:pt idx="98">
                  <c:v>589571</c:v>
                </c:pt>
                <c:pt idx="99">
                  <c:v>589571</c:v>
                </c:pt>
                <c:pt idx="100">
                  <c:v>589571</c:v>
                </c:pt>
                <c:pt idx="101">
                  <c:v>589571</c:v>
                </c:pt>
                <c:pt idx="102">
                  <c:v>589571</c:v>
                </c:pt>
                <c:pt idx="103">
                  <c:v>589571</c:v>
                </c:pt>
                <c:pt idx="104">
                  <c:v>589571</c:v>
                </c:pt>
                <c:pt idx="105">
                  <c:v>589571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49-41A0-B183-0CF439B75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650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Petrol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1"/>
          <c:order val="0"/>
          <c:tx>
            <c:v>Petrol Stock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'VAVA''U Daily Stock Report'!$N$4:$N$109</c:f>
              <c:numCache>
                <c:formatCode>#,##0_ ;\-#,##0\ </c:formatCode>
                <c:ptCount val="106"/>
                <c:pt idx="0">
                  <c:v>185205</c:v>
                </c:pt>
                <c:pt idx="1">
                  <c:v>179281</c:v>
                </c:pt>
                <c:pt idx="2">
                  <c:v>163265</c:v>
                </c:pt>
                <c:pt idx="3">
                  <c:v>159199</c:v>
                </c:pt>
                <c:pt idx="4">
                  <c:v>159199</c:v>
                </c:pt>
                <c:pt idx="5">
                  <c:v>159199</c:v>
                </c:pt>
                <c:pt idx="6">
                  <c:v>140170</c:v>
                </c:pt>
                <c:pt idx="7">
                  <c:v>125661</c:v>
                </c:pt>
                <c:pt idx="8">
                  <c:v>125360</c:v>
                </c:pt>
                <c:pt idx="9">
                  <c:v>121445</c:v>
                </c:pt>
                <c:pt idx="10">
                  <c:v>105147</c:v>
                </c:pt>
                <c:pt idx="11">
                  <c:v>105147</c:v>
                </c:pt>
                <c:pt idx="12">
                  <c:v>105147</c:v>
                </c:pt>
                <c:pt idx="13">
                  <c:v>100083</c:v>
                </c:pt>
                <c:pt idx="14">
                  <c:v>47286</c:v>
                </c:pt>
                <c:pt idx="15">
                  <c:v>47186</c:v>
                </c:pt>
                <c:pt idx="16">
                  <c:v>37116</c:v>
                </c:pt>
                <c:pt idx="17">
                  <c:v>37116</c:v>
                </c:pt>
                <c:pt idx="18">
                  <c:v>37116</c:v>
                </c:pt>
                <c:pt idx="19">
                  <c:v>37116</c:v>
                </c:pt>
                <c:pt idx="20">
                  <c:v>37116</c:v>
                </c:pt>
                <c:pt idx="21">
                  <c:v>330227</c:v>
                </c:pt>
                <c:pt idx="22">
                  <c:v>317077</c:v>
                </c:pt>
                <c:pt idx="23">
                  <c:v>317026</c:v>
                </c:pt>
                <c:pt idx="24">
                  <c:v>308594</c:v>
                </c:pt>
                <c:pt idx="25">
                  <c:v>308594</c:v>
                </c:pt>
                <c:pt idx="26">
                  <c:v>308594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91-4377-ACDB-201A90B08EA6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'VAVA''U Daily Stock Report'!$Z$4:$Z$109</c:f>
              <c:numCache>
                <c:formatCode>#,##0_ ;\-#,##0\ </c:formatCode>
                <c:ptCount val="106"/>
                <c:pt idx="0">
                  <c:v>26800</c:v>
                </c:pt>
                <c:pt idx="1">
                  <c:v>26800</c:v>
                </c:pt>
                <c:pt idx="2">
                  <c:v>26800</c:v>
                </c:pt>
                <c:pt idx="3">
                  <c:v>26800</c:v>
                </c:pt>
                <c:pt idx="4">
                  <c:v>26800</c:v>
                </c:pt>
                <c:pt idx="5">
                  <c:v>26800</c:v>
                </c:pt>
                <c:pt idx="6">
                  <c:v>26800</c:v>
                </c:pt>
                <c:pt idx="7">
                  <c:v>26800</c:v>
                </c:pt>
                <c:pt idx="8">
                  <c:v>26800</c:v>
                </c:pt>
                <c:pt idx="9">
                  <c:v>26800</c:v>
                </c:pt>
                <c:pt idx="10">
                  <c:v>26800</c:v>
                </c:pt>
                <c:pt idx="11">
                  <c:v>26800</c:v>
                </c:pt>
                <c:pt idx="12">
                  <c:v>26800</c:v>
                </c:pt>
                <c:pt idx="13">
                  <c:v>26800</c:v>
                </c:pt>
                <c:pt idx="14">
                  <c:v>26800</c:v>
                </c:pt>
                <c:pt idx="15">
                  <c:v>26800</c:v>
                </c:pt>
                <c:pt idx="16">
                  <c:v>26800</c:v>
                </c:pt>
                <c:pt idx="17">
                  <c:v>26800</c:v>
                </c:pt>
                <c:pt idx="18">
                  <c:v>26800</c:v>
                </c:pt>
                <c:pt idx="19">
                  <c:v>26800</c:v>
                </c:pt>
                <c:pt idx="20">
                  <c:v>26800</c:v>
                </c:pt>
                <c:pt idx="21">
                  <c:v>26800</c:v>
                </c:pt>
                <c:pt idx="22">
                  <c:v>26800</c:v>
                </c:pt>
                <c:pt idx="23">
                  <c:v>26800</c:v>
                </c:pt>
                <c:pt idx="24">
                  <c:v>26800</c:v>
                </c:pt>
                <c:pt idx="25">
                  <c:v>26800</c:v>
                </c:pt>
                <c:pt idx="26">
                  <c:v>26800</c:v>
                </c:pt>
                <c:pt idx="27">
                  <c:v>26800</c:v>
                </c:pt>
                <c:pt idx="28">
                  <c:v>26800</c:v>
                </c:pt>
                <c:pt idx="29">
                  <c:v>26800</c:v>
                </c:pt>
                <c:pt idx="30">
                  <c:v>26800</c:v>
                </c:pt>
                <c:pt idx="31">
                  <c:v>26800</c:v>
                </c:pt>
                <c:pt idx="32">
                  <c:v>26800</c:v>
                </c:pt>
                <c:pt idx="33">
                  <c:v>26800</c:v>
                </c:pt>
                <c:pt idx="34">
                  <c:v>26800</c:v>
                </c:pt>
                <c:pt idx="35">
                  <c:v>26800</c:v>
                </c:pt>
                <c:pt idx="36">
                  <c:v>26800</c:v>
                </c:pt>
                <c:pt idx="37">
                  <c:v>26800</c:v>
                </c:pt>
                <c:pt idx="38">
                  <c:v>26800</c:v>
                </c:pt>
                <c:pt idx="39">
                  <c:v>26800</c:v>
                </c:pt>
                <c:pt idx="40">
                  <c:v>26800</c:v>
                </c:pt>
                <c:pt idx="41">
                  <c:v>26800</c:v>
                </c:pt>
                <c:pt idx="42">
                  <c:v>26800</c:v>
                </c:pt>
                <c:pt idx="43">
                  <c:v>26800</c:v>
                </c:pt>
                <c:pt idx="44">
                  <c:v>26800</c:v>
                </c:pt>
                <c:pt idx="45">
                  <c:v>26800</c:v>
                </c:pt>
                <c:pt idx="46">
                  <c:v>26800</c:v>
                </c:pt>
                <c:pt idx="47">
                  <c:v>26800</c:v>
                </c:pt>
                <c:pt idx="48">
                  <c:v>26800</c:v>
                </c:pt>
                <c:pt idx="49">
                  <c:v>26800</c:v>
                </c:pt>
                <c:pt idx="50">
                  <c:v>26800</c:v>
                </c:pt>
                <c:pt idx="51">
                  <c:v>26800</c:v>
                </c:pt>
                <c:pt idx="52">
                  <c:v>26800</c:v>
                </c:pt>
                <c:pt idx="53">
                  <c:v>26800</c:v>
                </c:pt>
                <c:pt idx="54">
                  <c:v>26800</c:v>
                </c:pt>
                <c:pt idx="55">
                  <c:v>26800</c:v>
                </c:pt>
                <c:pt idx="56">
                  <c:v>26800</c:v>
                </c:pt>
                <c:pt idx="57">
                  <c:v>26800</c:v>
                </c:pt>
                <c:pt idx="58">
                  <c:v>26800</c:v>
                </c:pt>
                <c:pt idx="59">
                  <c:v>26800</c:v>
                </c:pt>
                <c:pt idx="60">
                  <c:v>26800</c:v>
                </c:pt>
                <c:pt idx="61">
                  <c:v>26800</c:v>
                </c:pt>
                <c:pt idx="62">
                  <c:v>26800</c:v>
                </c:pt>
                <c:pt idx="63">
                  <c:v>26800</c:v>
                </c:pt>
                <c:pt idx="64">
                  <c:v>26800</c:v>
                </c:pt>
                <c:pt idx="65">
                  <c:v>26800</c:v>
                </c:pt>
                <c:pt idx="66">
                  <c:v>26800</c:v>
                </c:pt>
                <c:pt idx="67">
                  <c:v>26800</c:v>
                </c:pt>
                <c:pt idx="68">
                  <c:v>26800</c:v>
                </c:pt>
                <c:pt idx="69">
                  <c:v>26800</c:v>
                </c:pt>
                <c:pt idx="70">
                  <c:v>26800</c:v>
                </c:pt>
                <c:pt idx="71">
                  <c:v>26800</c:v>
                </c:pt>
                <c:pt idx="72">
                  <c:v>26800</c:v>
                </c:pt>
                <c:pt idx="73">
                  <c:v>26800</c:v>
                </c:pt>
                <c:pt idx="74">
                  <c:v>26800</c:v>
                </c:pt>
                <c:pt idx="75">
                  <c:v>26800</c:v>
                </c:pt>
                <c:pt idx="76">
                  <c:v>26800</c:v>
                </c:pt>
                <c:pt idx="77">
                  <c:v>26800</c:v>
                </c:pt>
                <c:pt idx="78">
                  <c:v>26800</c:v>
                </c:pt>
                <c:pt idx="79">
                  <c:v>26800</c:v>
                </c:pt>
                <c:pt idx="80">
                  <c:v>26800</c:v>
                </c:pt>
                <c:pt idx="81">
                  <c:v>26800</c:v>
                </c:pt>
                <c:pt idx="82">
                  <c:v>26800</c:v>
                </c:pt>
                <c:pt idx="83">
                  <c:v>26800</c:v>
                </c:pt>
                <c:pt idx="84">
                  <c:v>26800</c:v>
                </c:pt>
                <c:pt idx="85">
                  <c:v>26800</c:v>
                </c:pt>
                <c:pt idx="86">
                  <c:v>26800</c:v>
                </c:pt>
                <c:pt idx="87">
                  <c:v>26800</c:v>
                </c:pt>
                <c:pt idx="88">
                  <c:v>26800</c:v>
                </c:pt>
                <c:pt idx="89">
                  <c:v>26800</c:v>
                </c:pt>
                <c:pt idx="90">
                  <c:v>26800</c:v>
                </c:pt>
                <c:pt idx="91">
                  <c:v>26800</c:v>
                </c:pt>
                <c:pt idx="92">
                  <c:v>26800</c:v>
                </c:pt>
                <c:pt idx="93">
                  <c:v>26800</c:v>
                </c:pt>
                <c:pt idx="94">
                  <c:v>26800</c:v>
                </c:pt>
                <c:pt idx="95">
                  <c:v>26800</c:v>
                </c:pt>
                <c:pt idx="96">
                  <c:v>26800</c:v>
                </c:pt>
                <c:pt idx="97">
                  <c:v>26800</c:v>
                </c:pt>
                <c:pt idx="98">
                  <c:v>26800</c:v>
                </c:pt>
                <c:pt idx="99">
                  <c:v>26800</c:v>
                </c:pt>
                <c:pt idx="100">
                  <c:v>26800</c:v>
                </c:pt>
                <c:pt idx="101">
                  <c:v>26800</c:v>
                </c:pt>
                <c:pt idx="102">
                  <c:v>26800</c:v>
                </c:pt>
                <c:pt idx="103">
                  <c:v>26800</c:v>
                </c:pt>
                <c:pt idx="104">
                  <c:v>26800</c:v>
                </c:pt>
                <c:pt idx="105">
                  <c:v>26800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91-4377-ACDB-201A90B08EA6}"/>
            </c:ext>
          </c:extLst>
        </c:ser>
        <c:ser>
          <c:idx val="2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'VAVA''U Daily Stock Report'!$AA$4:$AA$109</c:f>
              <c:numCache>
                <c:formatCode>#,##0_ ;\-#,##0\ </c:formatCode>
                <c:ptCount val="106"/>
                <c:pt idx="0">
                  <c:v>357582</c:v>
                </c:pt>
                <c:pt idx="1">
                  <c:v>357582</c:v>
                </c:pt>
                <c:pt idx="2">
                  <c:v>357582</c:v>
                </c:pt>
                <c:pt idx="3">
                  <c:v>357582</c:v>
                </c:pt>
                <c:pt idx="4">
                  <c:v>357582</c:v>
                </c:pt>
                <c:pt idx="5">
                  <c:v>357582</c:v>
                </c:pt>
                <c:pt idx="6">
                  <c:v>357582</c:v>
                </c:pt>
                <c:pt idx="7">
                  <c:v>357582</c:v>
                </c:pt>
                <c:pt idx="8">
                  <c:v>357582</c:v>
                </c:pt>
                <c:pt idx="9">
                  <c:v>357582</c:v>
                </c:pt>
                <c:pt idx="10">
                  <c:v>357582</c:v>
                </c:pt>
                <c:pt idx="11">
                  <c:v>357582</c:v>
                </c:pt>
                <c:pt idx="12">
                  <c:v>357582</c:v>
                </c:pt>
                <c:pt idx="13">
                  <c:v>357582</c:v>
                </c:pt>
                <c:pt idx="14">
                  <c:v>357582</c:v>
                </c:pt>
                <c:pt idx="15">
                  <c:v>357582</c:v>
                </c:pt>
                <c:pt idx="16">
                  <c:v>357582</c:v>
                </c:pt>
                <c:pt idx="17">
                  <c:v>357582</c:v>
                </c:pt>
                <c:pt idx="18">
                  <c:v>357582</c:v>
                </c:pt>
                <c:pt idx="19">
                  <c:v>357582</c:v>
                </c:pt>
                <c:pt idx="20">
                  <c:v>357582</c:v>
                </c:pt>
                <c:pt idx="21">
                  <c:v>357582</c:v>
                </c:pt>
                <c:pt idx="22">
                  <c:v>357582</c:v>
                </c:pt>
                <c:pt idx="23">
                  <c:v>357582</c:v>
                </c:pt>
                <c:pt idx="24">
                  <c:v>357582</c:v>
                </c:pt>
                <c:pt idx="25">
                  <c:v>357582</c:v>
                </c:pt>
                <c:pt idx="26">
                  <c:v>357582</c:v>
                </c:pt>
                <c:pt idx="27">
                  <c:v>357582</c:v>
                </c:pt>
                <c:pt idx="28">
                  <c:v>357582</c:v>
                </c:pt>
                <c:pt idx="29">
                  <c:v>357582</c:v>
                </c:pt>
                <c:pt idx="30">
                  <c:v>357582</c:v>
                </c:pt>
                <c:pt idx="31">
                  <c:v>357582</c:v>
                </c:pt>
                <c:pt idx="32">
                  <c:v>357582</c:v>
                </c:pt>
                <c:pt idx="33">
                  <c:v>357582</c:v>
                </c:pt>
                <c:pt idx="34">
                  <c:v>357582</c:v>
                </c:pt>
                <c:pt idx="35">
                  <c:v>357582</c:v>
                </c:pt>
                <c:pt idx="36">
                  <c:v>357582</c:v>
                </c:pt>
                <c:pt idx="37">
                  <c:v>357582</c:v>
                </c:pt>
                <c:pt idx="38">
                  <c:v>357582</c:v>
                </c:pt>
                <c:pt idx="39">
                  <c:v>357582</c:v>
                </c:pt>
                <c:pt idx="40">
                  <c:v>357582</c:v>
                </c:pt>
                <c:pt idx="41">
                  <c:v>357582</c:v>
                </c:pt>
                <c:pt idx="42">
                  <c:v>357582</c:v>
                </c:pt>
                <c:pt idx="43">
                  <c:v>357582</c:v>
                </c:pt>
                <c:pt idx="44">
                  <c:v>357582</c:v>
                </c:pt>
                <c:pt idx="45">
                  <c:v>357582</c:v>
                </c:pt>
                <c:pt idx="46">
                  <c:v>357582</c:v>
                </c:pt>
                <c:pt idx="47">
                  <c:v>357582</c:v>
                </c:pt>
                <c:pt idx="48">
                  <c:v>357582</c:v>
                </c:pt>
                <c:pt idx="49">
                  <c:v>357582</c:v>
                </c:pt>
                <c:pt idx="50">
                  <c:v>357582</c:v>
                </c:pt>
                <c:pt idx="51">
                  <c:v>357582</c:v>
                </c:pt>
                <c:pt idx="52">
                  <c:v>357582</c:v>
                </c:pt>
                <c:pt idx="53">
                  <c:v>357582</c:v>
                </c:pt>
                <c:pt idx="54">
                  <c:v>357582</c:v>
                </c:pt>
                <c:pt idx="55">
                  <c:v>357582</c:v>
                </c:pt>
                <c:pt idx="56">
                  <c:v>357582</c:v>
                </c:pt>
                <c:pt idx="57">
                  <c:v>357582</c:v>
                </c:pt>
                <c:pt idx="58">
                  <c:v>357582</c:v>
                </c:pt>
                <c:pt idx="59">
                  <c:v>357582</c:v>
                </c:pt>
                <c:pt idx="60">
                  <c:v>357582</c:v>
                </c:pt>
                <c:pt idx="61">
                  <c:v>357582</c:v>
                </c:pt>
                <c:pt idx="62">
                  <c:v>357582</c:v>
                </c:pt>
                <c:pt idx="63">
                  <c:v>357582</c:v>
                </c:pt>
                <c:pt idx="64">
                  <c:v>357582</c:v>
                </c:pt>
                <c:pt idx="65">
                  <c:v>357582</c:v>
                </c:pt>
                <c:pt idx="66">
                  <c:v>357582</c:v>
                </c:pt>
                <c:pt idx="67">
                  <c:v>357582</c:v>
                </c:pt>
                <c:pt idx="68">
                  <c:v>357582</c:v>
                </c:pt>
                <c:pt idx="69">
                  <c:v>357582</c:v>
                </c:pt>
                <c:pt idx="70">
                  <c:v>357582</c:v>
                </c:pt>
                <c:pt idx="71">
                  <c:v>357582</c:v>
                </c:pt>
                <c:pt idx="72">
                  <c:v>357582</c:v>
                </c:pt>
                <c:pt idx="73">
                  <c:v>357582</c:v>
                </c:pt>
                <c:pt idx="74">
                  <c:v>357582</c:v>
                </c:pt>
                <c:pt idx="75">
                  <c:v>357582</c:v>
                </c:pt>
                <c:pt idx="76">
                  <c:v>357582</c:v>
                </c:pt>
                <c:pt idx="77">
                  <c:v>357582</c:v>
                </c:pt>
                <c:pt idx="78">
                  <c:v>357582</c:v>
                </c:pt>
                <c:pt idx="79">
                  <c:v>357582</c:v>
                </c:pt>
                <c:pt idx="80">
                  <c:v>357582</c:v>
                </c:pt>
                <c:pt idx="81">
                  <c:v>357582</c:v>
                </c:pt>
                <c:pt idx="82">
                  <c:v>357582</c:v>
                </c:pt>
                <c:pt idx="83">
                  <c:v>357582</c:v>
                </c:pt>
                <c:pt idx="84">
                  <c:v>357582</c:v>
                </c:pt>
                <c:pt idx="85">
                  <c:v>357582</c:v>
                </c:pt>
                <c:pt idx="86">
                  <c:v>357582</c:v>
                </c:pt>
                <c:pt idx="87">
                  <c:v>357582</c:v>
                </c:pt>
                <c:pt idx="88">
                  <c:v>357582</c:v>
                </c:pt>
                <c:pt idx="89">
                  <c:v>357582</c:v>
                </c:pt>
                <c:pt idx="90">
                  <c:v>357582</c:v>
                </c:pt>
                <c:pt idx="91">
                  <c:v>357582</c:v>
                </c:pt>
                <c:pt idx="92">
                  <c:v>357582</c:v>
                </c:pt>
                <c:pt idx="93">
                  <c:v>357582</c:v>
                </c:pt>
                <c:pt idx="94">
                  <c:v>357582</c:v>
                </c:pt>
                <c:pt idx="95">
                  <c:v>357582</c:v>
                </c:pt>
                <c:pt idx="96">
                  <c:v>357582</c:v>
                </c:pt>
                <c:pt idx="97">
                  <c:v>357582</c:v>
                </c:pt>
                <c:pt idx="98">
                  <c:v>357582</c:v>
                </c:pt>
                <c:pt idx="99">
                  <c:v>357582</c:v>
                </c:pt>
                <c:pt idx="100">
                  <c:v>357582</c:v>
                </c:pt>
                <c:pt idx="101">
                  <c:v>357582</c:v>
                </c:pt>
                <c:pt idx="102">
                  <c:v>357582</c:v>
                </c:pt>
                <c:pt idx="103">
                  <c:v>357582</c:v>
                </c:pt>
                <c:pt idx="104">
                  <c:v>357582</c:v>
                </c:pt>
                <c:pt idx="105">
                  <c:v>357582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91-4377-ACDB-201A90B08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400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Diesel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3"/>
          <c:order val="0"/>
          <c:tx>
            <c:v>Diesel Stock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'VAVA''U Daily Stock Report'!$P$4:$P$109</c:f>
              <c:numCache>
                <c:formatCode>#,##0_ ;\-#,##0\ </c:formatCode>
                <c:ptCount val="106"/>
                <c:pt idx="0">
                  <c:v>213744</c:v>
                </c:pt>
                <c:pt idx="1">
                  <c:v>208512</c:v>
                </c:pt>
                <c:pt idx="2">
                  <c:v>198105</c:v>
                </c:pt>
                <c:pt idx="3">
                  <c:v>194409</c:v>
                </c:pt>
                <c:pt idx="4">
                  <c:v>194409</c:v>
                </c:pt>
                <c:pt idx="5">
                  <c:v>194409</c:v>
                </c:pt>
                <c:pt idx="6">
                  <c:v>177520</c:v>
                </c:pt>
                <c:pt idx="7">
                  <c:v>172226</c:v>
                </c:pt>
                <c:pt idx="8">
                  <c:v>168786</c:v>
                </c:pt>
                <c:pt idx="9">
                  <c:v>164156</c:v>
                </c:pt>
                <c:pt idx="10">
                  <c:v>157835</c:v>
                </c:pt>
                <c:pt idx="11">
                  <c:v>157835</c:v>
                </c:pt>
                <c:pt idx="12">
                  <c:v>157835</c:v>
                </c:pt>
                <c:pt idx="13">
                  <c:v>151790</c:v>
                </c:pt>
                <c:pt idx="14">
                  <c:v>111464</c:v>
                </c:pt>
                <c:pt idx="15">
                  <c:v>111316</c:v>
                </c:pt>
                <c:pt idx="16">
                  <c:v>109381</c:v>
                </c:pt>
                <c:pt idx="17">
                  <c:v>109381</c:v>
                </c:pt>
                <c:pt idx="18">
                  <c:v>109381</c:v>
                </c:pt>
                <c:pt idx="19">
                  <c:v>109381</c:v>
                </c:pt>
                <c:pt idx="20">
                  <c:v>109381</c:v>
                </c:pt>
                <c:pt idx="21">
                  <c:v>235313</c:v>
                </c:pt>
                <c:pt idx="22">
                  <c:v>232250</c:v>
                </c:pt>
                <c:pt idx="23">
                  <c:v>231976</c:v>
                </c:pt>
                <c:pt idx="24">
                  <c:v>227253</c:v>
                </c:pt>
                <c:pt idx="25">
                  <c:v>227253</c:v>
                </c:pt>
                <c:pt idx="26">
                  <c:v>227253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96-4253-850A-56B93216E041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'VAVA''U Daily Stock Report'!$AB$4:$AB$109</c:f>
              <c:numCache>
                <c:formatCode>#,##0_ ;\-#,##0\ </c:formatCode>
                <c:ptCount val="106"/>
                <c:pt idx="0">
                  <c:v>16165</c:v>
                </c:pt>
                <c:pt idx="1">
                  <c:v>16165</c:v>
                </c:pt>
                <c:pt idx="2">
                  <c:v>16165</c:v>
                </c:pt>
                <c:pt idx="3">
                  <c:v>16165</c:v>
                </c:pt>
                <c:pt idx="4">
                  <c:v>16165</c:v>
                </c:pt>
                <c:pt idx="5">
                  <c:v>16165</c:v>
                </c:pt>
                <c:pt idx="6">
                  <c:v>16165</c:v>
                </c:pt>
                <c:pt idx="7">
                  <c:v>16165</c:v>
                </c:pt>
                <c:pt idx="8">
                  <c:v>16165</c:v>
                </c:pt>
                <c:pt idx="9">
                  <c:v>16165</c:v>
                </c:pt>
                <c:pt idx="10">
                  <c:v>16165</c:v>
                </c:pt>
                <c:pt idx="11">
                  <c:v>16165</c:v>
                </c:pt>
                <c:pt idx="12">
                  <c:v>16165</c:v>
                </c:pt>
                <c:pt idx="13">
                  <c:v>16165</c:v>
                </c:pt>
                <c:pt idx="14">
                  <c:v>16165</c:v>
                </c:pt>
                <c:pt idx="15">
                  <c:v>16165</c:v>
                </c:pt>
                <c:pt idx="16">
                  <c:v>16165</c:v>
                </c:pt>
                <c:pt idx="17">
                  <c:v>16165</c:v>
                </c:pt>
                <c:pt idx="18">
                  <c:v>16165</c:v>
                </c:pt>
                <c:pt idx="19">
                  <c:v>16165</c:v>
                </c:pt>
                <c:pt idx="20">
                  <c:v>16165</c:v>
                </c:pt>
                <c:pt idx="21">
                  <c:v>16165</c:v>
                </c:pt>
                <c:pt idx="22">
                  <c:v>16165</c:v>
                </c:pt>
                <c:pt idx="23">
                  <c:v>16165</c:v>
                </c:pt>
                <c:pt idx="24">
                  <c:v>16165</c:v>
                </c:pt>
                <c:pt idx="25">
                  <c:v>16165</c:v>
                </c:pt>
                <c:pt idx="26">
                  <c:v>16165</c:v>
                </c:pt>
                <c:pt idx="27">
                  <c:v>16165</c:v>
                </c:pt>
                <c:pt idx="28">
                  <c:v>16165</c:v>
                </c:pt>
                <c:pt idx="29">
                  <c:v>16165</c:v>
                </c:pt>
                <c:pt idx="30">
                  <c:v>16165</c:v>
                </c:pt>
                <c:pt idx="31">
                  <c:v>16165</c:v>
                </c:pt>
                <c:pt idx="32">
                  <c:v>16165</c:v>
                </c:pt>
                <c:pt idx="33">
                  <c:v>16165</c:v>
                </c:pt>
                <c:pt idx="34">
                  <c:v>16165</c:v>
                </c:pt>
                <c:pt idx="35">
                  <c:v>16165</c:v>
                </c:pt>
                <c:pt idx="36">
                  <c:v>16165</c:v>
                </c:pt>
                <c:pt idx="37">
                  <c:v>16165</c:v>
                </c:pt>
                <c:pt idx="38">
                  <c:v>16165</c:v>
                </c:pt>
                <c:pt idx="39">
                  <c:v>16165</c:v>
                </c:pt>
                <c:pt idx="40">
                  <c:v>16165</c:v>
                </c:pt>
                <c:pt idx="41">
                  <c:v>16165</c:v>
                </c:pt>
                <c:pt idx="42">
                  <c:v>16165</c:v>
                </c:pt>
                <c:pt idx="43">
                  <c:v>16165</c:v>
                </c:pt>
                <c:pt idx="44">
                  <c:v>16165</c:v>
                </c:pt>
                <c:pt idx="45">
                  <c:v>16165</c:v>
                </c:pt>
                <c:pt idx="46">
                  <c:v>16165</c:v>
                </c:pt>
                <c:pt idx="47">
                  <c:v>16165</c:v>
                </c:pt>
                <c:pt idx="48">
                  <c:v>16165</c:v>
                </c:pt>
                <c:pt idx="49">
                  <c:v>16165</c:v>
                </c:pt>
                <c:pt idx="50">
                  <c:v>16165</c:v>
                </c:pt>
                <c:pt idx="51">
                  <c:v>16165</c:v>
                </c:pt>
                <c:pt idx="52">
                  <c:v>16165</c:v>
                </c:pt>
                <c:pt idx="53">
                  <c:v>16165</c:v>
                </c:pt>
                <c:pt idx="54">
                  <c:v>16165</c:v>
                </c:pt>
                <c:pt idx="55">
                  <c:v>16165</c:v>
                </c:pt>
                <c:pt idx="56">
                  <c:v>16165</c:v>
                </c:pt>
                <c:pt idx="57">
                  <c:v>16165</c:v>
                </c:pt>
                <c:pt idx="58">
                  <c:v>16165</c:v>
                </c:pt>
                <c:pt idx="59">
                  <c:v>16165</c:v>
                </c:pt>
                <c:pt idx="60">
                  <c:v>16165</c:v>
                </c:pt>
                <c:pt idx="61">
                  <c:v>16165</c:v>
                </c:pt>
                <c:pt idx="62">
                  <c:v>16165</c:v>
                </c:pt>
                <c:pt idx="63">
                  <c:v>16165</c:v>
                </c:pt>
                <c:pt idx="64">
                  <c:v>16165</c:v>
                </c:pt>
                <c:pt idx="65">
                  <c:v>16165</c:v>
                </c:pt>
                <c:pt idx="66">
                  <c:v>16165</c:v>
                </c:pt>
                <c:pt idx="67">
                  <c:v>16165</c:v>
                </c:pt>
                <c:pt idx="68">
                  <c:v>16165</c:v>
                </c:pt>
                <c:pt idx="69">
                  <c:v>16165</c:v>
                </c:pt>
                <c:pt idx="70">
                  <c:v>16165</c:v>
                </c:pt>
                <c:pt idx="71">
                  <c:v>16165</c:v>
                </c:pt>
                <c:pt idx="72">
                  <c:v>16165</c:v>
                </c:pt>
                <c:pt idx="73">
                  <c:v>16165</c:v>
                </c:pt>
                <c:pt idx="74">
                  <c:v>16165</c:v>
                </c:pt>
                <c:pt idx="75">
                  <c:v>16165</c:v>
                </c:pt>
                <c:pt idx="76">
                  <c:v>16165</c:v>
                </c:pt>
                <c:pt idx="77">
                  <c:v>16165</c:v>
                </c:pt>
                <c:pt idx="78">
                  <c:v>16165</c:v>
                </c:pt>
                <c:pt idx="79">
                  <c:v>16165</c:v>
                </c:pt>
                <c:pt idx="80">
                  <c:v>16165</c:v>
                </c:pt>
                <c:pt idx="81">
                  <c:v>16165</c:v>
                </c:pt>
                <c:pt idx="82">
                  <c:v>16165</c:v>
                </c:pt>
                <c:pt idx="83">
                  <c:v>16165</c:v>
                </c:pt>
                <c:pt idx="84">
                  <c:v>16165</c:v>
                </c:pt>
                <c:pt idx="85">
                  <c:v>16165</c:v>
                </c:pt>
                <c:pt idx="86">
                  <c:v>16165</c:v>
                </c:pt>
                <c:pt idx="87">
                  <c:v>16165</c:v>
                </c:pt>
                <c:pt idx="88">
                  <c:v>16165</c:v>
                </c:pt>
                <c:pt idx="89">
                  <c:v>16165</c:v>
                </c:pt>
                <c:pt idx="90">
                  <c:v>16165</c:v>
                </c:pt>
                <c:pt idx="91">
                  <c:v>16165</c:v>
                </c:pt>
                <c:pt idx="92">
                  <c:v>16165</c:v>
                </c:pt>
                <c:pt idx="93">
                  <c:v>16165</c:v>
                </c:pt>
                <c:pt idx="94">
                  <c:v>16165</c:v>
                </c:pt>
                <c:pt idx="95">
                  <c:v>16165</c:v>
                </c:pt>
                <c:pt idx="96">
                  <c:v>16165</c:v>
                </c:pt>
                <c:pt idx="97">
                  <c:v>16165</c:v>
                </c:pt>
                <c:pt idx="98">
                  <c:v>16165</c:v>
                </c:pt>
                <c:pt idx="99">
                  <c:v>16165</c:v>
                </c:pt>
                <c:pt idx="100">
                  <c:v>16165</c:v>
                </c:pt>
                <c:pt idx="101">
                  <c:v>16165</c:v>
                </c:pt>
                <c:pt idx="102">
                  <c:v>16165</c:v>
                </c:pt>
                <c:pt idx="103">
                  <c:v>16165</c:v>
                </c:pt>
                <c:pt idx="104">
                  <c:v>16165</c:v>
                </c:pt>
                <c:pt idx="105">
                  <c:v>16165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96-4253-850A-56B93216E041}"/>
            </c:ext>
          </c:extLst>
        </c:ser>
        <c:ser>
          <c:idx val="1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'VAVA''U Daily Stock Report'!$AC$4:$AC$109</c:f>
              <c:numCache>
                <c:formatCode>#,##0_ ;\-#,##0\ </c:formatCode>
                <c:ptCount val="106"/>
                <c:pt idx="0">
                  <c:v>289500</c:v>
                </c:pt>
                <c:pt idx="1">
                  <c:v>289500</c:v>
                </c:pt>
                <c:pt idx="2">
                  <c:v>289500</c:v>
                </c:pt>
                <c:pt idx="3">
                  <c:v>289500</c:v>
                </c:pt>
                <c:pt idx="4">
                  <c:v>289500</c:v>
                </c:pt>
                <c:pt idx="5">
                  <c:v>289500</c:v>
                </c:pt>
                <c:pt idx="6">
                  <c:v>289500</c:v>
                </c:pt>
                <c:pt idx="7">
                  <c:v>289500</c:v>
                </c:pt>
                <c:pt idx="8">
                  <c:v>289500</c:v>
                </c:pt>
                <c:pt idx="9">
                  <c:v>289500</c:v>
                </c:pt>
                <c:pt idx="10">
                  <c:v>289500</c:v>
                </c:pt>
                <c:pt idx="11">
                  <c:v>289500</c:v>
                </c:pt>
                <c:pt idx="12">
                  <c:v>289500</c:v>
                </c:pt>
                <c:pt idx="13">
                  <c:v>289500</c:v>
                </c:pt>
                <c:pt idx="14">
                  <c:v>289500</c:v>
                </c:pt>
                <c:pt idx="15">
                  <c:v>289500</c:v>
                </c:pt>
                <c:pt idx="16">
                  <c:v>289500</c:v>
                </c:pt>
                <c:pt idx="17">
                  <c:v>289500</c:v>
                </c:pt>
                <c:pt idx="18">
                  <c:v>289500</c:v>
                </c:pt>
                <c:pt idx="19">
                  <c:v>289500</c:v>
                </c:pt>
                <c:pt idx="20">
                  <c:v>289500</c:v>
                </c:pt>
                <c:pt idx="21">
                  <c:v>289500</c:v>
                </c:pt>
                <c:pt idx="22">
                  <c:v>289500</c:v>
                </c:pt>
                <c:pt idx="23">
                  <c:v>289500</c:v>
                </c:pt>
                <c:pt idx="24">
                  <c:v>289500</c:v>
                </c:pt>
                <c:pt idx="25">
                  <c:v>289500</c:v>
                </c:pt>
                <c:pt idx="26">
                  <c:v>289500</c:v>
                </c:pt>
                <c:pt idx="27">
                  <c:v>289500</c:v>
                </c:pt>
                <c:pt idx="28">
                  <c:v>289500</c:v>
                </c:pt>
                <c:pt idx="29">
                  <c:v>289500</c:v>
                </c:pt>
                <c:pt idx="30">
                  <c:v>289500</c:v>
                </c:pt>
                <c:pt idx="31">
                  <c:v>289500</c:v>
                </c:pt>
                <c:pt idx="32">
                  <c:v>289500</c:v>
                </c:pt>
                <c:pt idx="33">
                  <c:v>289500</c:v>
                </c:pt>
                <c:pt idx="34">
                  <c:v>289500</c:v>
                </c:pt>
                <c:pt idx="35">
                  <c:v>289500</c:v>
                </c:pt>
                <c:pt idx="36">
                  <c:v>289500</c:v>
                </c:pt>
                <c:pt idx="37">
                  <c:v>289500</c:v>
                </c:pt>
                <c:pt idx="38">
                  <c:v>289500</c:v>
                </c:pt>
                <c:pt idx="39">
                  <c:v>289500</c:v>
                </c:pt>
                <c:pt idx="40">
                  <c:v>289500</c:v>
                </c:pt>
                <c:pt idx="41">
                  <c:v>289500</c:v>
                </c:pt>
                <c:pt idx="42">
                  <c:v>289500</c:v>
                </c:pt>
                <c:pt idx="43">
                  <c:v>289500</c:v>
                </c:pt>
                <c:pt idx="44">
                  <c:v>289500</c:v>
                </c:pt>
                <c:pt idx="45">
                  <c:v>289500</c:v>
                </c:pt>
                <c:pt idx="46">
                  <c:v>289500</c:v>
                </c:pt>
                <c:pt idx="47">
                  <c:v>289500</c:v>
                </c:pt>
                <c:pt idx="48">
                  <c:v>289500</c:v>
                </c:pt>
                <c:pt idx="49">
                  <c:v>289500</c:v>
                </c:pt>
                <c:pt idx="50">
                  <c:v>289500</c:v>
                </c:pt>
                <c:pt idx="51">
                  <c:v>289500</c:v>
                </c:pt>
                <c:pt idx="52">
                  <c:v>289500</c:v>
                </c:pt>
                <c:pt idx="53">
                  <c:v>289500</c:v>
                </c:pt>
                <c:pt idx="54">
                  <c:v>289500</c:v>
                </c:pt>
                <c:pt idx="55">
                  <c:v>289500</c:v>
                </c:pt>
                <c:pt idx="56">
                  <c:v>289500</c:v>
                </c:pt>
                <c:pt idx="57">
                  <c:v>289500</c:v>
                </c:pt>
                <c:pt idx="58">
                  <c:v>289500</c:v>
                </c:pt>
                <c:pt idx="59">
                  <c:v>289500</c:v>
                </c:pt>
                <c:pt idx="60">
                  <c:v>289500</c:v>
                </c:pt>
                <c:pt idx="61">
                  <c:v>289500</c:v>
                </c:pt>
                <c:pt idx="62">
                  <c:v>289500</c:v>
                </c:pt>
                <c:pt idx="63">
                  <c:v>289500</c:v>
                </c:pt>
                <c:pt idx="64">
                  <c:v>289500</c:v>
                </c:pt>
                <c:pt idx="65">
                  <c:v>289500</c:v>
                </c:pt>
                <c:pt idx="66">
                  <c:v>289500</c:v>
                </c:pt>
                <c:pt idx="67">
                  <c:v>289500</c:v>
                </c:pt>
                <c:pt idx="68">
                  <c:v>289500</c:v>
                </c:pt>
                <c:pt idx="69">
                  <c:v>289500</c:v>
                </c:pt>
                <c:pt idx="70">
                  <c:v>289500</c:v>
                </c:pt>
                <c:pt idx="71">
                  <c:v>289500</c:v>
                </c:pt>
                <c:pt idx="72">
                  <c:v>289500</c:v>
                </c:pt>
                <c:pt idx="73">
                  <c:v>289500</c:v>
                </c:pt>
                <c:pt idx="74">
                  <c:v>289500</c:v>
                </c:pt>
                <c:pt idx="75">
                  <c:v>289500</c:v>
                </c:pt>
                <c:pt idx="76">
                  <c:v>289500</c:v>
                </c:pt>
                <c:pt idx="77">
                  <c:v>289500</c:v>
                </c:pt>
                <c:pt idx="78">
                  <c:v>289500</c:v>
                </c:pt>
                <c:pt idx="79">
                  <c:v>289500</c:v>
                </c:pt>
                <c:pt idx="80">
                  <c:v>289500</c:v>
                </c:pt>
                <c:pt idx="81">
                  <c:v>289500</c:v>
                </c:pt>
                <c:pt idx="82">
                  <c:v>289500</c:v>
                </c:pt>
                <c:pt idx="83">
                  <c:v>289500</c:v>
                </c:pt>
                <c:pt idx="84">
                  <c:v>289500</c:v>
                </c:pt>
                <c:pt idx="85">
                  <c:v>289500</c:v>
                </c:pt>
                <c:pt idx="86">
                  <c:v>289500</c:v>
                </c:pt>
                <c:pt idx="87">
                  <c:v>289500</c:v>
                </c:pt>
                <c:pt idx="88">
                  <c:v>289500</c:v>
                </c:pt>
                <c:pt idx="89">
                  <c:v>289500</c:v>
                </c:pt>
                <c:pt idx="90">
                  <c:v>289500</c:v>
                </c:pt>
                <c:pt idx="91">
                  <c:v>289500</c:v>
                </c:pt>
                <c:pt idx="92">
                  <c:v>289500</c:v>
                </c:pt>
                <c:pt idx="93">
                  <c:v>289500</c:v>
                </c:pt>
                <c:pt idx="94">
                  <c:v>289500</c:v>
                </c:pt>
                <c:pt idx="95">
                  <c:v>289500</c:v>
                </c:pt>
                <c:pt idx="96">
                  <c:v>289500</c:v>
                </c:pt>
                <c:pt idx="97">
                  <c:v>289500</c:v>
                </c:pt>
                <c:pt idx="98">
                  <c:v>289500</c:v>
                </c:pt>
                <c:pt idx="99">
                  <c:v>289500</c:v>
                </c:pt>
                <c:pt idx="100">
                  <c:v>289500</c:v>
                </c:pt>
                <c:pt idx="101">
                  <c:v>289500</c:v>
                </c:pt>
                <c:pt idx="102">
                  <c:v>289500</c:v>
                </c:pt>
                <c:pt idx="103">
                  <c:v>289500</c:v>
                </c:pt>
                <c:pt idx="104">
                  <c:v>289500</c:v>
                </c:pt>
                <c:pt idx="105">
                  <c:v>289500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96-4253-850A-56B93216E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in val="-5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590550</xdr:colOff>
      <xdr:row>3</xdr:row>
      <xdr:rowOff>76200</xdr:rowOff>
    </xdr:from>
    <xdr:to>
      <xdr:col>28</xdr:col>
      <xdr:colOff>552450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5B823D-94E9-F1D2-41C2-3DC088A8F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609600</xdr:colOff>
      <xdr:row>15</xdr:row>
      <xdr:rowOff>95250</xdr:rowOff>
    </xdr:from>
    <xdr:to>
      <xdr:col>28</xdr:col>
      <xdr:colOff>571500</xdr:colOff>
      <xdr:row>27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180C18-1060-4A16-8D06-DDC3B875D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619125</xdr:colOff>
      <xdr:row>27</xdr:row>
      <xdr:rowOff>66675</xdr:rowOff>
    </xdr:from>
    <xdr:to>
      <xdr:col>28</xdr:col>
      <xdr:colOff>581025</xdr:colOff>
      <xdr:row>39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C5FC53-CCE9-4294-9906-87FB23A98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590550</xdr:colOff>
      <xdr:row>3</xdr:row>
      <xdr:rowOff>76200</xdr:rowOff>
    </xdr:from>
    <xdr:to>
      <xdr:col>23</xdr:col>
      <xdr:colOff>552450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1E91D3-60FA-4153-AC9D-794F311EB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609600</xdr:colOff>
      <xdr:row>15</xdr:row>
      <xdr:rowOff>95250</xdr:rowOff>
    </xdr:from>
    <xdr:to>
      <xdr:col>23</xdr:col>
      <xdr:colOff>571500</xdr:colOff>
      <xdr:row>27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0D7EC0-0DF7-4B62-B465-D55ECBC73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FA29-26FA-4FB8-A064-C01D4A1F60B2}">
  <dimension ref="A1:AJ109"/>
  <sheetViews>
    <sheetView showGridLines="0" tabSelected="1" workbookViewId="0">
      <pane xSplit="8" ySplit="3" topLeftCell="I4" activePane="bottomRight" state="frozen"/>
      <selection pane="topRight" activeCell="H1" sqref="H1"/>
      <selection pane="bottomLeft" activeCell="A4" sqref="A4"/>
      <selection pane="bottomRight" activeCell="A14" sqref="A14"/>
    </sheetView>
  </sheetViews>
  <sheetFormatPr defaultColWidth="12.6640625" defaultRowHeight="18" customHeight="1" x14ac:dyDescent="0.3"/>
  <cols>
    <col min="1" max="1" width="24.6640625" style="4" customWidth="1"/>
    <col min="2" max="2" width="15" style="5" customWidth="1"/>
    <col min="3" max="4" width="14.33203125" style="5" customWidth="1"/>
    <col min="5" max="5" width="16" style="5" customWidth="1"/>
    <col min="6" max="6" width="1.6640625" style="4" customWidth="1"/>
    <col min="7" max="7" width="2" style="5" customWidth="1"/>
    <col min="8" max="8" width="11.33203125" style="5" customWidth="1"/>
    <col min="9" max="9" width="9.109375" style="5" customWidth="1"/>
    <col min="10" max="10" width="8.6640625" style="5" customWidth="1"/>
    <col min="11" max="11" width="7.77734375" style="5" customWidth="1"/>
    <col min="12" max="12" width="8.44140625" style="5" customWidth="1"/>
    <col min="13" max="13" width="7.77734375" style="5" customWidth="1"/>
    <col min="14" max="14" width="8.44140625" style="5" customWidth="1"/>
    <col min="15" max="15" width="1.44140625" style="5" customWidth="1"/>
    <col min="16" max="16" width="9.77734375" style="5" customWidth="1"/>
    <col min="17" max="17" width="10.33203125" style="5" customWidth="1"/>
    <col min="18" max="18" width="10.109375" style="5" customWidth="1"/>
    <col min="19" max="19" width="9.44140625" style="5" customWidth="1"/>
    <col min="20" max="20" width="10.109375" style="5" customWidth="1"/>
    <col min="21" max="21" width="9.44140625" style="5" customWidth="1"/>
    <col min="22" max="27" width="11.33203125" style="5" customWidth="1"/>
    <col min="28" max="30" width="12.6640625" style="5"/>
    <col min="31" max="36" width="12.6640625" style="51"/>
    <col min="37" max="16384" width="12.6640625" style="5"/>
  </cols>
  <sheetData>
    <row r="1" spans="1:36" s="2" customFormat="1" ht="24" customHeight="1" x14ac:dyDescent="0.3">
      <c r="A1" s="1" t="s">
        <v>25</v>
      </c>
      <c r="D1" s="52" t="s">
        <v>26</v>
      </c>
      <c r="E1" s="53"/>
      <c r="F1" s="3"/>
      <c r="I1" s="1" t="s">
        <v>11</v>
      </c>
      <c r="P1" s="1"/>
      <c r="Q1" s="1" t="s">
        <v>13</v>
      </c>
      <c r="R1" s="1"/>
      <c r="T1" s="1"/>
      <c r="AE1" s="51"/>
      <c r="AF1" s="51"/>
      <c r="AG1" s="51"/>
      <c r="AH1" s="51"/>
      <c r="AI1" s="51"/>
      <c r="AJ1" s="51"/>
    </row>
    <row r="2" spans="1:36" s="2" customFormat="1" ht="21.6" thickBot="1" x14ac:dyDescent="0.35">
      <c r="A2" s="1"/>
      <c r="F2" s="3"/>
      <c r="I2" s="56" t="s">
        <v>9</v>
      </c>
      <c r="J2" s="54"/>
      <c r="K2" s="54" t="s">
        <v>10</v>
      </c>
      <c r="L2" s="54"/>
      <c r="M2" s="54" t="s">
        <v>23</v>
      </c>
      <c r="N2" s="55"/>
      <c r="O2" s="5"/>
      <c r="P2" s="56" t="s">
        <v>9</v>
      </c>
      <c r="Q2" s="54"/>
      <c r="R2" s="54" t="s">
        <v>10</v>
      </c>
      <c r="S2" s="54"/>
      <c r="T2" s="54" t="s">
        <v>23</v>
      </c>
      <c r="U2" s="55"/>
      <c r="V2" s="5"/>
      <c r="W2" s="5"/>
      <c r="X2" s="5"/>
      <c r="AE2" s="51" t="s">
        <v>1</v>
      </c>
      <c r="AF2" s="51"/>
      <c r="AG2" s="51" t="s">
        <v>2</v>
      </c>
      <c r="AH2" s="51"/>
      <c r="AI2" s="51" t="s">
        <v>31</v>
      </c>
      <c r="AJ2" s="51"/>
    </row>
    <row r="3" spans="1:36" s="2" customFormat="1" ht="29.4" thickBot="1" x14ac:dyDescent="0.35">
      <c r="B3" s="57" t="s">
        <v>22</v>
      </c>
      <c r="C3" s="58"/>
      <c r="D3" s="59"/>
      <c r="F3" s="3"/>
      <c r="I3" s="28" t="s">
        <v>7</v>
      </c>
      <c r="J3" s="44" t="s">
        <v>8</v>
      </c>
      <c r="K3" s="29" t="s">
        <v>7</v>
      </c>
      <c r="L3" s="44" t="s">
        <v>8</v>
      </c>
      <c r="M3" s="29" t="s">
        <v>7</v>
      </c>
      <c r="N3" s="45" t="s">
        <v>8</v>
      </c>
      <c r="O3" s="5"/>
      <c r="P3" s="28" t="s">
        <v>20</v>
      </c>
      <c r="Q3" s="29" t="s">
        <v>7</v>
      </c>
      <c r="R3" s="29" t="s">
        <v>20</v>
      </c>
      <c r="S3" s="29" t="s">
        <v>7</v>
      </c>
      <c r="T3" s="29" t="s">
        <v>20</v>
      </c>
      <c r="U3" s="36" t="s">
        <v>7</v>
      </c>
      <c r="V3" s="5"/>
      <c r="W3" s="5"/>
      <c r="X3" s="5"/>
      <c r="AE3" s="51" t="s">
        <v>29</v>
      </c>
      <c r="AF3" s="51" t="s">
        <v>30</v>
      </c>
      <c r="AG3" s="51" t="s">
        <v>29</v>
      </c>
      <c r="AH3" s="51" t="s">
        <v>30</v>
      </c>
      <c r="AI3" s="51" t="s">
        <v>29</v>
      </c>
      <c r="AJ3" s="51" t="s">
        <v>30</v>
      </c>
    </row>
    <row r="4" spans="1:36" s="2" customFormat="1" ht="21" x14ac:dyDescent="0.3">
      <c r="F4" s="3"/>
      <c r="H4" s="37">
        <v>46098</v>
      </c>
      <c r="I4" s="46">
        <v>760533</v>
      </c>
      <c r="J4" s="46">
        <v>55200</v>
      </c>
      <c r="K4" s="46">
        <v>634040</v>
      </c>
      <c r="L4" s="46">
        <v>77500</v>
      </c>
      <c r="M4" s="46">
        <v>339785</v>
      </c>
      <c r="N4" s="46">
        <v>38600</v>
      </c>
      <c r="O4" s="5"/>
      <c r="P4" s="27" t="str">
        <f t="shared" ref="P4:P35" si="0">IF(I4="",IFERROR(_xlfn.XLOOKUP(H4,$B$6:$B$10,$C$6:$C$10,""),""),"")</f>
        <v/>
      </c>
      <c r="Q4" s="27" cm="1">
        <f t="array" ref="Q4">IF(I4="",_xlfn.LET(
    _xlpm.vals,_xlfn._xlws.FILTER($J3:J$4,$J3:J$4&lt;&gt;"",""),
    _xlpm.avgJ,IF(COUNTA(_xlpm.vals)=0,0,AVERAGE(_xlfn.TAKE(_xlpm.vals,-MIN(7,ROWS(_xlpm.vals))))),
    _xlpm.addship,IF(P4="",0,P4),
    IF(
        AND(I3="",I4=""),
        Q3-_xlpm.avgJ+_xlpm.addship,
        IF(
            I4="",
            I3-_xlpm.avgJ+_xlpm.addship,
            ""
        )
    )
),I4)</f>
        <v>760533</v>
      </c>
      <c r="R4" s="27" t="str">
        <f t="shared" ref="R4:R35" si="1">IF(K4="",IFERROR(_xlfn.XLOOKUP(H4,$B$6:$B$10,$D$6:$D$10,""),""),"")</f>
        <v/>
      </c>
      <c r="S4" s="27" cm="1">
        <f t="array" ref="S4">IF(K4="",_xlfn.LET(
    _xlpm.vals,_xlfn._xlws.FILTER($L3:L$4,$L3:L$4&lt;&gt;"",""),
    _xlpm.avgJ,IF(COUNTA(_xlpm.vals)=0,0,AVERAGE(_xlfn.TAKE(_xlpm.vals,-MIN(7,ROWS(_xlpm.vals))))),
    _xlpm.addship,IF(R4="",0,R4),
    IF(
        AND(K3="",K4=""),
        S3-_xlpm.avgJ+_xlpm.addship,
        IF(
            K4="",
            K3-_xlpm.avgJ+_xlpm.addship,
            ""
        )
    )
),K4)</f>
        <v>634040</v>
      </c>
      <c r="T4" s="27" t="str">
        <f>IF(M4="",IFERROR(_xlfn.XLOOKUP(H4,$B$6:$B$10,$E$6:$E$10,""),""),"")</f>
        <v/>
      </c>
      <c r="U4" s="27" cm="1">
        <f t="array" ref="U4">IF(M4="",_xlfn.LET(
    _xlpm.vals,_xlfn._xlws.FILTER($N3:N$4,$N3:N$4&lt;&gt;"",""),
    _xlpm.avgJ,IF(COUNTA(_xlpm.vals)=0,0,AVERAGE(_xlfn.TAKE(_xlpm.vals,-MIN(7,ROWS(_xlpm.vals))))),
    _xlpm.addship,IF(T4="",0,T4),
    IF(
        AND(M3="",M4=""),
        U3-_xlpm.avgJ+_xlpm.addship,
        IF(
            M4="",
            M3-_xlpm.avgJ+_xlpm.addship,
            ""
        )
    )
),M4)</f>
        <v>339785</v>
      </c>
      <c r="V4" s="4" t="e">
        <f ca="1">IF(AND(Q4="",S4="",U4=""),"",
_xlfn.LET(
_xlpm.msgs,
_xlfn.TEXTJOIN(" | ",TRUE,
IF(Q4&gt;$C$20,"Petrol over capacity",""),
IF(Q4&lt;$C$21,"Petrol stock out",""),
IF(S4&gt;$D$20,"Diesel over capacity",""),
IF(S4&lt;$D$21,"Diesel stock out",""),
IF(U4&gt;$E$20,"Kero over capacity",""),
IF(U4&lt;$E$21,"Kero stock out","")),
IF(_xlpm.msgs="","",_xlpm.msgs)
))</f>
        <v>#NAME?</v>
      </c>
      <c r="W4" s="5"/>
      <c r="X4" s="5"/>
      <c r="AE4" s="51">
        <f>$C$21</f>
        <v>47000</v>
      </c>
      <c r="AF4" s="51">
        <f>$C$20</f>
        <v>1223106</v>
      </c>
      <c r="AG4" s="51">
        <f>$D$21</f>
        <v>45000</v>
      </c>
      <c r="AH4" s="51">
        <f>$D$20</f>
        <v>858361</v>
      </c>
      <c r="AI4" s="51">
        <f>$E$21</f>
        <v>24500</v>
      </c>
      <c r="AJ4" s="51">
        <f>$E$20</f>
        <v>589571</v>
      </c>
    </row>
    <row r="5" spans="1:36" ht="18" customHeight="1" x14ac:dyDescent="0.3">
      <c r="A5" s="38" t="s">
        <v>21</v>
      </c>
      <c r="B5" s="41" t="s">
        <v>14</v>
      </c>
      <c r="C5" s="42" t="s">
        <v>9</v>
      </c>
      <c r="D5" s="42" t="s">
        <v>10</v>
      </c>
      <c r="E5" s="43" t="s">
        <v>23</v>
      </c>
      <c r="G5" s="2"/>
      <c r="H5" s="37">
        <f>H4+1</f>
        <v>46099</v>
      </c>
      <c r="I5" s="32">
        <v>690540</v>
      </c>
      <c r="J5" s="32">
        <v>70600</v>
      </c>
      <c r="K5" s="32">
        <v>578425</v>
      </c>
      <c r="L5" s="32">
        <v>55300</v>
      </c>
      <c r="M5" s="32">
        <v>339500</v>
      </c>
      <c r="N5" s="32">
        <v>200</v>
      </c>
      <c r="P5" s="27" t="str">
        <f t="shared" si="0"/>
        <v/>
      </c>
      <c r="Q5" s="27" cm="1">
        <f t="array" ref="Q5">IF(I5="",_xlfn.LET(
    _xlpm.vals,_xlfn._xlws.FILTER($J4:J$4,$J4:J$4&lt;&gt;"",""),
    _xlpm.avgJ,IF(COUNTA(_xlpm.vals)=0,0,AVERAGE(_xlfn.TAKE(_xlpm.vals,-MIN(7,ROWS(_xlpm.vals))))),
    _xlpm.addship,IF(P5="",0,P5),
    IF(
        AND(I4="",I5=""),
        Q4-_xlpm.avgJ+_xlpm.addship,
        IF(
            I5="",
            I4-_xlpm.avgJ+_xlpm.addship,
            ""
        )
    )
),I5)</f>
        <v>690540</v>
      </c>
      <c r="R5" s="27" t="str">
        <f t="shared" si="1"/>
        <v/>
      </c>
      <c r="S5" s="27" cm="1">
        <f t="array" ref="S5">IF(K5="",_xlfn.LET(
    _xlpm.vals,_xlfn._xlws.FILTER($L4:L$4,$L4:L$4&lt;&gt;"",""),
    _xlpm.avgJ,IF(COUNTA(_xlpm.vals)=0,0,AVERAGE(_xlfn.TAKE(_xlpm.vals,-MIN(7,ROWS(_xlpm.vals))))),
    _xlpm.addship,IF(R5="",0,R5),
    IF(
        AND(K4="",K5=""),
        S4-_xlpm.avgJ+_xlpm.addship,
        IF(
            K5="",
            K4-_xlpm.avgJ+_xlpm.addship,
            ""
        )
    )
),K5)</f>
        <v>578425</v>
      </c>
      <c r="T5" s="27" t="str">
        <f t="shared" ref="T5:T68" si="2">IF(M5="",IFERROR(_xlfn.XLOOKUP(H5,$B$6:$B$10,$E$6:$E$10,""),""),"")</f>
        <v/>
      </c>
      <c r="U5" s="27" cm="1">
        <f t="array" ref="U5">IF(M5="",_xlfn.LET(
    _xlpm.vals,_xlfn._xlws.FILTER($N4:N$4,$N4:N$4&lt;&gt;"",""),
    _xlpm.avgJ,IF(COUNTA(_xlpm.vals)=0,0,AVERAGE(_xlfn.TAKE(_xlpm.vals,-MIN(7,ROWS(_xlpm.vals))))),
    _xlpm.addship,IF(T5="",0,T5),
    IF(
        AND(M4="",M5=""),
        U4-_xlpm.avgJ+_xlpm.addship,
        IF(
            M5="",
            M4-_xlpm.avgJ+_xlpm.addship,
            ""
        )
    )
),M5)</f>
        <v>339500</v>
      </c>
      <c r="V5" s="4" t="e">
        <f ca="1">IF(AND(Q5="",S5="",U5=""),"",
_xlfn.LET(
_xlpm.msgs,
_xlfn.TEXTJOIN(" | ",TRUE,
IF(Q5&gt;$C$20,"Petrol over capacity",""),
IF(Q5&lt;$C$21,"Petrol stock out",""),
IF(S5&gt;$D$20,"Diesel over capacity",""),
IF(S5&lt;$D$21,"Diesel stock out",""),
IF(U5&gt;$E$20,"Kero over capacity",""),
IF(U5&lt;$E$21,"Kero stock out","")),
IF(_xlpm.msgs="","",_xlpm.msgs)
))</f>
        <v>#NAME?</v>
      </c>
      <c r="AE5" s="51">
        <f t="shared" ref="AE5:AE68" si="3">$C$21</f>
        <v>47000</v>
      </c>
      <c r="AF5" s="51">
        <f t="shared" ref="AF5:AF68" si="4">$C$20</f>
        <v>1223106</v>
      </c>
      <c r="AG5" s="51">
        <f t="shared" ref="AG5:AG68" si="5">$D$21</f>
        <v>45000</v>
      </c>
      <c r="AH5" s="51">
        <f t="shared" ref="AH5:AH68" si="6">$D$20</f>
        <v>858361</v>
      </c>
      <c r="AI5" s="51">
        <f t="shared" ref="AI5:AI68" si="7">$E$21</f>
        <v>24500</v>
      </c>
      <c r="AJ5" s="51">
        <f t="shared" ref="AJ5:AJ68" si="8">$E$20</f>
        <v>589571</v>
      </c>
    </row>
    <row r="6" spans="1:36" ht="18" customHeight="1" x14ac:dyDescent="0.3">
      <c r="A6" s="5" t="s">
        <v>15</v>
      </c>
      <c r="B6" s="39">
        <v>46107</v>
      </c>
      <c r="C6" s="40">
        <v>807300</v>
      </c>
      <c r="D6" s="40">
        <v>384000</v>
      </c>
      <c r="E6" s="31">
        <v>177800</v>
      </c>
      <c r="G6" s="2"/>
      <c r="H6" s="37">
        <f t="shared" ref="H6:H20" si="9">H5+1</f>
        <v>46100</v>
      </c>
      <c r="I6" s="32">
        <v>615514</v>
      </c>
      <c r="J6" s="32">
        <v>75200</v>
      </c>
      <c r="K6" s="32">
        <v>491946</v>
      </c>
      <c r="L6" s="32">
        <v>86600</v>
      </c>
      <c r="M6" s="32">
        <v>339500</v>
      </c>
      <c r="N6" s="32">
        <v>0</v>
      </c>
      <c r="P6" s="27" t="str">
        <f t="shared" si="0"/>
        <v/>
      </c>
      <c r="Q6" s="27" cm="1">
        <f t="array" ref="Q6">IF(I6="",_xlfn.LET(
    _xlpm.vals,_xlfn._xlws.FILTER($J$4:J5,$J$4:J5&lt;&gt;"",""),
    _xlpm.avgJ,IF(COUNTA(_xlpm.vals)=0,0,AVERAGE(_xlfn.TAKE(_xlpm.vals,-MIN(7,ROWS(_xlpm.vals))))),
    _xlpm.addship,IF(P6="",0,P6),
    IF(
        AND(I5="",I6=""),
        Q5-_xlpm.avgJ+_xlpm.addship,
        IF(
            I6="",
            I5-_xlpm.avgJ+_xlpm.addship,
            ""
        )
    )
),I6)</f>
        <v>615514</v>
      </c>
      <c r="R6" s="27" t="str">
        <f t="shared" si="1"/>
        <v/>
      </c>
      <c r="S6" s="27" cm="1">
        <f t="array" ref="S6">IF(K6="",_xlfn.LET(
    _xlpm.vals,_xlfn._xlws.FILTER($L$4:L5,$L$4:L5&lt;&gt;"",""),
    _xlpm.avgJ,IF(COUNTA(_xlpm.vals)=0,0,AVERAGE(_xlfn.TAKE(_xlpm.vals,-MIN(7,ROWS(_xlpm.vals))))),
    _xlpm.addship,IF(R6="",0,R6),
    IF(
        AND(K5="",K6=""),
        S5-_xlpm.avgJ+_xlpm.addship,
        IF(
            K6="",
            K5-_xlpm.avgJ+_xlpm.addship,
            ""
        )
    )
),K6)</f>
        <v>491946</v>
      </c>
      <c r="T6" s="27" t="str">
        <f t="shared" si="2"/>
        <v/>
      </c>
      <c r="U6" s="27" cm="1">
        <f t="array" ref="U6">IF(M6="",_xlfn.LET(
    _xlpm.vals,_xlfn._xlws.FILTER($N$4:N5,$N$4:N5&lt;&gt;"",""),
    _xlpm.avgJ,IF(COUNTA(_xlpm.vals)=0,0,AVERAGE(_xlfn.TAKE(_xlpm.vals,-MIN(7,ROWS(_xlpm.vals))))),
    _xlpm.addship,IF(T6="",0,T6),
    IF(
        AND(M5="",M6=""),
        U5-_xlpm.avgJ+_xlpm.addship,
        IF(
            M6="",
            M5-_xlpm.avgJ+_xlpm.addship,
            ""
        )
    )
),M6)</f>
        <v>339500</v>
      </c>
      <c r="V6" s="4" t="e">
        <f ca="1">IF(AND(Q6="",S6="",U6=""),"",
_xlfn.LET(
_xlpm.msgs,
_xlfn.TEXTJOIN(" | ",TRUE,
IF(Q6&gt;$C$20,"Petrol over capacity",""),
IF(Q6&lt;$C$21,"Petrol stock out",""),
IF(S6&gt;$D$20,"Diesel over capacity",""),
IF(S6&lt;$D$21,"Diesel stock out",""),
IF(U6&gt;$E$20,"Kero over capacity",""),
IF(U6&lt;$E$21,"Kero stock out","")),
IF(_xlpm.msgs="","",_xlpm.msgs)
))</f>
        <v>#NAME?</v>
      </c>
      <c r="AE6" s="51">
        <f t="shared" si="3"/>
        <v>47000</v>
      </c>
      <c r="AF6" s="51">
        <f t="shared" si="4"/>
        <v>1223106</v>
      </c>
      <c r="AG6" s="51">
        <f t="shared" si="5"/>
        <v>45000</v>
      </c>
      <c r="AH6" s="51">
        <f t="shared" si="6"/>
        <v>858361</v>
      </c>
      <c r="AI6" s="51">
        <f t="shared" si="7"/>
        <v>24500</v>
      </c>
      <c r="AJ6" s="51">
        <f t="shared" si="8"/>
        <v>589571</v>
      </c>
    </row>
    <row r="7" spans="1:36" ht="18" customHeight="1" x14ac:dyDescent="0.3">
      <c r="A7" s="5" t="s">
        <v>16</v>
      </c>
      <c r="B7" s="30">
        <v>46118</v>
      </c>
      <c r="C7" s="40">
        <v>807300</v>
      </c>
      <c r="D7" s="40">
        <v>396000</v>
      </c>
      <c r="E7" s="31">
        <v>292100</v>
      </c>
      <c r="G7" s="2"/>
      <c r="H7" s="37">
        <f t="shared" si="9"/>
        <v>46101</v>
      </c>
      <c r="I7" s="32">
        <v>500273</v>
      </c>
      <c r="J7" s="32">
        <v>113200</v>
      </c>
      <c r="K7" s="32">
        <v>424838</v>
      </c>
      <c r="L7" s="32">
        <v>67100</v>
      </c>
      <c r="M7" s="32">
        <v>296708</v>
      </c>
      <c r="N7" s="32">
        <v>43800</v>
      </c>
      <c r="P7" s="27" t="str">
        <f t="shared" si="0"/>
        <v/>
      </c>
      <c r="Q7" s="27" cm="1">
        <f t="array" ref="Q7">IF(I7="",_xlfn.LET(
    _xlpm.vals,_xlfn._xlws.FILTER($J$4:J6,$J$4:J6&lt;&gt;"",""),
    _xlpm.avgJ,IF(COUNTA(_xlpm.vals)=0,0,AVERAGE(_xlfn.TAKE(_xlpm.vals,-MIN(7,ROWS(_xlpm.vals))))),
    _xlpm.addship,IF(P7="",0,P7),
    IF(
        AND(I6="",I7=""),
        Q6-_xlpm.avgJ+_xlpm.addship,
        IF(
            I7="",
            I6-_xlpm.avgJ+_xlpm.addship,
            ""
        )
    )
),I7)</f>
        <v>500273</v>
      </c>
      <c r="R7" s="27" t="str">
        <f t="shared" si="1"/>
        <v/>
      </c>
      <c r="S7" s="27" cm="1">
        <f t="array" ref="S7">IF(K7="",_xlfn.LET(
    _xlpm.vals,_xlfn._xlws.FILTER($L$4:L6,$L$4:L6&lt;&gt;"",""),
    _xlpm.avgJ,IF(COUNTA(_xlpm.vals)=0,0,AVERAGE(_xlfn.TAKE(_xlpm.vals,-MIN(7,ROWS(_xlpm.vals))))),
    _xlpm.addship,IF(R7="",0,R7),
    IF(
        AND(K6="",K7=""),
        S6-_xlpm.avgJ+_xlpm.addship,
        IF(
            K7="",
            K6-_xlpm.avgJ+_xlpm.addship,
            ""
        )
    )
),K7)</f>
        <v>424838</v>
      </c>
      <c r="T7" s="27" t="str">
        <f t="shared" si="2"/>
        <v/>
      </c>
      <c r="U7" s="27" cm="1">
        <f t="array" ref="U7">IF(M7="",_xlfn.LET(
    _xlpm.vals,_xlfn._xlws.FILTER($N$4:N6,$N$4:N6&lt;&gt;"",""),
    _xlpm.avgJ,IF(COUNTA(_xlpm.vals)=0,0,AVERAGE(_xlfn.TAKE(_xlpm.vals,-MIN(7,ROWS(_xlpm.vals))))),
    _xlpm.addship,IF(T7="",0,T7),
    IF(
        AND(M6="",M7=""),
        U6-_xlpm.avgJ+_xlpm.addship,
        IF(
            M7="",
            M6-_xlpm.avgJ+_xlpm.addship,
            ""
        )
    )
),M7)</f>
        <v>296708</v>
      </c>
      <c r="V7" s="4" t="e">
        <f ca="1">IF(AND(Q7="",S7="",U7=""),"",
_xlfn.LET(
_xlpm.msgs,
_xlfn.TEXTJOIN(" | ",TRUE,
IF(Q7&gt;$C$20,"Petrol over capacity",""),
IF(Q7&lt;$C$21,"Petrol stock out",""),
IF(S7&gt;$D$20,"Diesel over capacity",""),
IF(S7&lt;$D$21,"Diesel stock out",""),
IF(U7&gt;$E$20,"Kero over capacity",""),
IF(U7&lt;$E$21,"Kero stock out","")),
IF(_xlpm.msgs="","",_xlpm.msgs)
))</f>
        <v>#NAME?</v>
      </c>
      <c r="AE7" s="51">
        <f t="shared" si="3"/>
        <v>47000</v>
      </c>
      <c r="AF7" s="51">
        <f t="shared" si="4"/>
        <v>1223106</v>
      </c>
      <c r="AG7" s="51">
        <f t="shared" si="5"/>
        <v>45000</v>
      </c>
      <c r="AH7" s="51">
        <f t="shared" si="6"/>
        <v>858361</v>
      </c>
      <c r="AI7" s="51">
        <f t="shared" si="7"/>
        <v>24500</v>
      </c>
      <c r="AJ7" s="51">
        <f t="shared" si="8"/>
        <v>589571</v>
      </c>
    </row>
    <row r="8" spans="1:36" ht="18" customHeight="1" x14ac:dyDescent="0.3">
      <c r="A8" s="5" t="s">
        <v>17</v>
      </c>
      <c r="B8" s="30">
        <v>46134</v>
      </c>
      <c r="C8" s="40">
        <v>759000</v>
      </c>
      <c r="D8" s="40">
        <v>556600</v>
      </c>
      <c r="E8" s="31">
        <v>254000</v>
      </c>
      <c r="F8" s="5"/>
      <c r="G8" s="2"/>
      <c r="H8" s="37">
        <f t="shared" si="9"/>
        <v>46102</v>
      </c>
      <c r="I8" s="32">
        <v>500273</v>
      </c>
      <c r="J8" s="32">
        <v>0</v>
      </c>
      <c r="K8" s="32">
        <v>424838</v>
      </c>
      <c r="L8" s="32">
        <v>0</v>
      </c>
      <c r="M8" s="32">
        <v>296708</v>
      </c>
      <c r="N8" s="32">
        <v>0</v>
      </c>
      <c r="P8" s="27" t="str">
        <f t="shared" si="0"/>
        <v/>
      </c>
      <c r="Q8" s="27" cm="1">
        <f t="array" ref="Q8">IF(I8="",_xlfn.LET(
    _xlpm.vals,_xlfn._xlws.FILTER($J$4:J7,$J$4:J7&lt;&gt;"",""),
    _xlpm.avgJ,IF(COUNTA(_xlpm.vals)=0,0,AVERAGE(_xlfn.TAKE(_xlpm.vals,-MIN(7,ROWS(_xlpm.vals))))),
    _xlpm.addship,IF(P8="",0,P8),
    IF(
        AND(I7="",I8=""),
        Q7-_xlpm.avgJ+_xlpm.addship,
        IF(
            I8="",
            I7-_xlpm.avgJ+_xlpm.addship,
            ""
        )
    )
),I8)</f>
        <v>500273</v>
      </c>
      <c r="R8" s="27" t="str">
        <f t="shared" si="1"/>
        <v/>
      </c>
      <c r="S8" s="27" cm="1">
        <f t="array" ref="S8">IF(K8="",_xlfn.LET(
    _xlpm.vals,_xlfn._xlws.FILTER($L$4:L7,$L$4:L7&lt;&gt;"",""),
    _xlpm.avgJ,IF(COUNTA(_xlpm.vals)=0,0,AVERAGE(_xlfn.TAKE(_xlpm.vals,-MIN(7,ROWS(_xlpm.vals))))),
    _xlpm.addship,IF(R8="",0,R8),
    IF(
        AND(K7="",K8=""),
        S7-_xlpm.avgJ+_xlpm.addship,
        IF(
            K8="",
            K7-_xlpm.avgJ+_xlpm.addship,
            ""
        )
    )
),K8)</f>
        <v>424838</v>
      </c>
      <c r="T8" s="27" t="str">
        <f t="shared" si="2"/>
        <v/>
      </c>
      <c r="U8" s="27" cm="1">
        <f t="array" ref="U8">IF(M8="",_xlfn.LET(
    _xlpm.vals,_xlfn._xlws.FILTER($N$4:N7,$N$4:N7&lt;&gt;"",""),
    _xlpm.avgJ,IF(COUNTA(_xlpm.vals)=0,0,AVERAGE(_xlfn.TAKE(_xlpm.vals,-MIN(7,ROWS(_xlpm.vals))))),
    _xlpm.addship,IF(T8="",0,T8),
    IF(
        AND(M7="",M8=""),
        U7-_xlpm.avgJ+_xlpm.addship,
        IF(
            M8="",
            M7-_xlpm.avgJ+_xlpm.addship,
            ""
        )
    )
),M8)</f>
        <v>296708</v>
      </c>
      <c r="V8" s="4" t="e">
        <f ca="1">IF(AND(Q8="",S8="",U8=""),"",
_xlfn.LET(
_xlpm.msgs,
_xlfn.TEXTJOIN(" | ",TRUE,
IF(Q8&gt;$C$20,"Petrol over capacity",""),
IF(Q8&lt;$C$21,"Petrol stock out",""),
IF(S8&gt;$D$20,"Diesel over capacity",""),
IF(S8&lt;$D$21,"Diesel stock out",""),
IF(U8&gt;$E$20,"Kero over capacity",""),
IF(U8&lt;$E$21,"Kero stock out","")),
IF(_xlpm.msgs="","",_xlpm.msgs)
))</f>
        <v>#NAME?</v>
      </c>
      <c r="AE8" s="51">
        <f t="shared" si="3"/>
        <v>47000</v>
      </c>
      <c r="AF8" s="51">
        <f t="shared" si="4"/>
        <v>1223106</v>
      </c>
      <c r="AG8" s="51">
        <f t="shared" si="5"/>
        <v>45000</v>
      </c>
      <c r="AH8" s="51">
        <f t="shared" si="6"/>
        <v>858361</v>
      </c>
      <c r="AI8" s="51">
        <f t="shared" si="7"/>
        <v>24500</v>
      </c>
      <c r="AJ8" s="51">
        <f t="shared" si="8"/>
        <v>589571</v>
      </c>
    </row>
    <row r="9" spans="1:36" ht="18" customHeight="1" x14ac:dyDescent="0.3">
      <c r="A9" s="5" t="s">
        <v>18</v>
      </c>
      <c r="B9" s="30">
        <v>46145</v>
      </c>
      <c r="C9" s="40">
        <v>772800</v>
      </c>
      <c r="D9" s="40">
        <v>411400</v>
      </c>
      <c r="E9" s="31">
        <v>190500</v>
      </c>
      <c r="G9" s="2"/>
      <c r="H9" s="37">
        <f t="shared" si="9"/>
        <v>46103</v>
      </c>
      <c r="I9" s="32">
        <v>500273</v>
      </c>
      <c r="J9" s="32">
        <v>0</v>
      </c>
      <c r="K9" s="32">
        <v>424838</v>
      </c>
      <c r="L9" s="32">
        <v>0</v>
      </c>
      <c r="M9" s="32">
        <v>296708</v>
      </c>
      <c r="N9" s="32">
        <v>0</v>
      </c>
      <c r="P9" s="27" t="str">
        <f t="shared" si="0"/>
        <v/>
      </c>
      <c r="Q9" s="27" cm="1">
        <f t="array" ref="Q9">IF(I9="",_xlfn.LET(
    _xlpm.vals,_xlfn._xlws.FILTER($J$4:J8,$J$4:J8&lt;&gt;"",""),
    _xlpm.avgJ,IF(COUNTA(_xlpm.vals)=0,0,AVERAGE(_xlfn.TAKE(_xlpm.vals,-MIN(7,ROWS(_xlpm.vals))))),
    _xlpm.addship,IF(P9="",0,P9),
    IF(
        AND(I8="",I9=""),
        Q8-_xlpm.avgJ+_xlpm.addship,
        IF(
            I9="",
            I8-_xlpm.avgJ+_xlpm.addship,
            ""
        )
    )
),I9)</f>
        <v>500273</v>
      </c>
      <c r="R9" s="27" t="str">
        <f t="shared" si="1"/>
        <v/>
      </c>
      <c r="S9" s="27" cm="1">
        <f t="array" ref="S9">IF(K9="",_xlfn.LET(
    _xlpm.vals,_xlfn._xlws.FILTER($L$4:L8,$L$4:L8&lt;&gt;"",""),
    _xlpm.avgJ,IF(COUNTA(_xlpm.vals)=0,0,AVERAGE(_xlfn.TAKE(_xlpm.vals,-MIN(7,ROWS(_xlpm.vals))))),
    _xlpm.addship,IF(R9="",0,R9),
    IF(
        AND(K8="",K9=""),
        S8-_xlpm.avgJ+_xlpm.addship,
        IF(
            K9="",
            K8-_xlpm.avgJ+_xlpm.addship,
            ""
        )
    )
),K9)</f>
        <v>424838</v>
      </c>
      <c r="T9" s="27" t="str">
        <f t="shared" si="2"/>
        <v/>
      </c>
      <c r="U9" s="27" cm="1">
        <f t="array" ref="U9">IF(M9="",_xlfn.LET(
    _xlpm.vals,_xlfn._xlws.FILTER($N$4:N8,$N$4:N8&lt;&gt;"",""),
    _xlpm.avgJ,IF(COUNTA(_xlpm.vals)=0,0,AVERAGE(_xlfn.TAKE(_xlpm.vals,-MIN(7,ROWS(_xlpm.vals))))),
    _xlpm.addship,IF(T9="",0,T9),
    IF(
        AND(M8="",M9=""),
        U8-_xlpm.avgJ+_xlpm.addship,
        IF(
            M9="",
            M8-_xlpm.avgJ+_xlpm.addship,
            ""
        )
    )
),M9)</f>
        <v>296708</v>
      </c>
      <c r="V9" s="4" t="e">
        <f ca="1">IF(AND(Q9="",S9="",U9=""),"",
_xlfn.LET(
_xlpm.msgs,
_xlfn.TEXTJOIN(" | ",TRUE,
IF(Q9&gt;$C$20,"Petrol over capacity",""),
IF(Q9&lt;$C$21,"Petrol stock out",""),
IF(S9&gt;$D$20,"Diesel over capacity",""),
IF(S9&lt;$D$21,"Diesel stock out",""),
IF(U9&gt;$E$20,"Kero over capacity",""),
IF(U9&lt;$E$21,"Kero stock out","")),
IF(_xlpm.msgs="","",_xlpm.msgs)
))</f>
        <v>#NAME?</v>
      </c>
      <c r="AE9" s="51">
        <f t="shared" si="3"/>
        <v>47000</v>
      </c>
      <c r="AF9" s="51">
        <f t="shared" si="4"/>
        <v>1223106</v>
      </c>
      <c r="AG9" s="51">
        <f t="shared" si="5"/>
        <v>45000</v>
      </c>
      <c r="AH9" s="51">
        <f t="shared" si="6"/>
        <v>858361</v>
      </c>
      <c r="AI9" s="51">
        <f t="shared" si="7"/>
        <v>24500</v>
      </c>
      <c r="AJ9" s="51">
        <f t="shared" si="8"/>
        <v>589571</v>
      </c>
    </row>
    <row r="10" spans="1:36" ht="18" customHeight="1" x14ac:dyDescent="0.3">
      <c r="A10" s="5" t="s">
        <v>19</v>
      </c>
      <c r="B10" s="30">
        <v>46158</v>
      </c>
      <c r="C10" s="40">
        <v>841800</v>
      </c>
      <c r="D10" s="40">
        <v>496100</v>
      </c>
      <c r="E10" s="31">
        <v>228600</v>
      </c>
      <c r="G10" s="2"/>
      <c r="H10" s="37">
        <f t="shared" si="9"/>
        <v>46104</v>
      </c>
      <c r="I10" s="32">
        <v>400940</v>
      </c>
      <c r="J10" s="32">
        <v>99540</v>
      </c>
      <c r="K10" s="32">
        <v>376262</v>
      </c>
      <c r="L10" s="32">
        <v>48800</v>
      </c>
      <c r="M10" s="32">
        <v>296696</v>
      </c>
      <c r="N10" s="32">
        <v>200</v>
      </c>
      <c r="P10" s="27" t="str">
        <f t="shared" si="0"/>
        <v/>
      </c>
      <c r="Q10" s="27" cm="1">
        <f t="array" ref="Q10">IF(I10="",_xlfn.LET(
    _xlpm.vals,_xlfn._xlws.FILTER($J$4:J9,$J$4:J9&lt;&gt;"",""),
    _xlpm.avgJ,IF(COUNTA(_xlpm.vals)=0,0,AVERAGE(_xlfn.TAKE(_xlpm.vals,-MIN(7,ROWS(_xlpm.vals))))),
    _xlpm.addship,IF(P10="",0,P10),
    IF(
        AND(I9="",I10=""),
        Q9-_xlpm.avgJ+_xlpm.addship,
        IF(
            I10="",
            I9-_xlpm.avgJ+_xlpm.addship,
            ""
        )
    )
),I10)</f>
        <v>400940</v>
      </c>
      <c r="R10" s="27" t="str">
        <f t="shared" si="1"/>
        <v/>
      </c>
      <c r="S10" s="27" cm="1">
        <f t="array" ref="S10">IF(K10="",_xlfn.LET(
    _xlpm.vals,_xlfn._xlws.FILTER($L$4:L9,$L$4:L9&lt;&gt;"",""),
    _xlpm.avgJ,IF(COUNTA(_xlpm.vals)=0,0,AVERAGE(_xlfn.TAKE(_xlpm.vals,-MIN(7,ROWS(_xlpm.vals))))),
    _xlpm.addship,IF(R10="",0,R10),
    IF(
        AND(K9="",K10=""),
        S9-_xlpm.avgJ+_xlpm.addship,
        IF(
            K10="",
            K9-_xlpm.avgJ+_xlpm.addship,
            ""
        )
    )
),K10)</f>
        <v>376262</v>
      </c>
      <c r="T10" s="27" t="str">
        <f t="shared" si="2"/>
        <v/>
      </c>
      <c r="U10" s="27" cm="1">
        <f t="array" ref="U10">IF(M10="",_xlfn.LET(
    _xlpm.vals,_xlfn._xlws.FILTER($N$4:N9,$N$4:N9&lt;&gt;"",""),
    _xlpm.avgJ,IF(COUNTA(_xlpm.vals)=0,0,AVERAGE(_xlfn.TAKE(_xlpm.vals,-MIN(7,ROWS(_xlpm.vals))))),
    _xlpm.addship,IF(T10="",0,T10),
    IF(
        AND(M9="",M10=""),
        U9-_xlpm.avgJ+_xlpm.addship,
        IF(
            M10="",
            M9-_xlpm.avgJ+_xlpm.addship,
            ""
        )
    )
),M10)</f>
        <v>296696</v>
      </c>
      <c r="V10" s="4" t="e">
        <f ca="1">IF(AND(Q10="",S10="",U10=""),"",
_xlfn.LET(
_xlpm.msgs,
_xlfn.TEXTJOIN(" | ",TRUE,
IF(Q10&gt;$C$20,"Petrol over capacity",""),
IF(Q10&lt;$C$21,"Petrol stock out",""),
IF(S10&gt;$D$20,"Diesel over capacity",""),
IF(S10&lt;$D$21,"Diesel stock out",""),
IF(U10&gt;$E$20,"Kero over capacity",""),
IF(U10&lt;$E$21,"Kero stock out","")),
IF(_xlpm.msgs="","",_xlpm.msgs)
))</f>
        <v>#NAME?</v>
      </c>
      <c r="AE10" s="51">
        <f t="shared" si="3"/>
        <v>47000</v>
      </c>
      <c r="AF10" s="51">
        <f t="shared" si="4"/>
        <v>1223106</v>
      </c>
      <c r="AG10" s="51">
        <f t="shared" si="5"/>
        <v>45000</v>
      </c>
      <c r="AH10" s="51">
        <f t="shared" si="6"/>
        <v>858361</v>
      </c>
      <c r="AI10" s="51">
        <f t="shared" si="7"/>
        <v>24500</v>
      </c>
      <c r="AJ10" s="51">
        <f t="shared" si="8"/>
        <v>589571</v>
      </c>
    </row>
    <row r="11" spans="1:36" ht="18" customHeight="1" x14ac:dyDescent="0.3">
      <c r="A11" s="5"/>
      <c r="G11" s="2"/>
      <c r="H11" s="37">
        <f t="shared" si="9"/>
        <v>46105</v>
      </c>
      <c r="I11" s="32">
        <v>341003</v>
      </c>
      <c r="J11" s="32">
        <v>59800</v>
      </c>
      <c r="K11" s="32">
        <v>348535</v>
      </c>
      <c r="L11" s="32">
        <v>27800</v>
      </c>
      <c r="M11" s="32">
        <v>237758</v>
      </c>
      <c r="N11" s="32">
        <v>46600</v>
      </c>
      <c r="P11" s="27" t="str">
        <f t="shared" si="0"/>
        <v/>
      </c>
      <c r="Q11" s="27" cm="1">
        <f t="array" ref="Q11">IF(I11="",_xlfn.LET(
    _xlpm.vals,_xlfn._xlws.FILTER($J$4:J10,$J$4:J10&lt;&gt;"",""),
    _xlpm.avgJ,IF(COUNTA(_xlpm.vals)=0,0,AVERAGE(_xlfn.TAKE(_xlpm.vals,-MIN(7,ROWS(_xlpm.vals))))),
    _xlpm.addship,IF(P11="",0,P11),
    IF(
        AND(I10="",I11=""),
        Q10-_xlpm.avgJ+_xlpm.addship,
        IF(
            I11="",
            I10-_xlpm.avgJ+_xlpm.addship,
            ""
        )
    )
),I11)</f>
        <v>341003</v>
      </c>
      <c r="R11" s="27" t="str">
        <f t="shared" si="1"/>
        <v/>
      </c>
      <c r="S11" s="27" cm="1">
        <f t="array" ref="S11">IF(K11="",_xlfn.LET(
    _xlpm.vals,_xlfn._xlws.FILTER($L$4:L10,$L$4:L10&lt;&gt;"",""),
    _xlpm.avgJ,IF(COUNTA(_xlpm.vals)=0,0,AVERAGE(_xlfn.TAKE(_xlpm.vals,-MIN(7,ROWS(_xlpm.vals))))),
    _xlpm.addship,IF(R11="",0,R11),
    IF(
        AND(K10="",K11=""),
        S10-_xlpm.avgJ+_xlpm.addship,
        IF(
            K11="",
            K10-_xlpm.avgJ+_xlpm.addship,
            ""
        )
    )
),K11)</f>
        <v>348535</v>
      </c>
      <c r="T11" s="27" t="str">
        <f t="shared" si="2"/>
        <v/>
      </c>
      <c r="U11" s="27" cm="1">
        <f t="array" ref="U11">IF(M11="",_xlfn.LET(
    _xlpm.vals,_xlfn._xlws.FILTER($N$4:N10,$N$4:N10&lt;&gt;"",""),
    _xlpm.avgJ,IF(COUNTA(_xlpm.vals)=0,0,AVERAGE(_xlfn.TAKE(_xlpm.vals,-MIN(7,ROWS(_xlpm.vals))))),
    _xlpm.addship,IF(T11="",0,T11),
    IF(
        AND(M10="",M11=""),
        U10-_xlpm.avgJ+_xlpm.addship,
        IF(
            M11="",
            M10-_xlpm.avgJ+_xlpm.addship,
            ""
        )
    )
),M11)</f>
        <v>237758</v>
      </c>
      <c r="V11" s="4" t="e">
        <f ca="1">IF(AND(Q11="",S11="",U11=""),"",
_xlfn.LET(
_xlpm.msgs,
_xlfn.TEXTJOIN(" | ",TRUE,
IF(Q11&gt;$C$20,"Petrol over capacity",""),
IF(Q11&lt;$C$21,"Petrol stock out",""),
IF(S11&gt;$D$20,"Diesel over capacity",""),
IF(S11&lt;$D$21,"Diesel stock out",""),
IF(U11&gt;$E$20,"Kero over capacity",""),
IF(U11&lt;$E$21,"Kero stock out","")),
IF(_xlpm.msgs="","",_xlpm.msgs)
))</f>
        <v>#NAME?</v>
      </c>
      <c r="AE11" s="51">
        <f t="shared" si="3"/>
        <v>47000</v>
      </c>
      <c r="AF11" s="51">
        <f t="shared" si="4"/>
        <v>1223106</v>
      </c>
      <c r="AG11" s="51">
        <f t="shared" si="5"/>
        <v>45000</v>
      </c>
      <c r="AH11" s="51">
        <f t="shared" si="6"/>
        <v>858361</v>
      </c>
      <c r="AI11" s="51">
        <f t="shared" si="7"/>
        <v>24500</v>
      </c>
      <c r="AJ11" s="51">
        <f t="shared" si="8"/>
        <v>589571</v>
      </c>
    </row>
    <row r="12" spans="1:36" ht="18" customHeight="1" x14ac:dyDescent="0.3">
      <c r="A12" s="14"/>
      <c r="B12" s="15"/>
      <c r="C12" s="16"/>
      <c r="D12" s="16"/>
      <c r="E12" s="16"/>
      <c r="F12" s="17"/>
      <c r="G12" s="2"/>
      <c r="H12" s="37">
        <f t="shared" si="9"/>
        <v>46106</v>
      </c>
      <c r="I12" s="32">
        <v>289512</v>
      </c>
      <c r="J12" s="32">
        <v>51500</v>
      </c>
      <c r="K12" s="32">
        <v>318704</v>
      </c>
      <c r="L12" s="32">
        <v>30000</v>
      </c>
      <c r="M12" s="32">
        <v>246962</v>
      </c>
      <c r="N12" s="32">
        <v>2400</v>
      </c>
      <c r="P12" s="27" t="str">
        <f t="shared" si="0"/>
        <v/>
      </c>
      <c r="Q12" s="27" cm="1">
        <f t="array" ref="Q12">IF(I12="",_xlfn.LET(
    _xlpm.vals,_xlfn._xlws.FILTER($J$4:J11,$J$4:J11&lt;&gt;"",""),
    _xlpm.avgJ,IF(COUNTA(_xlpm.vals)=0,0,AVERAGE(_xlfn.TAKE(_xlpm.vals,-MIN(7,ROWS(_xlpm.vals))))),
    _xlpm.addship,IF(P12="",0,P12),
    IF(
        AND(I11="",I12=""),
        Q11-_xlpm.avgJ+_xlpm.addship,
        IF(
            I12="",
            I11-_xlpm.avgJ+_xlpm.addship,
            ""
        )
    )
),I12)</f>
        <v>289512</v>
      </c>
      <c r="R12" s="27" t="str">
        <f t="shared" si="1"/>
        <v/>
      </c>
      <c r="S12" s="27" cm="1">
        <f t="array" ref="S12">IF(K12="",_xlfn.LET(
    _xlpm.vals,_xlfn._xlws.FILTER($L$4:L11,$L$4:L11&lt;&gt;"",""),
    _xlpm.avgJ,IF(COUNTA(_xlpm.vals)=0,0,AVERAGE(_xlfn.TAKE(_xlpm.vals,-MIN(7,ROWS(_xlpm.vals))))),
    _xlpm.addship,IF(R12="",0,R12),
    IF(
        AND(K11="",K12=""),
        S11-_xlpm.avgJ+_xlpm.addship,
        IF(
            K12="",
            K11-_xlpm.avgJ+_xlpm.addship,
            ""
        )
    )
),K12)</f>
        <v>318704</v>
      </c>
      <c r="T12" s="27" t="str">
        <f t="shared" si="2"/>
        <v/>
      </c>
      <c r="U12" s="27" cm="1">
        <f t="array" ref="U12">IF(M12="",_xlfn.LET(
    _xlpm.vals,_xlfn._xlws.FILTER($N$4:N11,$N$4:N11&lt;&gt;"",""),
    _xlpm.avgJ,IF(COUNTA(_xlpm.vals)=0,0,AVERAGE(_xlfn.TAKE(_xlpm.vals,-MIN(7,ROWS(_xlpm.vals))))),
    _xlpm.addship,IF(T12="",0,T12),
    IF(
        AND(M11="",M12=""),
        U11-_xlpm.avgJ+_xlpm.addship,
        IF(
            M12="",
            M11-_xlpm.avgJ+_xlpm.addship,
            ""
        )
    )
),M12)</f>
        <v>246962</v>
      </c>
      <c r="V12" s="4" t="e">
        <f ca="1">IF(AND(Q12="",S12="",U12=""),"",
_xlfn.LET(
_xlpm.msgs,
_xlfn.TEXTJOIN(" | ",TRUE,
IF(Q12&gt;$C$20,"Petrol over capacity",""),
IF(Q12&lt;$C$21,"Petrol stock out",""),
IF(S12&gt;$D$20,"Diesel over capacity",""),
IF(S12&lt;$D$21,"Diesel stock out",""),
IF(U12&gt;$E$20,"Kero over capacity",""),
IF(U12&lt;$E$21,"Kero stock out","")),
IF(_xlpm.msgs="","",_xlpm.msgs)
))</f>
        <v>#NAME?</v>
      </c>
      <c r="AE12" s="51">
        <f t="shared" si="3"/>
        <v>47000</v>
      </c>
      <c r="AF12" s="51">
        <f t="shared" si="4"/>
        <v>1223106</v>
      </c>
      <c r="AG12" s="51">
        <f t="shared" si="5"/>
        <v>45000</v>
      </c>
      <c r="AH12" s="51">
        <f t="shared" si="6"/>
        <v>858361</v>
      </c>
      <c r="AI12" s="51">
        <f t="shared" si="7"/>
        <v>24500</v>
      </c>
      <c r="AJ12" s="51">
        <f t="shared" si="8"/>
        <v>589571</v>
      </c>
    </row>
    <row r="13" spans="1:36" ht="18" customHeight="1" x14ac:dyDescent="0.3">
      <c r="A13" s="18"/>
      <c r="B13" s="19"/>
      <c r="C13" s="20"/>
      <c r="D13" s="26" t="e" cm="1">
        <f t="array" aca="1" ref="D13" ca="1">_xlfn.LET(
    _xlpm.pDate,IFERROR(INDEX(H4:H500,MATCH(TRUE,ISNUMBER(SEARCH("Petrol stock out",V4:V500)),0)),""),
    _xlpm.dDate,IFERROR(INDEX(H4:H500,MATCH(TRUE,ISNUMBER(SEARCH("Diesel stock out",V4:V500)),0)),""),
    _xlpm.kDate,IFERROR(INDEX(H4:H500,MATCH(TRUE,ISNUMBER(SEARCH("Kero stock out",V4:V500)),0)),""),
    _xlpm.results,_xlfn.VSTACK(
        IF(_xlpm.pDate&lt;&gt;"","First petrol stock out: "&amp;TEXT(_xlpm.pDate,"d-mmm-yy")&amp;", cargo needed before this date",""),
        IF(_xlpm.dDate&lt;&gt;"","First diesel stock out: "&amp;TEXT(_xlpm.dDate,"d-mmm-yy")&amp;", cargo needed before this date",""),
        IF(_xlpm.kDate&lt;&gt;"","First kero stock out: "&amp;TEXT(_xlpm.kDate,"d-mmm-yy")&amp;", cargo needed before this date","")
    ),
    _xlpm.filtered,_xlfn._xlws.FILTER(_xlpm.results,_xlpm.results&lt;&gt;""),
    IFERROR(_xlpm.filtered,"No stock outs forecast")
)</f>
        <v>#NAME?</v>
      </c>
      <c r="E13" s="26"/>
      <c r="F13" s="21"/>
      <c r="G13" s="2"/>
      <c r="H13" s="37">
        <f t="shared" si="9"/>
        <v>46107</v>
      </c>
      <c r="I13" s="32">
        <v>226543</v>
      </c>
      <c r="J13" s="32">
        <v>63300</v>
      </c>
      <c r="K13" s="32">
        <v>281351</v>
      </c>
      <c r="L13" s="32">
        <v>26900</v>
      </c>
      <c r="M13" s="32">
        <v>228225</v>
      </c>
      <c r="N13" s="32">
        <v>18700</v>
      </c>
      <c r="P13" s="27" t="str">
        <f t="shared" si="0"/>
        <v/>
      </c>
      <c r="Q13" s="27" cm="1">
        <f t="array" ref="Q13">IF(I13="",_xlfn.LET(
    _xlpm.vals,_xlfn._xlws.FILTER($J$4:J12,$J$4:J12&lt;&gt;"",""),
    _xlpm.avgJ,IF(COUNTA(_xlpm.vals)=0,0,AVERAGE(_xlfn.TAKE(_xlpm.vals,-MIN(7,ROWS(_xlpm.vals))))),
    _xlpm.addship,IF(P13="",0,P13),
    IF(
        AND(I12="",I13=""),
        Q12-_xlpm.avgJ+_xlpm.addship,
        IF(
            I13="",
            I12-_xlpm.avgJ+_xlpm.addship,
            ""
        )
    )
),I13)</f>
        <v>226543</v>
      </c>
      <c r="R13" s="27" t="str">
        <f t="shared" si="1"/>
        <v/>
      </c>
      <c r="S13" s="27" cm="1">
        <f t="array" ref="S13">IF(K13="",_xlfn.LET(
    _xlpm.vals,_xlfn._xlws.FILTER($L$4:L12,$L$4:L12&lt;&gt;"",""),
    _xlpm.avgJ,IF(COUNTA(_xlpm.vals)=0,0,AVERAGE(_xlfn.TAKE(_xlpm.vals,-MIN(7,ROWS(_xlpm.vals))))),
    _xlpm.addship,IF(R13="",0,R13),
    IF(
        AND(K12="",K13=""),
        S12-_xlpm.avgJ+_xlpm.addship,
        IF(
            K13="",
            K12-_xlpm.avgJ+_xlpm.addship,
            ""
        )
    )
),K13)</f>
        <v>281351</v>
      </c>
      <c r="T13" s="27" t="str">
        <f t="shared" si="2"/>
        <v/>
      </c>
      <c r="U13" s="27" cm="1">
        <f t="array" ref="U13">IF(M13="",_xlfn.LET(
    _xlpm.vals,_xlfn._xlws.FILTER($N$4:N12,$N$4:N12&lt;&gt;"",""),
    _xlpm.avgJ,IF(COUNTA(_xlpm.vals)=0,0,AVERAGE(_xlfn.TAKE(_xlpm.vals,-MIN(7,ROWS(_xlpm.vals))))),
    _xlpm.addship,IF(T13="",0,T13),
    IF(
        AND(M12="",M13=""),
        U12-_xlpm.avgJ+_xlpm.addship,
        IF(
            M13="",
            M12-_xlpm.avgJ+_xlpm.addship,
            ""
        )
    )
),M13)</f>
        <v>228225</v>
      </c>
      <c r="V13" s="4" t="e">
        <f ca="1">IF(AND(Q13="",S13="",U13=""),"",
_xlfn.LET(
_xlpm.msgs,
_xlfn.TEXTJOIN(" | ",TRUE,
IF(Q13&gt;$C$20,"Petrol over capacity",""),
IF(Q13&lt;$C$21,"Petrol stock out",""),
IF(S13&gt;$D$20,"Diesel over capacity",""),
IF(S13&lt;$D$21,"Diesel stock out",""),
IF(U13&gt;$E$20,"Kero over capacity",""),
IF(U13&lt;$E$21,"Kero stock out","")),
IF(_xlpm.msgs="","",_xlpm.msgs)
))</f>
        <v>#NAME?</v>
      </c>
      <c r="AE13" s="51">
        <f t="shared" si="3"/>
        <v>47000</v>
      </c>
      <c r="AF13" s="51">
        <f t="shared" si="4"/>
        <v>1223106</v>
      </c>
      <c r="AG13" s="51">
        <f t="shared" si="5"/>
        <v>45000</v>
      </c>
      <c r="AH13" s="51">
        <f t="shared" si="6"/>
        <v>858361</v>
      </c>
      <c r="AI13" s="51">
        <f t="shared" si="7"/>
        <v>24500</v>
      </c>
      <c r="AJ13" s="51">
        <f t="shared" si="8"/>
        <v>589571</v>
      </c>
    </row>
    <row r="14" spans="1:36" ht="18" customHeight="1" x14ac:dyDescent="0.3">
      <c r="A14" s="22"/>
      <c r="B14" s="20"/>
      <c r="C14" s="20"/>
      <c r="D14" s="26"/>
      <c r="E14" s="26"/>
      <c r="F14" s="21"/>
      <c r="G14" s="2"/>
      <c r="H14" s="37">
        <f t="shared" si="9"/>
        <v>46108</v>
      </c>
      <c r="I14" s="32">
        <v>965601</v>
      </c>
      <c r="J14" s="32">
        <v>92400</v>
      </c>
      <c r="K14" s="32">
        <v>639390</v>
      </c>
      <c r="L14" s="32">
        <v>43500</v>
      </c>
      <c r="M14" s="32">
        <v>595090</v>
      </c>
      <c r="N14" s="32">
        <v>400</v>
      </c>
      <c r="P14" s="27" t="str">
        <f t="shared" si="0"/>
        <v/>
      </c>
      <c r="Q14" s="27" cm="1">
        <f t="array" ref="Q14">IF(I14="",_xlfn.LET(
    _xlpm.vals,_xlfn._xlws.FILTER($J$4:J13,$J$4:J13&lt;&gt;"",""),
    _xlpm.avgJ,IF(COUNTA(_xlpm.vals)=0,0,AVERAGE(_xlfn.TAKE(_xlpm.vals,-MIN(7,ROWS(_xlpm.vals))))),
    _xlpm.addship,IF(P14="",0,P14),
    IF(
        AND(I13="",I14=""),
        Q13-_xlpm.avgJ+_xlpm.addship,
        IF(
            I14="",
            I13-_xlpm.avgJ+_xlpm.addship,
            ""
        )
    )
),I14)</f>
        <v>965601</v>
      </c>
      <c r="R14" s="27" t="str">
        <f t="shared" si="1"/>
        <v/>
      </c>
      <c r="S14" s="27" cm="1">
        <f t="array" ref="S14">IF(K14="",_xlfn.LET(
    _xlpm.vals,_xlfn._xlws.FILTER($L$4:L13,$L$4:L13&lt;&gt;"",""),
    _xlpm.avgJ,IF(COUNTA(_xlpm.vals)=0,0,AVERAGE(_xlfn.TAKE(_xlpm.vals,-MIN(7,ROWS(_xlpm.vals))))),
    _xlpm.addship,IF(R14="",0,R14),
    IF(
        AND(K13="",K14=""),
        S13-_xlpm.avgJ+_xlpm.addship,
        IF(
            K14="",
            K13-_xlpm.avgJ+_xlpm.addship,
            ""
        )
    )
),K14)</f>
        <v>639390</v>
      </c>
      <c r="T14" s="27" t="str">
        <f t="shared" si="2"/>
        <v/>
      </c>
      <c r="U14" s="27" cm="1">
        <f t="array" ref="U14">IF(M14="",_xlfn.LET(
    _xlpm.vals,_xlfn._xlws.FILTER($N$4:N13,$N$4:N13&lt;&gt;"",""),
    _xlpm.avgJ,IF(COUNTA(_xlpm.vals)=0,0,AVERAGE(_xlfn.TAKE(_xlpm.vals,-MIN(7,ROWS(_xlpm.vals))))),
    _xlpm.addship,IF(T14="",0,T14),
    IF(
        AND(M13="",M14=""),
        U13-_xlpm.avgJ+_xlpm.addship,
        IF(
            M14="",
            M13-_xlpm.avgJ+_xlpm.addship,
            ""
        )
    )
),M14)</f>
        <v>595090</v>
      </c>
      <c r="V14" s="4" t="e">
        <f ca="1">IF(AND(Q14="",S14="",U14=""),"",
_xlfn.LET(
_xlpm.msgs,
_xlfn.TEXTJOIN(" | ",TRUE,
IF(Q14&gt;$C$20,"Petrol over capacity",""),
IF(Q14&lt;$C$21,"Petrol stock out",""),
IF(S14&gt;$D$20,"Diesel over capacity",""),
IF(S14&lt;$D$21,"Diesel stock out",""),
IF(U14&gt;$E$20,"Kero over capacity",""),
IF(U14&lt;$E$21,"Kero stock out","")),
IF(_xlpm.msgs="","",_xlpm.msgs)
))</f>
        <v>#NAME?</v>
      </c>
      <c r="AE14" s="51">
        <f t="shared" si="3"/>
        <v>47000</v>
      </c>
      <c r="AF14" s="51">
        <f t="shared" si="4"/>
        <v>1223106</v>
      </c>
      <c r="AG14" s="51">
        <f t="shared" si="5"/>
        <v>45000</v>
      </c>
      <c r="AH14" s="51">
        <f t="shared" si="6"/>
        <v>858361</v>
      </c>
      <c r="AI14" s="51">
        <f t="shared" si="7"/>
        <v>24500</v>
      </c>
      <c r="AJ14" s="51">
        <f t="shared" si="8"/>
        <v>589571</v>
      </c>
    </row>
    <row r="15" spans="1:36" ht="18" customHeight="1" x14ac:dyDescent="0.3">
      <c r="A15" s="22"/>
      <c r="B15" s="26"/>
      <c r="C15" s="26"/>
      <c r="D15" s="26"/>
      <c r="E15" s="20"/>
      <c r="F15" s="48"/>
      <c r="G15" s="2"/>
      <c r="H15" s="37">
        <f t="shared" si="9"/>
        <v>46109</v>
      </c>
      <c r="I15" s="32">
        <v>965601</v>
      </c>
      <c r="J15" s="32">
        <v>0</v>
      </c>
      <c r="K15" s="32">
        <v>639390</v>
      </c>
      <c r="L15" s="32">
        <v>0</v>
      </c>
      <c r="M15" s="32">
        <v>595090</v>
      </c>
      <c r="N15" s="32">
        <v>0</v>
      </c>
      <c r="P15" s="27" t="str">
        <f t="shared" si="0"/>
        <v/>
      </c>
      <c r="Q15" s="27" cm="1">
        <f t="array" ref="Q15">IF(I15="",_xlfn.LET(
    _xlpm.vals,_xlfn._xlws.FILTER($J$4:J14,$J$4:J14&lt;&gt;"",""),
    _xlpm.avgJ,IF(COUNTA(_xlpm.vals)=0,0,AVERAGE(_xlfn.TAKE(_xlpm.vals,-MIN(7,ROWS(_xlpm.vals))))),
    _xlpm.addship,IF(P15="",0,P15),
    IF(
        AND(I14="",I15=""),
        Q14-_xlpm.avgJ+_xlpm.addship,
        IF(
            I15="",
            I14-_xlpm.avgJ+_xlpm.addship,
            ""
        )
    )
),I15)</f>
        <v>965601</v>
      </c>
      <c r="R15" s="27" t="str">
        <f t="shared" si="1"/>
        <v/>
      </c>
      <c r="S15" s="27" cm="1">
        <f t="array" ref="S15">IF(K15="",_xlfn.LET(
    _xlpm.vals,_xlfn._xlws.FILTER($L$4:L14,$L$4:L14&lt;&gt;"",""),
    _xlpm.avgJ,IF(COUNTA(_xlpm.vals)=0,0,AVERAGE(_xlfn.TAKE(_xlpm.vals,-MIN(7,ROWS(_xlpm.vals))))),
    _xlpm.addship,IF(R15="",0,R15),
    IF(
        AND(K14="",K15=""),
        S14-_xlpm.avgJ+_xlpm.addship,
        IF(
            K15="",
            K14-_xlpm.avgJ+_xlpm.addship,
            ""
        )
    )
),K15)</f>
        <v>639390</v>
      </c>
      <c r="T15" s="27" t="str">
        <f t="shared" si="2"/>
        <v/>
      </c>
      <c r="U15" s="27" cm="1">
        <f t="array" ref="U15">IF(M15="",_xlfn.LET(
    _xlpm.vals,_xlfn._xlws.FILTER($N$4:N14,$N$4:N14&lt;&gt;"",""),
    _xlpm.avgJ,IF(COUNTA(_xlpm.vals)=0,0,AVERAGE(_xlfn.TAKE(_xlpm.vals,-MIN(7,ROWS(_xlpm.vals))))),
    _xlpm.addship,IF(T15="",0,T15),
    IF(
        AND(M14="",M15=""),
        U14-_xlpm.avgJ+_xlpm.addship,
        IF(
            M15="",
            M14-_xlpm.avgJ+_xlpm.addship,
            ""
        )
    )
),M15)</f>
        <v>595090</v>
      </c>
      <c r="V15" s="4" t="e">
        <f ca="1">IF(AND(Q15="",S15="",U15=""),"",
_xlfn.LET(
_xlpm.msgs,
_xlfn.TEXTJOIN(" | ",TRUE,
IF(Q15&gt;$C$20,"Petrol over capacity",""),
IF(Q15&lt;$C$21,"Petrol stock out",""),
IF(S15&gt;$D$20,"Diesel over capacity",""),
IF(S15&lt;$D$21,"Diesel stock out",""),
IF(U15&gt;$E$20,"Kero over capacity",""),
IF(U15&lt;$E$21,"Kero stock out","")),
IF(_xlpm.msgs="","",_xlpm.msgs)
))</f>
        <v>#NAME?</v>
      </c>
      <c r="AE15" s="51">
        <f t="shared" si="3"/>
        <v>47000</v>
      </c>
      <c r="AF15" s="51">
        <f t="shared" si="4"/>
        <v>1223106</v>
      </c>
      <c r="AG15" s="51">
        <f t="shared" si="5"/>
        <v>45000</v>
      </c>
      <c r="AH15" s="51">
        <f t="shared" si="6"/>
        <v>858361</v>
      </c>
      <c r="AI15" s="51">
        <f t="shared" si="7"/>
        <v>24500</v>
      </c>
      <c r="AJ15" s="51">
        <f t="shared" si="8"/>
        <v>589571</v>
      </c>
    </row>
    <row r="16" spans="1:36" ht="18" customHeight="1" x14ac:dyDescent="0.3">
      <c r="A16" s="23"/>
      <c r="B16" s="47"/>
      <c r="C16" s="47"/>
      <c r="D16" s="47"/>
      <c r="E16" s="24"/>
      <c r="F16" s="25"/>
      <c r="G16" s="2"/>
      <c r="H16" s="37">
        <f t="shared" si="9"/>
        <v>46110</v>
      </c>
      <c r="I16" s="32">
        <v>965601</v>
      </c>
      <c r="J16" s="32">
        <v>0</v>
      </c>
      <c r="K16" s="32">
        <v>639390</v>
      </c>
      <c r="L16" s="32">
        <v>0</v>
      </c>
      <c r="M16" s="32">
        <v>595090</v>
      </c>
      <c r="N16" s="32">
        <v>0</v>
      </c>
      <c r="P16" s="27" t="str">
        <f t="shared" si="0"/>
        <v/>
      </c>
      <c r="Q16" s="27" cm="1">
        <f t="array" ref="Q16">IF(I16="",_xlfn.LET(
    _xlpm.vals,_xlfn._xlws.FILTER($J$4:J15,$J$4:J15&lt;&gt;"",""),
    _xlpm.avgJ,IF(COUNTA(_xlpm.vals)=0,0,AVERAGE(_xlfn.TAKE(_xlpm.vals,-MIN(7,ROWS(_xlpm.vals))))),
    _xlpm.addship,IF(P16="",0,P16),
    IF(
        AND(I15="",I16=""),
        Q15-_xlpm.avgJ+_xlpm.addship,
        IF(
            I16="",
            I15-_xlpm.avgJ+_xlpm.addship,
            ""
        )
    )
),I16)</f>
        <v>965601</v>
      </c>
      <c r="R16" s="27" t="str">
        <f t="shared" si="1"/>
        <v/>
      </c>
      <c r="S16" s="27" cm="1">
        <f t="array" ref="S16">IF(K16="",_xlfn.LET(
    _xlpm.vals,_xlfn._xlws.FILTER($L$4:L15,$L$4:L15&lt;&gt;"",""),
    _xlpm.avgJ,IF(COUNTA(_xlpm.vals)=0,0,AVERAGE(_xlfn.TAKE(_xlpm.vals,-MIN(7,ROWS(_xlpm.vals))))),
    _xlpm.addship,IF(R16="",0,R16),
    IF(
        AND(K15="",K16=""),
        S15-_xlpm.avgJ+_xlpm.addship,
        IF(
            K16="",
            K15-_xlpm.avgJ+_xlpm.addship,
            ""
        )
    )
),K16)</f>
        <v>639390</v>
      </c>
      <c r="T16" s="27" t="str">
        <f t="shared" si="2"/>
        <v/>
      </c>
      <c r="U16" s="27" cm="1">
        <f t="array" ref="U16">IF(M16="",_xlfn.LET(
    _xlpm.vals,_xlfn._xlws.FILTER($N$4:N15,$N$4:N15&lt;&gt;"",""),
    _xlpm.avgJ,IF(COUNTA(_xlpm.vals)=0,0,AVERAGE(_xlfn.TAKE(_xlpm.vals,-MIN(7,ROWS(_xlpm.vals))))),
    _xlpm.addship,IF(T16="",0,T16),
    IF(
        AND(M15="",M16=""),
        U15-_xlpm.avgJ+_xlpm.addship,
        IF(
            M16="",
            M15-_xlpm.avgJ+_xlpm.addship,
            ""
        )
    )
),M16)</f>
        <v>595090</v>
      </c>
      <c r="V16" s="4" t="e">
        <f ca="1">IF(AND(Q16="",S16="",U16=""),"",
_xlfn.LET(
_xlpm.msgs,
_xlfn.TEXTJOIN(" | ",TRUE,
IF(Q16&gt;$C$20,"Petrol over capacity",""),
IF(Q16&lt;$C$21,"Petrol stock out",""),
IF(S16&gt;$D$20,"Diesel over capacity",""),
IF(S16&lt;$D$21,"Diesel stock out",""),
IF(U16&gt;$E$20,"Kero over capacity",""),
IF(U16&lt;$E$21,"Kero stock out","")),
IF(_xlpm.msgs="","",_xlpm.msgs)
))</f>
        <v>#NAME?</v>
      </c>
      <c r="AE16" s="51">
        <f t="shared" si="3"/>
        <v>47000</v>
      </c>
      <c r="AF16" s="51">
        <f t="shared" si="4"/>
        <v>1223106</v>
      </c>
      <c r="AG16" s="51">
        <f t="shared" si="5"/>
        <v>45000</v>
      </c>
      <c r="AH16" s="51">
        <f t="shared" si="6"/>
        <v>858361</v>
      </c>
      <c r="AI16" s="51">
        <f t="shared" si="7"/>
        <v>24500</v>
      </c>
      <c r="AJ16" s="51">
        <f t="shared" si="8"/>
        <v>589571</v>
      </c>
    </row>
    <row r="17" spans="1:36" ht="18" customHeight="1" x14ac:dyDescent="0.3">
      <c r="G17" s="2"/>
      <c r="H17" s="37">
        <f t="shared" si="9"/>
        <v>46111</v>
      </c>
      <c r="I17" s="32">
        <v>794190</v>
      </c>
      <c r="J17" s="32">
        <v>143450</v>
      </c>
      <c r="K17" s="32">
        <v>515573</v>
      </c>
      <c r="L17" s="32">
        <v>120400</v>
      </c>
      <c r="M17" s="32">
        <v>400527</v>
      </c>
      <c r="N17" s="32">
        <v>10200</v>
      </c>
      <c r="P17" s="27" t="str">
        <f t="shared" si="0"/>
        <v/>
      </c>
      <c r="Q17" s="27" cm="1">
        <f t="array" ref="Q17">IF(I17="",_xlfn.LET(
    _xlpm.vals,_xlfn._xlws.FILTER($J$4:J16,$J$4:J16&lt;&gt;"",""),
    _xlpm.avgJ,IF(COUNTA(_xlpm.vals)=0,0,AVERAGE(_xlfn.TAKE(_xlpm.vals,-MIN(7,ROWS(_xlpm.vals))))),
    _xlpm.addship,IF(P17="",0,P17),
    IF(
        AND(I16="",I17=""),
        Q16-_xlpm.avgJ+_xlpm.addship,
        IF(
            I17="",
            I16-_xlpm.avgJ+_xlpm.addship,
            ""
        )
    )
),I17)</f>
        <v>794190</v>
      </c>
      <c r="R17" s="27" t="str">
        <f t="shared" si="1"/>
        <v/>
      </c>
      <c r="S17" s="27" cm="1">
        <f t="array" ref="S17">IF(K17="",_xlfn.LET(
    _xlpm.vals,_xlfn._xlws.FILTER($L$4:L16,$L$4:L16&lt;&gt;"",""),
    _xlpm.avgJ,IF(COUNTA(_xlpm.vals)=0,0,AVERAGE(_xlfn.TAKE(_xlpm.vals,-MIN(7,ROWS(_xlpm.vals))))),
    _xlpm.addship,IF(R17="",0,R17),
    IF(
        AND(K16="",K17=""),
        S16-_xlpm.avgJ+_xlpm.addship,
        IF(
            K17="",
            K16-_xlpm.avgJ+_xlpm.addship,
            ""
        )
    )
),K17)</f>
        <v>515573</v>
      </c>
      <c r="T17" s="27" t="str">
        <f t="shared" si="2"/>
        <v/>
      </c>
      <c r="U17" s="27" cm="1">
        <f t="array" ref="U17">IF(M17="",_xlfn.LET(
    _xlpm.vals,_xlfn._xlws.FILTER($N$4:N16,$N$4:N16&lt;&gt;"",""),
    _xlpm.avgJ,IF(COUNTA(_xlpm.vals)=0,0,AVERAGE(_xlfn.TAKE(_xlpm.vals,-MIN(7,ROWS(_xlpm.vals))))),
    _xlpm.addship,IF(T17="",0,T17),
    IF(
        AND(M16="",M17=""),
        U16-_xlpm.avgJ+_xlpm.addship,
        IF(
            M17="",
            M16-_xlpm.avgJ+_xlpm.addship,
            ""
        )
    )
),M17)</f>
        <v>400527</v>
      </c>
      <c r="V17" s="4" t="e">
        <f ca="1">IF(AND(Q17="",S17="",U17=""),"",
_xlfn.LET(
_xlpm.msgs,
_xlfn.TEXTJOIN(" | ",TRUE,
IF(Q17&gt;$C$20,"Petrol over capacity",""),
IF(Q17&lt;$C$21,"Petrol stock out",""),
IF(S17&gt;$D$20,"Diesel over capacity",""),
IF(S17&lt;$D$21,"Diesel stock out",""),
IF(U17&gt;$E$20,"Kero over capacity",""),
IF(U17&lt;$E$21,"Kero stock out","")),
IF(_xlpm.msgs="","",_xlpm.msgs)
))</f>
        <v>#NAME?</v>
      </c>
      <c r="AE17" s="51">
        <f t="shared" si="3"/>
        <v>47000</v>
      </c>
      <c r="AF17" s="51">
        <f t="shared" si="4"/>
        <v>1223106</v>
      </c>
      <c r="AG17" s="51">
        <f t="shared" si="5"/>
        <v>45000</v>
      </c>
      <c r="AH17" s="51">
        <f t="shared" si="6"/>
        <v>858361</v>
      </c>
      <c r="AI17" s="51">
        <f t="shared" si="7"/>
        <v>24500</v>
      </c>
      <c r="AJ17" s="51">
        <f t="shared" si="8"/>
        <v>589571</v>
      </c>
    </row>
    <row r="18" spans="1:36" ht="18" customHeight="1" x14ac:dyDescent="0.3">
      <c r="A18" s="38" t="s">
        <v>21</v>
      </c>
      <c r="C18" s="56" t="s">
        <v>0</v>
      </c>
      <c r="D18" s="54"/>
      <c r="E18" s="55"/>
      <c r="G18" s="2"/>
      <c r="H18" s="37">
        <f t="shared" si="9"/>
        <v>46112</v>
      </c>
      <c r="I18" s="32">
        <v>634730</v>
      </c>
      <c r="J18" s="32">
        <v>158100</v>
      </c>
      <c r="K18" s="32">
        <v>358173</v>
      </c>
      <c r="L18" s="32">
        <v>157300</v>
      </c>
      <c r="M18" s="32">
        <v>349463</v>
      </c>
      <c r="N18" s="32">
        <v>46000</v>
      </c>
      <c r="P18" s="27" t="str">
        <f t="shared" si="0"/>
        <v/>
      </c>
      <c r="Q18" s="27" cm="1">
        <f t="array" ref="Q18">IF(I18="",_xlfn.LET(
    _xlpm.vals,_xlfn._xlws.FILTER($J$4:J17,$J$4:J17&lt;&gt;"",""),
    _xlpm.avgJ,IF(COUNTA(_xlpm.vals)=0,0,AVERAGE(_xlfn.TAKE(_xlpm.vals,-MIN(7,ROWS(_xlpm.vals))))),
    _xlpm.addship,IF(P18="",0,P18),
    IF(
        AND(I17="",I18=""),
        Q17-_xlpm.avgJ+_xlpm.addship,
        IF(
            I18="",
            I17-_xlpm.avgJ+_xlpm.addship,
            ""
        )
    )
),I18)</f>
        <v>634730</v>
      </c>
      <c r="R18" s="27" t="str">
        <f t="shared" si="1"/>
        <v/>
      </c>
      <c r="S18" s="27" cm="1">
        <f t="array" ref="S18">IF(K18="",_xlfn.LET(
    _xlpm.vals,_xlfn._xlws.FILTER($L$4:L17,$L$4:L17&lt;&gt;"",""),
    _xlpm.avgJ,IF(COUNTA(_xlpm.vals)=0,0,AVERAGE(_xlfn.TAKE(_xlpm.vals,-MIN(7,ROWS(_xlpm.vals))))),
    _xlpm.addship,IF(R18="",0,R18),
    IF(
        AND(K17="",K18=""),
        S17-_xlpm.avgJ+_xlpm.addship,
        IF(
            K18="",
            K17-_xlpm.avgJ+_xlpm.addship,
            ""
        )
    )
),K18)</f>
        <v>358173</v>
      </c>
      <c r="T18" s="27" t="str">
        <f t="shared" si="2"/>
        <v/>
      </c>
      <c r="U18" s="27" cm="1">
        <f t="array" ref="U18">IF(M18="",_xlfn.LET(
    _xlpm.vals,_xlfn._xlws.FILTER($N$4:N17,$N$4:N17&lt;&gt;"",""),
    _xlpm.avgJ,IF(COUNTA(_xlpm.vals)=0,0,AVERAGE(_xlfn.TAKE(_xlpm.vals,-MIN(7,ROWS(_xlpm.vals))))),
    _xlpm.addship,IF(T18="",0,T18),
    IF(
        AND(M17="",M18=""),
        U17-_xlpm.avgJ+_xlpm.addship,
        IF(
            M18="",
            M17-_xlpm.avgJ+_xlpm.addship,
            ""
        )
    )
),M18)</f>
        <v>349463</v>
      </c>
      <c r="V18" s="4" t="e">
        <f ca="1">IF(AND(Q18="",S18="",U18=""),"",
_xlfn.LET(
_xlpm.msgs,
_xlfn.TEXTJOIN(" | ",TRUE,
IF(Q18&gt;$C$20,"Petrol over capacity",""),
IF(Q18&lt;$C$21,"Petrol stock out",""),
IF(S18&gt;$D$20,"Diesel over capacity",""),
IF(S18&lt;$D$21,"Diesel stock out",""),
IF(U18&gt;$E$20,"Kero over capacity",""),
IF(U18&lt;$E$21,"Kero stock out","")),
IF(_xlpm.msgs="","",_xlpm.msgs)
))</f>
        <v>#NAME?</v>
      </c>
      <c r="AE18" s="51">
        <f t="shared" si="3"/>
        <v>47000</v>
      </c>
      <c r="AF18" s="51">
        <f t="shared" si="4"/>
        <v>1223106</v>
      </c>
      <c r="AG18" s="51">
        <f t="shared" si="5"/>
        <v>45000</v>
      </c>
      <c r="AH18" s="51">
        <f t="shared" si="6"/>
        <v>858361</v>
      </c>
      <c r="AI18" s="51">
        <f t="shared" si="7"/>
        <v>24500</v>
      </c>
      <c r="AJ18" s="51">
        <f t="shared" si="8"/>
        <v>589571</v>
      </c>
    </row>
    <row r="19" spans="1:36" ht="18" customHeight="1" x14ac:dyDescent="0.3">
      <c r="A19" s="11" t="s">
        <v>12</v>
      </c>
      <c r="B19" s="6"/>
      <c r="C19" s="50" t="s">
        <v>1</v>
      </c>
      <c r="D19" s="44" t="s">
        <v>2</v>
      </c>
      <c r="E19" s="45" t="s">
        <v>24</v>
      </c>
      <c r="G19" s="2"/>
      <c r="H19" s="37">
        <f t="shared" si="9"/>
        <v>46113</v>
      </c>
      <c r="I19" s="32">
        <v>628492</v>
      </c>
      <c r="J19" s="32">
        <v>5400</v>
      </c>
      <c r="K19" s="32">
        <v>348251</v>
      </c>
      <c r="L19" s="32">
        <v>10000</v>
      </c>
      <c r="M19" s="32">
        <v>325604</v>
      </c>
      <c r="N19" s="32">
        <v>23700</v>
      </c>
      <c r="P19" s="27" t="str">
        <f t="shared" si="0"/>
        <v/>
      </c>
      <c r="Q19" s="27" cm="1">
        <f t="array" ref="Q19">IF(I19="",_xlfn.LET(
    _xlpm.vals,_xlfn._xlws.FILTER($J$4:J18,$J$4:J18&lt;&gt;"",""),
    _xlpm.avgJ,IF(COUNTA(_xlpm.vals)=0,0,AVERAGE(_xlfn.TAKE(_xlpm.vals,-MIN(7,ROWS(_xlpm.vals))))),
    _xlpm.addship,IF(P19="",0,P19),
    IF(
        AND(I18="",I19=""),
        Q18-_xlpm.avgJ+_xlpm.addship,
        IF(
            I19="",
            I18-_xlpm.avgJ+_xlpm.addship,
            ""
        )
    )
),I19)</f>
        <v>628492</v>
      </c>
      <c r="R19" s="27" t="str">
        <f t="shared" si="1"/>
        <v/>
      </c>
      <c r="S19" s="27" cm="1">
        <f t="array" ref="S19">IF(K19="",_xlfn.LET(
    _xlpm.vals,_xlfn._xlws.FILTER($L$4:L18,$L$4:L18&lt;&gt;"",""),
    _xlpm.avgJ,IF(COUNTA(_xlpm.vals)=0,0,AVERAGE(_xlfn.TAKE(_xlpm.vals,-MIN(7,ROWS(_xlpm.vals))))),
    _xlpm.addship,IF(R19="",0,R19),
    IF(
        AND(K18="",K19=""),
        S18-_xlpm.avgJ+_xlpm.addship,
        IF(
            K19="",
            K18-_xlpm.avgJ+_xlpm.addship,
            ""
        )
    )
),K19)</f>
        <v>348251</v>
      </c>
      <c r="T19" s="27" t="str">
        <f t="shared" si="2"/>
        <v/>
      </c>
      <c r="U19" s="27" cm="1">
        <f t="array" ref="U19">IF(M19="",_xlfn.LET(
    _xlpm.vals,_xlfn._xlws.FILTER($N$4:N18,$N$4:N18&lt;&gt;"",""),
    _xlpm.avgJ,IF(COUNTA(_xlpm.vals)=0,0,AVERAGE(_xlfn.TAKE(_xlpm.vals,-MIN(7,ROWS(_xlpm.vals))))),
    _xlpm.addship,IF(T19="",0,T19),
    IF(
        AND(M18="",M19=""),
        U18-_xlpm.avgJ+_xlpm.addship,
        IF(
            M19="",
            M18-_xlpm.avgJ+_xlpm.addship,
            ""
        )
    )
),M19)</f>
        <v>325604</v>
      </c>
      <c r="V19" s="4" t="e">
        <f ca="1">IF(AND(Q19="",S19="",U19=""),"",
_xlfn.LET(
_xlpm.msgs,
_xlfn.TEXTJOIN(" | ",TRUE,
IF(Q19&gt;$C$20,"Petrol over capacity",""),
IF(Q19&lt;$C$21,"Petrol stock out",""),
IF(S19&gt;$D$20,"Diesel over capacity",""),
IF(S19&lt;$D$21,"Diesel stock out",""),
IF(U19&gt;$E$20,"Kero over capacity",""),
IF(U19&lt;$E$21,"Kero stock out","")),
IF(_xlpm.msgs="","",_xlpm.msgs)
))</f>
        <v>#NAME?</v>
      </c>
      <c r="AE19" s="51">
        <f t="shared" si="3"/>
        <v>47000</v>
      </c>
      <c r="AF19" s="51">
        <f t="shared" si="4"/>
        <v>1223106</v>
      </c>
      <c r="AG19" s="51">
        <f t="shared" si="5"/>
        <v>45000</v>
      </c>
      <c r="AH19" s="51">
        <f t="shared" si="6"/>
        <v>858361</v>
      </c>
      <c r="AI19" s="51">
        <f t="shared" si="7"/>
        <v>24500</v>
      </c>
      <c r="AJ19" s="51">
        <f t="shared" si="8"/>
        <v>589571</v>
      </c>
    </row>
    <row r="20" spans="1:36" ht="18" customHeight="1" x14ac:dyDescent="0.3">
      <c r="A20" s="5" t="s">
        <v>6</v>
      </c>
      <c r="B20" s="6" t="s">
        <v>3</v>
      </c>
      <c r="C20" s="49">
        <v>1223106</v>
      </c>
      <c r="D20" s="49">
        <v>858361</v>
      </c>
      <c r="E20" s="49">
        <v>589571</v>
      </c>
      <c r="F20" s="11"/>
      <c r="G20" s="2"/>
      <c r="H20" s="37">
        <f t="shared" si="9"/>
        <v>46114</v>
      </c>
      <c r="I20" s="33">
        <v>500125</v>
      </c>
      <c r="J20" s="33">
        <v>127700</v>
      </c>
      <c r="K20" s="33">
        <v>313734</v>
      </c>
      <c r="L20" s="33">
        <v>34400</v>
      </c>
      <c r="M20" s="33">
        <v>269126</v>
      </c>
      <c r="N20" s="33">
        <v>56300</v>
      </c>
      <c r="O20" s="11"/>
      <c r="P20" s="27" t="str">
        <f t="shared" si="0"/>
        <v/>
      </c>
      <c r="Q20" s="27" cm="1">
        <f t="array" ref="Q20">IF(I20="",_xlfn.LET(
    _xlpm.vals,_xlfn._xlws.FILTER($J$4:J19,$J$4:J19&lt;&gt;"",""),
    _xlpm.avgJ,IF(COUNTA(_xlpm.vals)=0,0,AVERAGE(_xlfn.TAKE(_xlpm.vals,-MIN(7,ROWS(_xlpm.vals))))),
    _xlpm.addship,IF(P20="",0,P20),
    IF(
        AND(I19="",I20=""),
        Q19-_xlpm.avgJ+_xlpm.addship,
        IF(
            I20="",
            I19-_xlpm.avgJ+_xlpm.addship,
            ""
        )
    )
),I20)</f>
        <v>500125</v>
      </c>
      <c r="R20" s="27" t="str">
        <f t="shared" si="1"/>
        <v/>
      </c>
      <c r="S20" s="27" cm="1">
        <f t="array" ref="S20">IF(K20="",_xlfn.LET(
    _xlpm.vals,_xlfn._xlws.FILTER($L$4:L19,$L$4:L19&lt;&gt;"",""),
    _xlpm.avgJ,IF(COUNTA(_xlpm.vals)=0,0,AVERAGE(_xlfn.TAKE(_xlpm.vals,-MIN(7,ROWS(_xlpm.vals))))),
    _xlpm.addship,IF(R20="",0,R20),
    IF(
        AND(K19="",K20=""),
        S19-_xlpm.avgJ+_xlpm.addship,
        IF(
            K20="",
            K19-_xlpm.avgJ+_xlpm.addship,
            ""
        )
    )
),K20)</f>
        <v>313734</v>
      </c>
      <c r="T20" s="27" t="str">
        <f t="shared" si="2"/>
        <v/>
      </c>
      <c r="U20" s="27" cm="1">
        <f t="array" ref="U20">IF(M20="",_xlfn.LET(
    _xlpm.vals,_xlfn._xlws.FILTER($N$4:N19,$N$4:N19&lt;&gt;"",""),
    _xlpm.avgJ,IF(COUNTA(_xlpm.vals)=0,0,AVERAGE(_xlfn.TAKE(_xlpm.vals,-MIN(7,ROWS(_xlpm.vals))))),
    _xlpm.addship,IF(T20="",0,T20),
    IF(
        AND(M19="",M20=""),
        U19-_xlpm.avgJ+_xlpm.addship,
        IF(
            M20="",
            M19-_xlpm.avgJ+_xlpm.addship,
            ""
        )
    )
),M20)</f>
        <v>269126</v>
      </c>
      <c r="V20" s="4" t="e">
        <f ca="1">IF(AND(Q20="",S20="",U20=""),"",
_xlfn.LET(
_xlpm.msgs,
_xlfn.TEXTJOIN(" | ",TRUE,
IF(Q20&gt;$C$20,"Petrol over capacity",""),
IF(Q20&lt;$C$21,"Petrol stock out",""),
IF(S20&gt;$D$20,"Diesel over capacity",""),
IF(S20&lt;$D$21,"Diesel stock out",""),
IF(U20&gt;$E$20,"Kero over capacity",""),
IF(U20&lt;$E$21,"Kero stock out","")),
IF(_xlpm.msgs="","",_xlpm.msgs)
))</f>
        <v>#NAME?</v>
      </c>
      <c r="W20" s="11"/>
      <c r="X20" s="11"/>
      <c r="AE20" s="51">
        <f t="shared" si="3"/>
        <v>47000</v>
      </c>
      <c r="AF20" s="51">
        <f t="shared" si="4"/>
        <v>1223106</v>
      </c>
      <c r="AG20" s="51">
        <f t="shared" si="5"/>
        <v>45000</v>
      </c>
      <c r="AH20" s="51">
        <f t="shared" si="6"/>
        <v>858361</v>
      </c>
      <c r="AI20" s="51">
        <f t="shared" si="7"/>
        <v>24500</v>
      </c>
      <c r="AJ20" s="51">
        <f t="shared" si="8"/>
        <v>589571</v>
      </c>
    </row>
    <row r="21" spans="1:36" ht="18" customHeight="1" x14ac:dyDescent="0.3">
      <c r="A21" s="5" t="s">
        <v>4</v>
      </c>
      <c r="B21" s="6" t="s">
        <v>3</v>
      </c>
      <c r="C21" s="13">
        <v>47000</v>
      </c>
      <c r="D21" s="13">
        <v>45000</v>
      </c>
      <c r="E21" s="13">
        <v>24500</v>
      </c>
      <c r="G21" s="2"/>
      <c r="H21" s="37">
        <f t="shared" ref="H21:H27" si="10">H20+1</f>
        <v>46115</v>
      </c>
      <c r="I21" s="32">
        <v>500125</v>
      </c>
      <c r="J21" s="32">
        <v>0</v>
      </c>
      <c r="K21" s="32">
        <v>313734</v>
      </c>
      <c r="L21" s="32">
        <v>0</v>
      </c>
      <c r="M21" s="32">
        <v>269126</v>
      </c>
      <c r="N21" s="32">
        <v>0</v>
      </c>
      <c r="P21" s="27" t="str">
        <f t="shared" si="0"/>
        <v/>
      </c>
      <c r="Q21" s="27" cm="1">
        <f t="array" ref="Q21">IF(I21="",_xlfn.LET(
    _xlpm.vals,_xlfn._xlws.FILTER($J$4:J20,$J$4:J20&lt;&gt;"",""),
    _xlpm.avgJ,IF(COUNTA(_xlpm.vals)=0,0,AVERAGE(_xlfn.TAKE(_xlpm.vals,-MIN(7,ROWS(_xlpm.vals))))),
    _xlpm.addship,IF(P21="",0,P21),
    IF(
        AND(I20="",I21=""),
        Q20-_xlpm.avgJ+_xlpm.addship,
        IF(
            I21="",
            I20-_xlpm.avgJ+_xlpm.addship,
            ""
        )
    )
),I21)</f>
        <v>500125</v>
      </c>
      <c r="R21" s="27" t="str">
        <f t="shared" si="1"/>
        <v/>
      </c>
      <c r="S21" s="27" cm="1">
        <f t="array" ref="S21">IF(K21="",_xlfn.LET(
    _xlpm.vals,_xlfn._xlws.FILTER($L$4:L20,$L$4:L20&lt;&gt;"",""),
    _xlpm.avgJ,IF(COUNTA(_xlpm.vals)=0,0,AVERAGE(_xlfn.TAKE(_xlpm.vals,-MIN(7,ROWS(_xlpm.vals))))),
    _xlpm.addship,IF(R21="",0,R21),
    IF(
        AND(K20="",K21=""),
        S20-_xlpm.avgJ+_xlpm.addship,
        IF(
            K21="",
            K20-_xlpm.avgJ+_xlpm.addship,
            ""
        )
    )
),K21)</f>
        <v>313734</v>
      </c>
      <c r="T21" s="27" t="str">
        <f t="shared" si="2"/>
        <v/>
      </c>
      <c r="U21" s="27" cm="1">
        <f t="array" ref="U21">IF(M21="",_xlfn.LET(
    _xlpm.vals,_xlfn._xlws.FILTER($N$4:N20,$N$4:N20&lt;&gt;"",""),
    _xlpm.avgJ,IF(COUNTA(_xlpm.vals)=0,0,AVERAGE(_xlfn.TAKE(_xlpm.vals,-MIN(7,ROWS(_xlpm.vals))))),
    _xlpm.addship,IF(T21="",0,T21),
    IF(
        AND(M20="",M21=""),
        U20-_xlpm.avgJ+_xlpm.addship,
        IF(
            M21="",
            M20-_xlpm.avgJ+_xlpm.addship,
            ""
        )
    )
),M21)</f>
        <v>269126</v>
      </c>
      <c r="V21" s="4" t="e">
        <f ca="1">IF(AND(Q21="",S21="",U21=""),"",
_xlfn.LET(
_xlpm.msgs,
_xlfn.TEXTJOIN(" | ",TRUE,
IF(Q21&gt;$C$20,"Petrol over capacity",""),
IF(Q21&lt;$C$21,"Petrol stock out",""),
IF(S21&gt;$D$20,"Diesel over capacity",""),
IF(S21&lt;$D$21,"Diesel stock out",""),
IF(U21&gt;$E$20,"Kero over capacity",""),
IF(U21&lt;$E$21,"Kero stock out","")),
IF(_xlpm.msgs="","",_xlpm.msgs)
))</f>
        <v>#NAME?</v>
      </c>
      <c r="AE21" s="51">
        <f t="shared" si="3"/>
        <v>47000</v>
      </c>
      <c r="AF21" s="51">
        <f t="shared" si="4"/>
        <v>1223106</v>
      </c>
      <c r="AG21" s="51">
        <f t="shared" si="5"/>
        <v>45000</v>
      </c>
      <c r="AH21" s="51">
        <f t="shared" si="6"/>
        <v>858361</v>
      </c>
      <c r="AI21" s="51">
        <f t="shared" si="7"/>
        <v>24500</v>
      </c>
      <c r="AJ21" s="51">
        <f t="shared" si="8"/>
        <v>589571</v>
      </c>
    </row>
    <row r="22" spans="1:36" ht="21" x14ac:dyDescent="0.3">
      <c r="A22" s="5" t="s">
        <v>5</v>
      </c>
      <c r="B22" s="6" t="s">
        <v>3</v>
      </c>
      <c r="C22" s="10">
        <f>C20-C21</f>
        <v>1176106</v>
      </c>
      <c r="D22" s="10">
        <f>D20-D21</f>
        <v>813361</v>
      </c>
      <c r="E22" s="10">
        <f>E20-E21</f>
        <v>565071</v>
      </c>
      <c r="G22" s="2"/>
      <c r="H22" s="37">
        <f t="shared" si="10"/>
        <v>46116</v>
      </c>
      <c r="I22" s="32">
        <v>500125</v>
      </c>
      <c r="J22" s="32">
        <v>0</v>
      </c>
      <c r="K22" s="32">
        <v>313734</v>
      </c>
      <c r="L22" s="32">
        <v>0</v>
      </c>
      <c r="M22" s="32">
        <v>269126</v>
      </c>
      <c r="N22" s="32">
        <v>0</v>
      </c>
      <c r="P22" s="27" t="str">
        <f t="shared" si="0"/>
        <v/>
      </c>
      <c r="Q22" s="27" cm="1">
        <f t="array" ref="Q22">IF(I22="",_xlfn.LET(
    _xlpm.vals,_xlfn._xlws.FILTER($J$4:J21,$J$4:J21&lt;&gt;"",""),
    _xlpm.avgJ,IF(COUNTA(_xlpm.vals)=0,0,AVERAGE(_xlfn.TAKE(_xlpm.vals,-MIN(7,ROWS(_xlpm.vals))))),
    _xlpm.addship,IF(P22="",0,P22),
    IF(
        AND(I21="",I22=""),
        Q21-_xlpm.avgJ+_xlpm.addship,
        IF(
            I22="",
            I21-_xlpm.avgJ+_xlpm.addship,
            ""
        )
    )
),I22)</f>
        <v>500125</v>
      </c>
      <c r="R22" s="27" t="str">
        <f t="shared" si="1"/>
        <v/>
      </c>
      <c r="S22" s="27" cm="1">
        <f t="array" ref="S22">IF(K22="",_xlfn.LET(
    _xlpm.vals,_xlfn._xlws.FILTER($L$4:L21,$L$4:L21&lt;&gt;"",""),
    _xlpm.avgJ,IF(COUNTA(_xlpm.vals)=0,0,AVERAGE(_xlfn.TAKE(_xlpm.vals,-MIN(7,ROWS(_xlpm.vals))))),
    _xlpm.addship,IF(R22="",0,R22),
    IF(
        AND(K21="",K22=""),
        S21-_xlpm.avgJ+_xlpm.addship,
        IF(
            K22="",
            K21-_xlpm.avgJ+_xlpm.addship,
            ""
        )
    )
),K22)</f>
        <v>313734</v>
      </c>
      <c r="T22" s="27" t="str">
        <f t="shared" si="2"/>
        <v/>
      </c>
      <c r="U22" s="27" cm="1">
        <f t="array" ref="U22">IF(M22="",_xlfn.LET(
    _xlpm.vals,_xlfn._xlws.FILTER($N$4:N21,$N$4:N21&lt;&gt;"",""),
    _xlpm.avgJ,IF(COUNTA(_xlpm.vals)=0,0,AVERAGE(_xlfn.TAKE(_xlpm.vals,-MIN(7,ROWS(_xlpm.vals))))),
    _xlpm.addship,IF(T22="",0,T22),
    IF(
        AND(M21="",M22=""),
        U21-_xlpm.avgJ+_xlpm.addship,
        IF(
            M22="",
            M21-_xlpm.avgJ+_xlpm.addship,
            ""
        )
    )
),M22)</f>
        <v>269126</v>
      </c>
      <c r="V22" s="4" t="e">
        <f ca="1">IF(AND(Q22="",S22="",U22=""),"",
_xlfn.LET(
_xlpm.msgs,
_xlfn.TEXTJOIN(" | ",TRUE,
IF(Q22&gt;$C$20,"Petrol over capacity",""),
IF(Q22&lt;$C$21,"Petrol stock out",""),
IF(S22&gt;$D$20,"Diesel over capacity",""),
IF(S22&lt;$D$21,"Diesel stock out",""),
IF(U22&gt;$E$20,"Kero over capacity",""),
IF(U22&lt;$E$21,"Kero stock out","")),
IF(_xlpm.msgs="","",_xlpm.msgs)
))</f>
        <v>#NAME?</v>
      </c>
      <c r="AE22" s="51">
        <f t="shared" si="3"/>
        <v>47000</v>
      </c>
      <c r="AF22" s="51">
        <f t="shared" si="4"/>
        <v>1223106</v>
      </c>
      <c r="AG22" s="51">
        <f t="shared" si="5"/>
        <v>45000</v>
      </c>
      <c r="AH22" s="51">
        <f t="shared" si="6"/>
        <v>858361</v>
      </c>
      <c r="AI22" s="51">
        <f t="shared" si="7"/>
        <v>24500</v>
      </c>
      <c r="AJ22" s="51">
        <f t="shared" si="8"/>
        <v>589571</v>
      </c>
    </row>
    <row r="23" spans="1:36" s="11" customFormat="1" ht="18" customHeight="1" x14ac:dyDescent="0.3">
      <c r="F23" s="4"/>
      <c r="G23" s="2"/>
      <c r="H23" s="37">
        <f t="shared" si="10"/>
        <v>46117</v>
      </c>
      <c r="I23" s="33">
        <v>500125</v>
      </c>
      <c r="J23" s="33">
        <v>0</v>
      </c>
      <c r="K23" s="33">
        <v>313734</v>
      </c>
      <c r="L23" s="33">
        <v>0</v>
      </c>
      <c r="M23" s="33">
        <v>269126</v>
      </c>
      <c r="N23" s="33">
        <v>0</v>
      </c>
      <c r="P23" s="27" t="str">
        <f t="shared" si="0"/>
        <v/>
      </c>
      <c r="Q23" s="27" cm="1">
        <f t="array" ref="Q23">IF(I23="",_xlfn.LET(
    _xlpm.vals,_xlfn._xlws.FILTER($J$4:J22,$J$4:J22&lt;&gt;"",""),
    _xlpm.avgJ,IF(COUNTA(_xlpm.vals)=0,0,AVERAGE(_xlfn.TAKE(_xlpm.vals,-MIN(7,ROWS(_xlpm.vals))))),
    _xlpm.addship,IF(P23="",0,P23),
    IF(
        AND(I22="",I23=""),
        Q22-_xlpm.avgJ+_xlpm.addship,
        IF(
            I23="",
            I22-_xlpm.avgJ+_xlpm.addship,
            ""
        )
    )
),I23)</f>
        <v>500125</v>
      </c>
      <c r="R23" s="27" t="str">
        <f t="shared" si="1"/>
        <v/>
      </c>
      <c r="S23" s="27" cm="1">
        <f t="array" ref="S23">IF(K23="",_xlfn.LET(
    _xlpm.vals,_xlfn._xlws.FILTER($L$4:L22,$L$4:L22&lt;&gt;"",""),
    _xlpm.avgJ,IF(COUNTA(_xlpm.vals)=0,0,AVERAGE(_xlfn.TAKE(_xlpm.vals,-MIN(7,ROWS(_xlpm.vals))))),
    _xlpm.addship,IF(R23="",0,R23),
    IF(
        AND(K22="",K23=""),
        S22-_xlpm.avgJ+_xlpm.addship,
        IF(
            K23="",
            K22-_xlpm.avgJ+_xlpm.addship,
            ""
        )
    )
),K23)</f>
        <v>313734</v>
      </c>
      <c r="T23" s="27" t="str">
        <f t="shared" si="2"/>
        <v/>
      </c>
      <c r="U23" s="27" cm="1">
        <f t="array" ref="U23">IF(M23="",_xlfn.LET(
    _xlpm.vals,_xlfn._xlws.FILTER($N$4:N22,$N$4:N22&lt;&gt;"",""),
    _xlpm.avgJ,IF(COUNTA(_xlpm.vals)=0,0,AVERAGE(_xlfn.TAKE(_xlpm.vals,-MIN(7,ROWS(_xlpm.vals))))),
    _xlpm.addship,IF(T23="",0,T23),
    IF(
        AND(M22="",M23=""),
        U22-_xlpm.avgJ+_xlpm.addship,
        IF(
            M23="",
            M22-_xlpm.avgJ+_xlpm.addship,
            ""
        )
    )
),M23)</f>
        <v>269126</v>
      </c>
      <c r="V23" s="4" t="e">
        <f ca="1">IF(AND(Q23="",S23="",U23=""),"",
_xlfn.LET(
_xlpm.msgs,
_xlfn.TEXTJOIN(" | ",TRUE,
IF(Q23&gt;$C$20,"Petrol over capacity",""),
IF(Q23&lt;$C$21,"Petrol stock out",""),
IF(S23&gt;$D$20,"Diesel over capacity",""),
IF(S23&lt;$D$21,"Diesel stock out",""),
IF(U23&gt;$E$20,"Kero over capacity",""),
IF(U23&lt;$E$21,"Kero stock out","")),
IF(_xlpm.msgs="","",_xlpm.msgs)
))</f>
        <v>#NAME?</v>
      </c>
      <c r="W23" s="5"/>
      <c r="X23" s="5"/>
      <c r="AE23" s="51">
        <f t="shared" si="3"/>
        <v>47000</v>
      </c>
      <c r="AF23" s="51">
        <f t="shared" si="4"/>
        <v>1223106</v>
      </c>
      <c r="AG23" s="51">
        <f t="shared" si="5"/>
        <v>45000</v>
      </c>
      <c r="AH23" s="51">
        <f t="shared" si="6"/>
        <v>858361</v>
      </c>
      <c r="AI23" s="51">
        <f t="shared" si="7"/>
        <v>24500</v>
      </c>
      <c r="AJ23" s="51">
        <f t="shared" si="8"/>
        <v>589571</v>
      </c>
    </row>
    <row r="24" spans="1:36" ht="21" x14ac:dyDescent="0.3">
      <c r="F24" s="5"/>
      <c r="G24" s="2"/>
      <c r="H24" s="37">
        <f t="shared" si="10"/>
        <v>46118</v>
      </c>
      <c r="I24" s="32">
        <v>500125</v>
      </c>
      <c r="J24" s="32">
        <v>0</v>
      </c>
      <c r="K24" s="32">
        <v>313734</v>
      </c>
      <c r="L24" s="32">
        <v>0</v>
      </c>
      <c r="M24" s="32">
        <v>269126</v>
      </c>
      <c r="N24" s="32">
        <v>0</v>
      </c>
      <c r="P24" s="27" t="str">
        <f t="shared" si="0"/>
        <v/>
      </c>
      <c r="Q24" s="27" cm="1">
        <f t="array" ref="Q24">IF(I24="",_xlfn.LET(
    _xlpm.vals,_xlfn._xlws.FILTER($J$4:J23,$J$4:J23&lt;&gt;"",""),
    _xlpm.avgJ,IF(COUNTA(_xlpm.vals)=0,0,AVERAGE(_xlfn.TAKE(_xlpm.vals,-MIN(7,ROWS(_xlpm.vals))))),
    _xlpm.addship,IF(P24="",0,P24),
    IF(
        AND(I23="",I24=""),
        Q23-_xlpm.avgJ+_xlpm.addship,
        IF(
            I24="",
            I23-_xlpm.avgJ+_xlpm.addship,
            ""
        )
    )
),I24)</f>
        <v>500125</v>
      </c>
      <c r="R24" s="27" t="str">
        <f t="shared" si="1"/>
        <v/>
      </c>
      <c r="S24" s="27" cm="1">
        <f t="array" ref="S24">IF(K24="",_xlfn.LET(
    _xlpm.vals,_xlfn._xlws.FILTER($L$4:L23,$L$4:L23&lt;&gt;"",""),
    _xlpm.avgJ,IF(COUNTA(_xlpm.vals)=0,0,AVERAGE(_xlfn.TAKE(_xlpm.vals,-MIN(7,ROWS(_xlpm.vals))))),
    _xlpm.addship,IF(R24="",0,R24),
    IF(
        AND(K23="",K24=""),
        S23-_xlpm.avgJ+_xlpm.addship,
        IF(
            K24="",
            K23-_xlpm.avgJ+_xlpm.addship,
            ""
        )
    )
),K24)</f>
        <v>313734</v>
      </c>
      <c r="T24" s="27" t="str">
        <f t="shared" si="2"/>
        <v/>
      </c>
      <c r="U24" s="27" cm="1">
        <f t="array" ref="U24">IF(M24="",_xlfn.LET(
    _xlpm.vals,_xlfn._xlws.FILTER($N$4:N23,$N$4:N23&lt;&gt;"",""),
    _xlpm.avgJ,IF(COUNTA(_xlpm.vals)=0,0,AVERAGE(_xlfn.TAKE(_xlpm.vals,-MIN(7,ROWS(_xlpm.vals))))),
    _xlpm.addship,IF(T24="",0,T24),
    IF(
        AND(M23="",M24=""),
        U23-_xlpm.avgJ+_xlpm.addship,
        IF(
            M24="",
            M23-_xlpm.avgJ+_xlpm.addship,
            ""
        )
    )
),M24)</f>
        <v>269126</v>
      </c>
      <c r="V24" s="4" t="e">
        <f ca="1">IF(AND(Q24="",S24="",U24=""),"",
_xlfn.LET(
_xlpm.msgs,
_xlfn.TEXTJOIN(" | ",TRUE,
IF(Q24&gt;$C$20,"Petrol over capacity",""),
IF(Q24&lt;$C$21,"Petrol stock out",""),
IF(S24&gt;$D$20,"Diesel over capacity",""),
IF(S24&lt;$D$21,"Diesel stock out",""),
IF(U24&gt;$E$20,"Kero over capacity",""),
IF(U24&lt;$E$21,"Kero stock out","")),
IF(_xlpm.msgs="","",_xlpm.msgs)
))</f>
        <v>#NAME?</v>
      </c>
      <c r="AE24" s="51">
        <f t="shared" si="3"/>
        <v>47000</v>
      </c>
      <c r="AF24" s="51">
        <f t="shared" si="4"/>
        <v>1223106</v>
      </c>
      <c r="AG24" s="51">
        <f t="shared" si="5"/>
        <v>45000</v>
      </c>
      <c r="AH24" s="51">
        <f t="shared" si="6"/>
        <v>858361</v>
      </c>
      <c r="AI24" s="51">
        <f t="shared" si="7"/>
        <v>24500</v>
      </c>
      <c r="AJ24" s="51">
        <f t="shared" si="8"/>
        <v>589571</v>
      </c>
    </row>
    <row r="25" spans="1:36" ht="18" customHeight="1" x14ac:dyDescent="0.3">
      <c r="A25" s="5"/>
      <c r="F25" s="5"/>
      <c r="G25" s="2"/>
      <c r="H25" s="37">
        <f t="shared" si="10"/>
        <v>46119</v>
      </c>
      <c r="I25" s="32">
        <v>400893</v>
      </c>
      <c r="J25" s="32">
        <v>99700</v>
      </c>
      <c r="K25" s="32">
        <v>252748</v>
      </c>
      <c r="L25" s="32">
        <v>61400</v>
      </c>
      <c r="M25" s="32">
        <v>250338</v>
      </c>
      <c r="N25" s="32">
        <v>18900</v>
      </c>
      <c r="P25" s="27" t="str">
        <f t="shared" si="0"/>
        <v/>
      </c>
      <c r="Q25" s="27" cm="1">
        <f t="array" ref="Q25">IF(I25="",_xlfn.LET(
    _xlpm.vals,_xlfn._xlws.FILTER($J$4:J24,$J$4:J24&lt;&gt;"",""),
    _xlpm.avgJ,IF(COUNTA(_xlpm.vals)=0,0,AVERAGE(_xlfn.TAKE(_xlpm.vals,-MIN(7,ROWS(_xlpm.vals))))),
    _xlpm.addship,IF(P25="",0,P25),
    IF(
        AND(I24="",I25=""),
        Q24-_xlpm.avgJ+_xlpm.addship,
        IF(
            I25="",
            I24-_xlpm.avgJ+_xlpm.addship,
            ""
        )
    )
),I25)</f>
        <v>400893</v>
      </c>
      <c r="R25" s="27" t="str">
        <f t="shared" si="1"/>
        <v/>
      </c>
      <c r="S25" s="27" cm="1">
        <f t="array" ref="S25">IF(K25="",_xlfn.LET(
    _xlpm.vals,_xlfn._xlws.FILTER($L$4:L24,$L$4:L24&lt;&gt;"",""),
    _xlpm.avgJ,IF(COUNTA(_xlpm.vals)=0,0,AVERAGE(_xlfn.TAKE(_xlpm.vals,-MIN(7,ROWS(_xlpm.vals))))),
    _xlpm.addship,IF(R25="",0,R25),
    IF(
        AND(K24="",K25=""),
        S24-_xlpm.avgJ+_xlpm.addship,
        IF(
            K25="",
            K24-_xlpm.avgJ+_xlpm.addship,
            ""
        )
    )
),K25)</f>
        <v>252748</v>
      </c>
      <c r="T25" s="27" t="str">
        <f t="shared" si="2"/>
        <v/>
      </c>
      <c r="U25" s="27" cm="1">
        <f t="array" ref="U25">IF(M25="",_xlfn.LET(
    _xlpm.vals,_xlfn._xlws.FILTER($N$4:N24,$N$4:N24&lt;&gt;"",""),
    _xlpm.avgJ,IF(COUNTA(_xlpm.vals)=0,0,AVERAGE(_xlfn.TAKE(_xlpm.vals,-MIN(7,ROWS(_xlpm.vals))))),
    _xlpm.addship,IF(T25="",0,T25),
    IF(
        AND(M24="",M25=""),
        U24-_xlpm.avgJ+_xlpm.addship,
        IF(
            M25="",
            M24-_xlpm.avgJ+_xlpm.addship,
            ""
        )
    )
),M25)</f>
        <v>250338</v>
      </c>
      <c r="V25" s="4" t="e">
        <f ca="1">IF(AND(Q25="",S25="",U25=""),"",
_xlfn.LET(
_xlpm.msgs,
_xlfn.TEXTJOIN(" | ",TRUE,
IF(Q25&gt;$C$20,"Petrol over capacity",""),
IF(Q25&lt;$C$21,"Petrol stock out",""),
IF(S25&gt;$D$20,"Diesel over capacity",""),
IF(S25&lt;$D$21,"Diesel stock out",""),
IF(U25&gt;$E$20,"Kero over capacity",""),
IF(U25&lt;$E$21,"Kero stock out","")),
IF(_xlpm.msgs="","",_xlpm.msgs)
))</f>
        <v>#NAME?</v>
      </c>
      <c r="AE25" s="51">
        <f t="shared" si="3"/>
        <v>47000</v>
      </c>
      <c r="AF25" s="51">
        <f t="shared" si="4"/>
        <v>1223106</v>
      </c>
      <c r="AG25" s="51">
        <f t="shared" si="5"/>
        <v>45000</v>
      </c>
      <c r="AH25" s="51">
        <f t="shared" si="6"/>
        <v>858361</v>
      </c>
      <c r="AI25" s="51">
        <f t="shared" si="7"/>
        <v>24500</v>
      </c>
      <c r="AJ25" s="51">
        <f t="shared" si="8"/>
        <v>589571</v>
      </c>
    </row>
    <row r="26" spans="1:36" ht="18" customHeight="1" x14ac:dyDescent="0.3">
      <c r="A26" s="5"/>
      <c r="F26" s="5"/>
      <c r="G26" s="2"/>
      <c r="H26" s="37">
        <f t="shared" si="10"/>
        <v>46120</v>
      </c>
      <c r="I26" s="33">
        <v>345157</v>
      </c>
      <c r="J26" s="33">
        <v>55400</v>
      </c>
      <c r="K26" s="33">
        <v>217109</v>
      </c>
      <c r="L26" s="33">
        <v>35700</v>
      </c>
      <c r="M26" s="33">
        <v>228309</v>
      </c>
      <c r="N26" s="33">
        <v>22700</v>
      </c>
      <c r="O26" s="11"/>
      <c r="P26" s="27" t="str">
        <f t="shared" si="0"/>
        <v/>
      </c>
      <c r="Q26" s="27" cm="1">
        <f t="array" ref="Q26">IF(I26="",_xlfn.LET(
    _xlpm.vals,_xlfn._xlws.FILTER($J$4:J25,$J$4:J25&lt;&gt;"",""),
    _xlpm.avgJ,IF(COUNTA(_xlpm.vals)=0,0,AVERAGE(_xlfn.TAKE(_xlpm.vals,-MIN(7,ROWS(_xlpm.vals))))),
    _xlpm.addship,IF(P26="",0,P26),
    IF(
        AND(I25="",I26=""),
        Q25-_xlpm.avgJ+_xlpm.addship,
        IF(
            I26="",
            I25-_xlpm.avgJ+_xlpm.addship,
            ""
        )
    )
),I26)</f>
        <v>345157</v>
      </c>
      <c r="R26" s="27" t="str">
        <f t="shared" si="1"/>
        <v/>
      </c>
      <c r="S26" s="27" cm="1">
        <f t="array" ref="S26">IF(K26="",_xlfn.LET(
    _xlpm.vals,_xlfn._xlws.FILTER($L$4:L25,$L$4:L25&lt;&gt;"",""),
    _xlpm.avgJ,IF(COUNTA(_xlpm.vals)=0,0,AVERAGE(_xlfn.TAKE(_xlpm.vals,-MIN(7,ROWS(_xlpm.vals))))),
    _xlpm.addship,IF(R26="",0,R26),
    IF(
        AND(K25="",K26=""),
        S25-_xlpm.avgJ+_xlpm.addship,
        IF(
            K26="",
            K25-_xlpm.avgJ+_xlpm.addship,
            ""
        )
    )
),K26)</f>
        <v>217109</v>
      </c>
      <c r="T26" s="27" t="str">
        <f t="shared" si="2"/>
        <v/>
      </c>
      <c r="U26" s="27" cm="1">
        <f t="array" ref="U26">IF(M26="",_xlfn.LET(
    _xlpm.vals,_xlfn._xlws.FILTER($N$4:N25,$N$4:N25&lt;&gt;"",""),
    _xlpm.avgJ,IF(COUNTA(_xlpm.vals)=0,0,AVERAGE(_xlfn.TAKE(_xlpm.vals,-MIN(7,ROWS(_xlpm.vals))))),
    _xlpm.addship,IF(T26="",0,T26),
    IF(
        AND(M25="",M26=""),
        U25-_xlpm.avgJ+_xlpm.addship,
        IF(
            M26="",
            M25-_xlpm.avgJ+_xlpm.addship,
            ""
        )
    )
),M26)</f>
        <v>228309</v>
      </c>
      <c r="V26" s="4" t="e">
        <f ca="1">IF(AND(Q26="",S26="",U26=""),"",
_xlfn.LET(
_xlpm.msgs,
_xlfn.TEXTJOIN(" | ",TRUE,
IF(Q26&gt;$C$20,"Petrol over capacity",""),
IF(Q26&lt;$C$21,"Petrol stock out",""),
IF(S26&gt;$D$20,"Diesel over capacity",""),
IF(S26&lt;$D$21,"Diesel stock out",""),
IF(U26&gt;$E$20,"Kero over capacity",""),
IF(U26&lt;$E$21,"Kero stock out","")),
IF(_xlpm.msgs="","",_xlpm.msgs)
))</f>
        <v>#NAME?</v>
      </c>
      <c r="AE26" s="51">
        <f t="shared" si="3"/>
        <v>47000</v>
      </c>
      <c r="AF26" s="51">
        <f t="shared" si="4"/>
        <v>1223106</v>
      </c>
      <c r="AG26" s="51">
        <f t="shared" si="5"/>
        <v>45000</v>
      </c>
      <c r="AH26" s="51">
        <f t="shared" si="6"/>
        <v>858361</v>
      </c>
      <c r="AI26" s="51">
        <f t="shared" si="7"/>
        <v>24500</v>
      </c>
      <c r="AJ26" s="51">
        <f t="shared" si="8"/>
        <v>589571</v>
      </c>
    </row>
    <row r="27" spans="1:36" ht="18" customHeight="1" x14ac:dyDescent="0.3">
      <c r="G27" s="2"/>
      <c r="H27" s="37">
        <f t="shared" si="10"/>
        <v>46121</v>
      </c>
      <c r="I27" s="32">
        <v>283388</v>
      </c>
      <c r="J27" s="32">
        <v>71600</v>
      </c>
      <c r="K27" s="32">
        <v>193741</v>
      </c>
      <c r="L27" s="32">
        <v>23730</v>
      </c>
      <c r="M27" s="32">
        <v>209082</v>
      </c>
      <c r="N27" s="32">
        <v>18900</v>
      </c>
      <c r="P27" s="27" t="str">
        <f t="shared" si="0"/>
        <v/>
      </c>
      <c r="Q27" s="27" cm="1">
        <f t="array" ref="Q27">IF(I27="",_xlfn.LET(
    _xlpm.vals,_xlfn._xlws.FILTER($J$4:J26,$J$4:J26&lt;&gt;"",""),
    _xlpm.avgJ,IF(COUNTA(_xlpm.vals)=0,0,AVERAGE(_xlfn.TAKE(_xlpm.vals,-MIN(7,ROWS(_xlpm.vals))))),
    _xlpm.addship,IF(P27="",0,P27),
    IF(
        AND(I26="",I27=""),
        Q26-_xlpm.avgJ+_xlpm.addship,
        IF(
            I27="",
            I26-_xlpm.avgJ+_xlpm.addship,
            ""
        )
    )
),I27)</f>
        <v>283388</v>
      </c>
      <c r="R27" s="27" t="str">
        <f t="shared" si="1"/>
        <v/>
      </c>
      <c r="S27" s="27" cm="1">
        <f t="array" ref="S27">IF(K27="",_xlfn.LET(
    _xlpm.vals,_xlfn._xlws.FILTER($L$4:L26,$L$4:L26&lt;&gt;"",""),
    _xlpm.avgJ,IF(COUNTA(_xlpm.vals)=0,0,AVERAGE(_xlfn.TAKE(_xlpm.vals,-MIN(7,ROWS(_xlpm.vals))))),
    _xlpm.addship,IF(R27="",0,R27),
    IF(
        AND(K26="",K27=""),
        S26-_xlpm.avgJ+_xlpm.addship,
        IF(
            K27="",
            K26-_xlpm.avgJ+_xlpm.addship,
            ""
        )
    )
),K27)</f>
        <v>193741</v>
      </c>
      <c r="T27" s="27" t="str">
        <f t="shared" si="2"/>
        <v/>
      </c>
      <c r="U27" s="27" cm="1">
        <f t="array" ref="U27">IF(M27="",_xlfn.LET(
    _xlpm.vals,_xlfn._xlws.FILTER($N$4:N26,$N$4:N26&lt;&gt;"",""),
    _xlpm.avgJ,IF(COUNTA(_xlpm.vals)=0,0,AVERAGE(_xlfn.TAKE(_xlpm.vals,-MIN(7,ROWS(_xlpm.vals))))),
    _xlpm.addship,IF(T27="",0,T27),
    IF(
        AND(M26="",M27=""),
        U26-_xlpm.avgJ+_xlpm.addship,
        IF(
            M27="",
            M26-_xlpm.avgJ+_xlpm.addship,
            ""
        )
    )
),M27)</f>
        <v>209082</v>
      </c>
      <c r="V27" s="4" t="e">
        <f ca="1">IF(AND(Q27="",S27="",U27=""),"",
_xlfn.LET(
_xlpm.msgs,
_xlfn.TEXTJOIN(" | ",TRUE,
IF(Q27&gt;$C$20,"Petrol over capacity",""),
IF(Q27&lt;$C$21,"Petrol stock out",""),
IF(S27&gt;$D$20,"Diesel over capacity",""),
IF(S27&lt;$D$21,"Diesel stock out",""),
IF(U27&gt;$E$20,"Kero over capacity",""),
IF(U27&lt;$E$21,"Kero stock out","")),
IF(_xlpm.msgs="","",_xlpm.msgs)
))</f>
        <v>#NAME?</v>
      </c>
      <c r="AE27" s="51">
        <f t="shared" si="3"/>
        <v>47000</v>
      </c>
      <c r="AF27" s="51">
        <f t="shared" si="4"/>
        <v>1223106</v>
      </c>
      <c r="AG27" s="51">
        <f t="shared" si="5"/>
        <v>45000</v>
      </c>
      <c r="AH27" s="51">
        <f t="shared" si="6"/>
        <v>858361</v>
      </c>
      <c r="AI27" s="51">
        <f t="shared" si="7"/>
        <v>24500</v>
      </c>
      <c r="AJ27" s="51">
        <f t="shared" si="8"/>
        <v>589571</v>
      </c>
    </row>
    <row r="28" spans="1:36" ht="18" customHeight="1" x14ac:dyDescent="0.3">
      <c r="G28" s="2"/>
      <c r="H28" s="37">
        <f t="shared" ref="H28:H91" si="11">H27+1</f>
        <v>46122</v>
      </c>
      <c r="I28" s="32">
        <v>1000506</v>
      </c>
      <c r="J28" s="32">
        <v>69200</v>
      </c>
      <c r="K28" s="32">
        <v>562852</v>
      </c>
      <c r="L28" s="32">
        <v>31600</v>
      </c>
      <c r="M28" s="32">
        <v>505156</v>
      </c>
      <c r="N28" s="32">
        <v>1000</v>
      </c>
      <c r="P28" s="27" t="str">
        <f t="shared" si="0"/>
        <v/>
      </c>
      <c r="Q28" s="27" cm="1">
        <f t="array" ref="Q28">IF(I28="",_xlfn.LET(
    _xlpm.vals,_xlfn._xlws.FILTER($J$4:J27,$J$4:J27&lt;&gt;"",""),
    _xlpm.avgJ,IF(COUNTA(_xlpm.vals)=0,0,AVERAGE(_xlfn.TAKE(_xlpm.vals,-MIN(7,ROWS(_xlpm.vals))))),
    _xlpm.addship,IF(P28="",0,P28),
    IF(
        AND(I27="",I28=""),
        Q27-_xlpm.avgJ+_xlpm.addship,
        IF(
            I28="",
            I27-_xlpm.avgJ+_xlpm.addship,
            ""
        )
    )
),I28)</f>
        <v>1000506</v>
      </c>
      <c r="R28" s="27" t="str">
        <f t="shared" si="1"/>
        <v/>
      </c>
      <c r="S28" s="27" cm="1">
        <f t="array" ref="S28">IF(K28="",_xlfn.LET(
    _xlpm.vals,_xlfn._xlws.FILTER($L$4:L27,$L$4:L27&lt;&gt;"",""),
    _xlpm.avgJ,IF(COUNTA(_xlpm.vals)=0,0,AVERAGE(_xlfn.TAKE(_xlpm.vals,-MIN(7,ROWS(_xlpm.vals))))),
    _xlpm.addship,IF(R28="",0,R28),
    IF(
        AND(K27="",K28=""),
        S27-_xlpm.avgJ+_xlpm.addship,
        IF(
            K28="",
            K27-_xlpm.avgJ+_xlpm.addship,
            ""
        )
    )
),K28)</f>
        <v>562852</v>
      </c>
      <c r="T28" s="27" t="str">
        <f t="shared" si="2"/>
        <v/>
      </c>
      <c r="U28" s="27" cm="1">
        <f t="array" ref="U28">IF(M28="",_xlfn.LET(
    _xlpm.vals,_xlfn._xlws.FILTER($N$4:N27,$N$4:N27&lt;&gt;"",""),
    _xlpm.avgJ,IF(COUNTA(_xlpm.vals)=0,0,AVERAGE(_xlfn.TAKE(_xlpm.vals,-MIN(7,ROWS(_xlpm.vals))))),
    _xlpm.addship,IF(T28="",0,T28),
    IF(
        AND(M27="",M28=""),
        U27-_xlpm.avgJ+_xlpm.addship,
        IF(
            M28="",
            M27-_xlpm.avgJ+_xlpm.addship,
            ""
        )
    )
),M28)</f>
        <v>505156</v>
      </c>
      <c r="V28" s="4" t="e">
        <f ca="1">IF(AND(Q28="",S28="",U28=""),"",
_xlfn.LET(
_xlpm.msgs,
_xlfn.TEXTJOIN(" | ",TRUE,
IF(Q28&gt;$C$20,"Petrol over capacity",""),
IF(Q28&lt;$C$21,"Petrol stock out",""),
IF(S28&gt;$D$20,"Diesel over capacity",""),
IF(S28&lt;$D$21,"Diesel stock out",""),
IF(U28&gt;$E$20,"Kero over capacity",""),
IF(U28&lt;$E$21,"Kero stock out","")),
IF(_xlpm.msgs="","",_xlpm.msgs)
))</f>
        <v>#NAME?</v>
      </c>
      <c r="AE28" s="51">
        <f t="shared" si="3"/>
        <v>47000</v>
      </c>
      <c r="AF28" s="51">
        <f t="shared" si="4"/>
        <v>1223106</v>
      </c>
      <c r="AG28" s="51">
        <f t="shared" si="5"/>
        <v>45000</v>
      </c>
      <c r="AH28" s="51">
        <f t="shared" si="6"/>
        <v>858361</v>
      </c>
      <c r="AI28" s="51">
        <f t="shared" si="7"/>
        <v>24500</v>
      </c>
      <c r="AJ28" s="51">
        <f t="shared" si="8"/>
        <v>589571</v>
      </c>
    </row>
    <row r="29" spans="1:36" ht="18" customHeight="1" x14ac:dyDescent="0.3">
      <c r="G29" s="4"/>
      <c r="H29" s="37">
        <f t="shared" si="11"/>
        <v>46123</v>
      </c>
      <c r="I29" s="32">
        <v>1000506</v>
      </c>
      <c r="J29" s="32">
        <v>0</v>
      </c>
      <c r="K29" s="32">
        <v>562852</v>
      </c>
      <c r="L29" s="32">
        <v>0</v>
      </c>
      <c r="M29" s="32">
        <v>505156</v>
      </c>
      <c r="N29" s="32">
        <v>0</v>
      </c>
      <c r="P29" s="27" t="str">
        <f t="shared" si="0"/>
        <v/>
      </c>
      <c r="Q29" s="27" cm="1">
        <f t="array" ref="Q29">IF(I29="",_xlfn.LET(
    _xlpm.vals,_xlfn._xlws.FILTER($J$4:J28,$J$4:J28&lt;&gt;"",""),
    _xlpm.avgJ,IF(COUNTA(_xlpm.vals)=0,0,AVERAGE(_xlfn.TAKE(_xlpm.vals,-MIN(7,ROWS(_xlpm.vals))))),
    _xlpm.addship,IF(P29="",0,P29),
    IF(
        AND(I28="",I29=""),
        Q28-_xlpm.avgJ+_xlpm.addship,
        IF(
            I29="",
            I28-_xlpm.avgJ+_xlpm.addship,
            ""
        )
    )
),I29)</f>
        <v>1000506</v>
      </c>
      <c r="R29" s="27" t="str">
        <f t="shared" si="1"/>
        <v/>
      </c>
      <c r="S29" s="27" cm="1">
        <f t="array" ref="S29">IF(K29="",_xlfn.LET(
    _xlpm.vals,_xlfn._xlws.FILTER($L$4:L28,$L$4:L28&lt;&gt;"",""),
    _xlpm.avgJ,IF(COUNTA(_xlpm.vals)=0,0,AVERAGE(_xlfn.TAKE(_xlpm.vals,-MIN(7,ROWS(_xlpm.vals))))),
    _xlpm.addship,IF(R29="",0,R29),
    IF(
        AND(K28="",K29=""),
        S28-_xlpm.avgJ+_xlpm.addship,
        IF(
            K29="",
            K28-_xlpm.avgJ+_xlpm.addship,
            ""
        )
    )
),K29)</f>
        <v>562852</v>
      </c>
      <c r="T29" s="27" t="str">
        <f t="shared" si="2"/>
        <v/>
      </c>
      <c r="U29" s="27" cm="1">
        <f t="array" ref="U29">IF(M29="",_xlfn.LET(
    _xlpm.vals,_xlfn._xlws.FILTER($N$4:N28,$N$4:N28&lt;&gt;"",""),
    _xlpm.avgJ,IF(COUNTA(_xlpm.vals)=0,0,AVERAGE(_xlfn.TAKE(_xlpm.vals,-MIN(7,ROWS(_xlpm.vals))))),
    _xlpm.addship,IF(T29="",0,T29),
    IF(
        AND(M28="",M29=""),
        U28-_xlpm.avgJ+_xlpm.addship,
        IF(
            M29="",
            M28-_xlpm.avgJ+_xlpm.addship,
            ""
        )
    )
),M29)</f>
        <v>505156</v>
      </c>
      <c r="V29" s="4" t="e">
        <f ca="1">IF(AND(Q29="",S29="",U29=""),"",
_xlfn.LET(
_xlpm.msgs,
_xlfn.TEXTJOIN(" | ",TRUE,
IF(Q29&gt;$C$20,"Petrol over capacity",""),
IF(Q29&lt;$C$21,"Petrol stock out",""),
IF(S29&gt;$D$20,"Diesel over capacity",""),
IF(S29&lt;$D$21,"Diesel stock out",""),
IF(U29&gt;$E$20,"Kero over capacity",""),
IF(U29&lt;$E$21,"Kero stock out","")),
IF(_xlpm.msgs="","",_xlpm.msgs)
))</f>
        <v>#NAME?</v>
      </c>
      <c r="AE29" s="51">
        <f t="shared" si="3"/>
        <v>47000</v>
      </c>
      <c r="AF29" s="51">
        <f t="shared" si="4"/>
        <v>1223106</v>
      </c>
      <c r="AG29" s="51">
        <f t="shared" si="5"/>
        <v>45000</v>
      </c>
      <c r="AH29" s="51">
        <f t="shared" si="6"/>
        <v>858361</v>
      </c>
      <c r="AI29" s="51">
        <f t="shared" si="7"/>
        <v>24500</v>
      </c>
      <c r="AJ29" s="51">
        <f t="shared" si="8"/>
        <v>589571</v>
      </c>
    </row>
    <row r="30" spans="1:36" ht="14.4" x14ac:dyDescent="0.3">
      <c r="H30" s="37">
        <f t="shared" si="11"/>
        <v>46124</v>
      </c>
      <c r="I30" s="32">
        <v>1000506</v>
      </c>
      <c r="J30" s="32">
        <v>0</v>
      </c>
      <c r="K30" s="32">
        <v>562852</v>
      </c>
      <c r="L30" s="32">
        <v>0</v>
      </c>
      <c r="M30" s="32">
        <v>505156</v>
      </c>
      <c r="N30" s="32">
        <v>0</v>
      </c>
      <c r="P30" s="27" t="str">
        <f t="shared" si="0"/>
        <v/>
      </c>
      <c r="Q30" s="27" cm="1">
        <f t="array" ref="Q30">IF(I30="",_xlfn.LET(
    _xlpm.vals,_xlfn._xlws.FILTER($J$4:J29,$J$4:J29&lt;&gt;"",""),
    _xlpm.avgJ,IF(COUNTA(_xlpm.vals)=0,0,AVERAGE(_xlfn.TAKE(_xlpm.vals,-MIN(7,ROWS(_xlpm.vals))))),
    _xlpm.addship,IF(P30="",0,P30),
    IF(
        AND(I29="",I30=""),
        Q29-_xlpm.avgJ+_xlpm.addship,
        IF(
            I30="",
            I29-_xlpm.avgJ+_xlpm.addship,
            ""
        )
    )
),I30)</f>
        <v>1000506</v>
      </c>
      <c r="R30" s="27" t="str">
        <f t="shared" si="1"/>
        <v/>
      </c>
      <c r="S30" s="27" cm="1">
        <f t="array" ref="S30">IF(K30="",_xlfn.LET(
    _xlpm.vals,_xlfn._xlws.FILTER($L$4:L29,$L$4:L29&lt;&gt;"",""),
    _xlpm.avgJ,IF(COUNTA(_xlpm.vals)=0,0,AVERAGE(_xlfn.TAKE(_xlpm.vals,-MIN(7,ROWS(_xlpm.vals))))),
    _xlpm.addship,IF(R30="",0,R30),
    IF(
        AND(K29="",K30=""),
        S29-_xlpm.avgJ+_xlpm.addship,
        IF(
            K30="",
            K29-_xlpm.avgJ+_xlpm.addship,
            ""
        )
    )
),K30)</f>
        <v>562852</v>
      </c>
      <c r="T30" s="27" t="str">
        <f t="shared" si="2"/>
        <v/>
      </c>
      <c r="U30" s="27" cm="1">
        <f t="array" ref="U30">IF(M30="",_xlfn.LET(
    _xlpm.vals,_xlfn._xlws.FILTER($N$4:N29,$N$4:N29&lt;&gt;"",""),
    _xlpm.avgJ,IF(COUNTA(_xlpm.vals)=0,0,AVERAGE(_xlfn.TAKE(_xlpm.vals,-MIN(7,ROWS(_xlpm.vals))))),
    _xlpm.addship,IF(T30="",0,T30),
    IF(
        AND(M29="",M30=""),
        U29-_xlpm.avgJ+_xlpm.addship,
        IF(
            M30="",
            M29-_xlpm.avgJ+_xlpm.addship,
            ""
        )
    )
),M30)</f>
        <v>505156</v>
      </c>
      <c r="V30" s="4" t="e">
        <f ca="1">IF(AND(Q30="",S30="",U30=""),"",
_xlfn.LET(
_xlpm.msgs,
_xlfn.TEXTJOIN(" | ",TRUE,
IF(Q30&gt;$C$20,"Petrol over capacity",""),
IF(Q30&lt;$C$21,"Petrol stock out",""),
IF(S30&gt;$D$20,"Diesel over capacity",""),
IF(S30&lt;$D$21,"Diesel stock out",""),
IF(U30&gt;$E$20,"Kero over capacity",""),
IF(U30&lt;$E$21,"Kero stock out","")),
IF(_xlpm.msgs="","",_xlpm.msgs)
))</f>
        <v>#NAME?</v>
      </c>
      <c r="AE30" s="51">
        <f t="shared" si="3"/>
        <v>47000</v>
      </c>
      <c r="AF30" s="51">
        <f t="shared" si="4"/>
        <v>1223106</v>
      </c>
      <c r="AG30" s="51">
        <f t="shared" si="5"/>
        <v>45000</v>
      </c>
      <c r="AH30" s="51">
        <f t="shared" si="6"/>
        <v>858361</v>
      </c>
      <c r="AI30" s="51">
        <f t="shared" si="7"/>
        <v>24500</v>
      </c>
      <c r="AJ30" s="51">
        <f t="shared" si="8"/>
        <v>589571</v>
      </c>
    </row>
    <row r="31" spans="1:36" ht="18" customHeight="1" x14ac:dyDescent="0.3">
      <c r="H31" s="37">
        <f t="shared" si="11"/>
        <v>46125</v>
      </c>
      <c r="I31" s="32"/>
      <c r="J31" s="32"/>
      <c r="K31" s="32"/>
      <c r="L31" s="32"/>
      <c r="M31" s="32"/>
      <c r="N31" s="32"/>
      <c r="P31" s="27" t="str">
        <f t="shared" ca="1" si="0"/>
        <v/>
      </c>
      <c r="Q31" s="27" t="e" cm="1">
        <f t="array" aca="1" ref="Q31" ca="1">IF(I31="",_xlfn.LET(
    _xlpm.vals,_xlfn._xlws.FILTER($J$4:J30,$J$4:J30&lt;&gt;"",""),
    _xlpm.avgJ,IF(COUNTA(_xlpm.vals)=0,0,AVERAGE(_xlfn.TAKE(_xlpm.vals,-MIN(7,ROWS(_xlpm.vals))))),
    _xlpm.addship,IF(P31="",0,P31),
    IF(
        AND(I30="",I31=""),
        Q30-_xlpm.avgJ+_xlpm.addship,
        IF(
            I31="",
            I30-_xlpm.avgJ+_xlpm.addship,
            ""
        )
    )
),I31)</f>
        <v>#NAME?</v>
      </c>
      <c r="R31" s="27" t="str">
        <f t="shared" ca="1" si="1"/>
        <v/>
      </c>
      <c r="S31" s="27" t="e" cm="1">
        <f t="array" aca="1" ref="S31" ca="1">IF(K31="",_xlfn.LET(
    _xlpm.vals,_xlfn._xlws.FILTER($L$4:L30,$L$4:L30&lt;&gt;"",""),
    _xlpm.avgJ,IF(COUNTA(_xlpm.vals)=0,0,AVERAGE(_xlfn.TAKE(_xlpm.vals,-MIN(7,ROWS(_xlpm.vals))))),
    _xlpm.addship,IF(R31="",0,R31),
    IF(
        AND(K30="",K31=""),
        S30-_xlpm.avgJ+_xlpm.addship,
        IF(
            K31="",
            K30-_xlpm.avgJ+_xlpm.addship,
            ""
        )
    )
),K31)</f>
        <v>#NAME?</v>
      </c>
      <c r="T31" s="27" t="str">
        <f t="shared" ca="1" si="2"/>
        <v/>
      </c>
      <c r="U31" s="27" t="e" cm="1">
        <f t="array" aca="1" ref="U31" ca="1">IF(M31="",_xlfn.LET(
    _xlpm.vals,_xlfn._xlws.FILTER($N$4:N30,$N$4:N30&lt;&gt;"",""),
    _xlpm.avgJ,IF(COUNTA(_xlpm.vals)=0,0,AVERAGE(_xlfn.TAKE(_xlpm.vals,-MIN(7,ROWS(_xlpm.vals))))),
    _xlpm.addship,IF(T31="",0,T31),
    IF(
        AND(M30="",M31=""),
        U30-_xlpm.avgJ+_xlpm.addship,
        IF(
            M31="",
            M30-_xlpm.avgJ+_xlpm.addship,
            ""
        )
    )
),M31)</f>
        <v>#NAME?</v>
      </c>
      <c r="V31" s="4" t="e">
        <f ca="1">IF(AND(Q31="",S31="",U31=""),"",
_xlfn.LET(
_xlpm.msgs,
_xlfn.TEXTJOIN(" | ",TRUE,
IF(Q31&gt;$C$20,"Petrol over capacity",""),
IF(Q31&lt;$C$21,"Petrol stock out",""),
IF(S31&gt;$D$20,"Diesel over capacity",""),
IF(S31&lt;$D$21,"Diesel stock out",""),
IF(U31&gt;$E$20,"Kero over capacity",""),
IF(U31&lt;$E$21,"Kero stock out","")),
IF(_xlpm.msgs="","",_xlpm.msgs)
))</f>
        <v>#NAME?</v>
      </c>
      <c r="AE31" s="51">
        <f t="shared" si="3"/>
        <v>47000</v>
      </c>
      <c r="AF31" s="51">
        <f t="shared" si="4"/>
        <v>1223106</v>
      </c>
      <c r="AG31" s="51">
        <f t="shared" si="5"/>
        <v>45000</v>
      </c>
      <c r="AH31" s="51">
        <f t="shared" si="6"/>
        <v>858361</v>
      </c>
      <c r="AI31" s="51">
        <f t="shared" si="7"/>
        <v>24500</v>
      </c>
      <c r="AJ31" s="51">
        <f t="shared" si="8"/>
        <v>589571</v>
      </c>
    </row>
    <row r="32" spans="1:36" ht="18" customHeight="1" x14ac:dyDescent="0.3">
      <c r="H32" s="37">
        <f t="shared" si="11"/>
        <v>46126</v>
      </c>
      <c r="I32" s="32"/>
      <c r="J32" s="32"/>
      <c r="K32" s="32"/>
      <c r="L32" s="32"/>
      <c r="M32" s="32"/>
      <c r="N32" s="32"/>
      <c r="P32" s="27" t="str">
        <f t="shared" ca="1" si="0"/>
        <v/>
      </c>
      <c r="Q32" s="27" t="e" cm="1">
        <f t="array" aca="1" ref="Q32" ca="1">IF(I32="",_xlfn.LET(
    _xlpm.vals,_xlfn._xlws.FILTER($J$4:J31,$J$4:J31&lt;&gt;"",""),
    _xlpm.avgJ,IF(COUNTA(_xlpm.vals)=0,0,AVERAGE(_xlfn.TAKE(_xlpm.vals,-MIN(7,ROWS(_xlpm.vals))))),
    _xlpm.addship,IF(P32="",0,P32),
    IF(
        AND(I31="",I32=""),
        Q31-_xlpm.avgJ+_xlpm.addship,
        IF(
            I32="",
            I31-_xlpm.avgJ+_xlpm.addship,
            ""
        )
    )
),I32)</f>
        <v>#NAME?</v>
      </c>
      <c r="R32" s="27" t="str">
        <f t="shared" ca="1" si="1"/>
        <v/>
      </c>
      <c r="S32" s="27" t="e" cm="1">
        <f t="array" aca="1" ref="S32" ca="1">IF(K32="",_xlfn.LET(
    _xlpm.vals,_xlfn._xlws.FILTER($L$4:L31,$L$4:L31&lt;&gt;"",""),
    _xlpm.avgJ,IF(COUNTA(_xlpm.vals)=0,0,AVERAGE(_xlfn.TAKE(_xlpm.vals,-MIN(7,ROWS(_xlpm.vals))))),
    _xlpm.addship,IF(R32="",0,R32),
    IF(
        AND(K31="",K32=""),
        S31-_xlpm.avgJ+_xlpm.addship,
        IF(
            K32="",
            K31-_xlpm.avgJ+_xlpm.addship,
            ""
        )
    )
),K32)</f>
        <v>#NAME?</v>
      </c>
      <c r="T32" s="27" t="str">
        <f t="shared" ca="1" si="2"/>
        <v/>
      </c>
      <c r="U32" s="27" t="e" cm="1">
        <f t="array" aca="1" ref="U32" ca="1">IF(M32="",_xlfn.LET(
    _xlpm.vals,_xlfn._xlws.FILTER($N$4:N31,$N$4:N31&lt;&gt;"",""),
    _xlpm.avgJ,IF(COUNTA(_xlpm.vals)=0,0,AVERAGE(_xlfn.TAKE(_xlpm.vals,-MIN(7,ROWS(_xlpm.vals))))),
    _xlpm.addship,IF(T32="",0,T32),
    IF(
        AND(M31="",M32=""),
        U31-_xlpm.avgJ+_xlpm.addship,
        IF(
            M32="",
            M31-_xlpm.avgJ+_xlpm.addship,
            ""
        )
    )
),M32)</f>
        <v>#NAME?</v>
      </c>
      <c r="V32" s="4" t="e">
        <f ca="1">IF(AND(Q32="",S32="",U32=""),"",
_xlfn.LET(
_xlpm.msgs,
_xlfn.TEXTJOIN(" | ",TRUE,
IF(Q32&gt;$C$20,"Petrol over capacity",""),
IF(Q32&lt;$C$21,"Petrol stock out",""),
IF(S32&gt;$D$20,"Diesel over capacity",""),
IF(S32&lt;$D$21,"Diesel stock out",""),
IF(U32&gt;$E$20,"Kero over capacity",""),
IF(U32&lt;$E$21,"Kero stock out","")),
IF(_xlpm.msgs="","",_xlpm.msgs)
))</f>
        <v>#NAME?</v>
      </c>
      <c r="AE32" s="51">
        <f t="shared" si="3"/>
        <v>47000</v>
      </c>
      <c r="AF32" s="51">
        <f t="shared" si="4"/>
        <v>1223106</v>
      </c>
      <c r="AG32" s="51">
        <f t="shared" si="5"/>
        <v>45000</v>
      </c>
      <c r="AH32" s="51">
        <f t="shared" si="6"/>
        <v>858361</v>
      </c>
      <c r="AI32" s="51">
        <f t="shared" si="7"/>
        <v>24500</v>
      </c>
      <c r="AJ32" s="51">
        <f t="shared" si="8"/>
        <v>589571</v>
      </c>
    </row>
    <row r="33" spans="6:36" ht="18" customHeight="1" x14ac:dyDescent="0.3">
      <c r="F33" s="9"/>
      <c r="H33" s="37">
        <f t="shared" si="11"/>
        <v>46127</v>
      </c>
      <c r="I33" s="32"/>
      <c r="J33" s="32"/>
      <c r="K33" s="32"/>
      <c r="L33" s="32"/>
      <c r="M33" s="32"/>
      <c r="N33" s="32"/>
      <c r="P33" s="27" t="str">
        <f t="shared" ca="1" si="0"/>
        <v/>
      </c>
      <c r="Q33" s="27" t="e" cm="1">
        <f t="array" aca="1" ref="Q33" ca="1">IF(I33="",_xlfn.LET(
    _xlpm.vals,_xlfn._xlws.FILTER($J$4:J32,$J$4:J32&lt;&gt;"",""),
    _xlpm.avgJ,IF(COUNTA(_xlpm.vals)=0,0,AVERAGE(_xlfn.TAKE(_xlpm.vals,-MIN(7,ROWS(_xlpm.vals))))),
    _xlpm.addship,IF(P33="",0,P33),
    IF(
        AND(I32="",I33=""),
        Q32-_xlpm.avgJ+_xlpm.addship,
        IF(
            I33="",
            I32-_xlpm.avgJ+_xlpm.addship,
            ""
        )
    )
),I33)</f>
        <v>#NAME?</v>
      </c>
      <c r="R33" s="27" t="str">
        <f t="shared" ca="1" si="1"/>
        <v/>
      </c>
      <c r="S33" s="27" t="e" cm="1">
        <f t="array" aca="1" ref="S33" ca="1">IF(K33="",_xlfn.LET(
    _xlpm.vals,_xlfn._xlws.FILTER($L$4:L32,$L$4:L32&lt;&gt;"",""),
    _xlpm.avgJ,IF(COUNTA(_xlpm.vals)=0,0,AVERAGE(_xlfn.TAKE(_xlpm.vals,-MIN(7,ROWS(_xlpm.vals))))),
    _xlpm.addship,IF(R33="",0,R33),
    IF(
        AND(K32="",K33=""),
        S32-_xlpm.avgJ+_xlpm.addship,
        IF(
            K33="",
            K32-_xlpm.avgJ+_xlpm.addship,
            ""
        )
    )
),K33)</f>
        <v>#NAME?</v>
      </c>
      <c r="T33" s="27" t="str">
        <f t="shared" ca="1" si="2"/>
        <v/>
      </c>
      <c r="U33" s="27" t="e" cm="1">
        <f t="array" aca="1" ref="U33" ca="1">IF(M33="",_xlfn.LET(
    _xlpm.vals,_xlfn._xlws.FILTER($N$4:N32,$N$4:N32&lt;&gt;"",""),
    _xlpm.avgJ,IF(COUNTA(_xlpm.vals)=0,0,AVERAGE(_xlfn.TAKE(_xlpm.vals,-MIN(7,ROWS(_xlpm.vals))))),
    _xlpm.addship,IF(T33="",0,T33),
    IF(
        AND(M32="",M33=""),
        U32-_xlpm.avgJ+_xlpm.addship,
        IF(
            M33="",
            M32-_xlpm.avgJ+_xlpm.addship,
            ""
        )
    )
),M33)</f>
        <v>#NAME?</v>
      </c>
      <c r="V33" s="4" t="e">
        <f ca="1">IF(AND(Q33="",S33="",U33=""),"",
_xlfn.LET(
_xlpm.msgs,
_xlfn.TEXTJOIN(" | ",TRUE,
IF(Q33&gt;$C$20,"Petrol over capacity",""),
IF(Q33&lt;$C$21,"Petrol stock out",""),
IF(S33&gt;$D$20,"Diesel over capacity",""),
IF(S33&lt;$D$21,"Diesel stock out",""),
IF(U33&gt;$E$20,"Kero over capacity",""),
IF(U33&lt;$E$21,"Kero stock out","")),
IF(_xlpm.msgs="","",_xlpm.msgs)
))</f>
        <v>#NAME?</v>
      </c>
      <c r="AE33" s="51">
        <f t="shared" si="3"/>
        <v>47000</v>
      </c>
      <c r="AF33" s="51">
        <f t="shared" si="4"/>
        <v>1223106</v>
      </c>
      <c r="AG33" s="51">
        <f t="shared" si="5"/>
        <v>45000</v>
      </c>
      <c r="AH33" s="51">
        <f t="shared" si="6"/>
        <v>858361</v>
      </c>
      <c r="AI33" s="51">
        <f t="shared" si="7"/>
        <v>24500</v>
      </c>
      <c r="AJ33" s="51">
        <f t="shared" si="8"/>
        <v>589571</v>
      </c>
    </row>
    <row r="34" spans="6:36" ht="18" customHeight="1" x14ac:dyDescent="0.3">
      <c r="H34" s="37">
        <f t="shared" si="11"/>
        <v>46128</v>
      </c>
      <c r="I34" s="32"/>
      <c r="J34" s="32"/>
      <c r="K34" s="32"/>
      <c r="L34" s="32"/>
      <c r="M34" s="32"/>
      <c r="N34" s="32"/>
      <c r="P34" s="27" t="str">
        <f t="shared" ca="1" si="0"/>
        <v/>
      </c>
      <c r="Q34" s="27" t="e" cm="1">
        <f t="array" aca="1" ref="Q34" ca="1">IF(I34="",_xlfn.LET(
    _xlpm.vals,_xlfn._xlws.FILTER($J$4:J33,$J$4:J33&lt;&gt;"",""),
    _xlpm.avgJ,IF(COUNTA(_xlpm.vals)=0,0,AVERAGE(_xlfn.TAKE(_xlpm.vals,-MIN(7,ROWS(_xlpm.vals))))),
    _xlpm.addship,IF(P34="",0,P34),
    IF(
        AND(I33="",I34=""),
        Q33-_xlpm.avgJ+_xlpm.addship,
        IF(
            I34="",
            I33-_xlpm.avgJ+_xlpm.addship,
            ""
        )
    )
),I34)</f>
        <v>#NAME?</v>
      </c>
      <c r="R34" s="27" t="str">
        <f t="shared" ca="1" si="1"/>
        <v/>
      </c>
      <c r="S34" s="27" t="e" cm="1">
        <f t="array" aca="1" ref="S34" ca="1">IF(K34="",_xlfn.LET(
    _xlpm.vals,_xlfn._xlws.FILTER($L$4:L33,$L$4:L33&lt;&gt;"",""),
    _xlpm.avgJ,IF(COUNTA(_xlpm.vals)=0,0,AVERAGE(_xlfn.TAKE(_xlpm.vals,-MIN(7,ROWS(_xlpm.vals))))),
    _xlpm.addship,IF(R34="",0,R34),
    IF(
        AND(K33="",K34=""),
        S33-_xlpm.avgJ+_xlpm.addship,
        IF(
            K34="",
            K33-_xlpm.avgJ+_xlpm.addship,
            ""
        )
    )
),K34)</f>
        <v>#NAME?</v>
      </c>
      <c r="T34" s="27" t="str">
        <f t="shared" ca="1" si="2"/>
        <v/>
      </c>
      <c r="U34" s="27" t="e" cm="1">
        <f t="array" aca="1" ref="U34" ca="1">IF(M34="",_xlfn.LET(
    _xlpm.vals,_xlfn._xlws.FILTER($N$4:N33,$N$4:N33&lt;&gt;"",""),
    _xlpm.avgJ,IF(COUNTA(_xlpm.vals)=0,0,AVERAGE(_xlfn.TAKE(_xlpm.vals,-MIN(7,ROWS(_xlpm.vals))))),
    _xlpm.addship,IF(T34="",0,T34),
    IF(
        AND(M33="",M34=""),
        U33-_xlpm.avgJ+_xlpm.addship,
        IF(
            M34="",
            M33-_xlpm.avgJ+_xlpm.addship,
            ""
        )
    )
),M34)</f>
        <v>#NAME?</v>
      </c>
      <c r="V34" s="4" t="e">
        <f ca="1">IF(AND(Q34="",S34="",U34=""),"",
_xlfn.LET(
_xlpm.msgs,
_xlfn.TEXTJOIN(" | ",TRUE,
IF(Q34&gt;$C$20,"Petrol over capacity",""),
IF(Q34&lt;$C$21,"Petrol stock out",""),
IF(S34&gt;$D$20,"Diesel over capacity",""),
IF(S34&lt;$D$21,"Diesel stock out",""),
IF(U34&gt;$E$20,"Kero over capacity",""),
IF(U34&lt;$E$21,"Kero stock out","")),
IF(_xlpm.msgs="","",_xlpm.msgs)
))</f>
        <v>#NAME?</v>
      </c>
      <c r="AE34" s="51">
        <f t="shared" si="3"/>
        <v>47000</v>
      </c>
      <c r="AF34" s="51">
        <f t="shared" si="4"/>
        <v>1223106</v>
      </c>
      <c r="AG34" s="51">
        <f t="shared" si="5"/>
        <v>45000</v>
      </c>
      <c r="AH34" s="51">
        <f t="shared" si="6"/>
        <v>858361</v>
      </c>
      <c r="AI34" s="51">
        <f t="shared" si="7"/>
        <v>24500</v>
      </c>
      <c r="AJ34" s="51">
        <f t="shared" si="8"/>
        <v>589571</v>
      </c>
    </row>
    <row r="35" spans="6:36" ht="18" customHeight="1" x14ac:dyDescent="0.3">
      <c r="H35" s="37">
        <f t="shared" si="11"/>
        <v>46129</v>
      </c>
      <c r="I35" s="32"/>
      <c r="J35" s="32"/>
      <c r="K35" s="32"/>
      <c r="L35" s="32"/>
      <c r="M35" s="32"/>
      <c r="N35" s="32"/>
      <c r="P35" s="27" t="str">
        <f t="shared" ca="1" si="0"/>
        <v/>
      </c>
      <c r="Q35" s="27" t="e" cm="1">
        <f t="array" aca="1" ref="Q35" ca="1">IF(I35="",_xlfn.LET(
    _xlpm.vals,_xlfn._xlws.FILTER($J$4:J34,$J$4:J34&lt;&gt;"",""),
    _xlpm.avgJ,IF(COUNTA(_xlpm.vals)=0,0,AVERAGE(_xlfn.TAKE(_xlpm.vals,-MIN(7,ROWS(_xlpm.vals))))),
    _xlpm.addship,IF(P35="",0,P35),
    IF(
        AND(I34="",I35=""),
        Q34-_xlpm.avgJ+_xlpm.addship,
        IF(
            I35="",
            I34-_xlpm.avgJ+_xlpm.addship,
            ""
        )
    )
),I35)</f>
        <v>#NAME?</v>
      </c>
      <c r="R35" s="27" t="str">
        <f t="shared" ca="1" si="1"/>
        <v/>
      </c>
      <c r="S35" s="27" t="e" cm="1">
        <f t="array" aca="1" ref="S35" ca="1">IF(K35="",_xlfn.LET(
    _xlpm.vals,_xlfn._xlws.FILTER($L$4:L34,$L$4:L34&lt;&gt;"",""),
    _xlpm.avgJ,IF(COUNTA(_xlpm.vals)=0,0,AVERAGE(_xlfn.TAKE(_xlpm.vals,-MIN(7,ROWS(_xlpm.vals))))),
    _xlpm.addship,IF(R35="",0,R35),
    IF(
        AND(K34="",K35=""),
        S34-_xlpm.avgJ+_xlpm.addship,
        IF(
            K35="",
            K34-_xlpm.avgJ+_xlpm.addship,
            ""
        )
    )
),K35)</f>
        <v>#NAME?</v>
      </c>
      <c r="T35" s="27" t="str">
        <f t="shared" ca="1" si="2"/>
        <v/>
      </c>
      <c r="U35" s="27" t="e" cm="1">
        <f t="array" aca="1" ref="U35" ca="1">IF(M35="",_xlfn.LET(
    _xlpm.vals,_xlfn._xlws.FILTER($N$4:N34,$N$4:N34&lt;&gt;"",""),
    _xlpm.avgJ,IF(COUNTA(_xlpm.vals)=0,0,AVERAGE(_xlfn.TAKE(_xlpm.vals,-MIN(7,ROWS(_xlpm.vals))))),
    _xlpm.addship,IF(T35="",0,T35),
    IF(
        AND(M34="",M35=""),
        U34-_xlpm.avgJ+_xlpm.addship,
        IF(
            M35="",
            M34-_xlpm.avgJ+_xlpm.addship,
            ""
        )
    )
),M35)</f>
        <v>#NAME?</v>
      </c>
      <c r="V35" s="4" t="e">
        <f ca="1">IF(AND(Q35="",S35="",U35=""),"",
_xlfn.LET(
_xlpm.msgs,
_xlfn.TEXTJOIN(" | ",TRUE,
IF(Q35&gt;$C$20,"Petrol over capacity",""),
IF(Q35&lt;$C$21,"Petrol stock out",""),
IF(S35&gt;$D$20,"Diesel over capacity",""),
IF(S35&lt;$D$21,"Diesel stock out",""),
IF(U35&gt;$E$20,"Kero over capacity",""),
IF(U35&lt;$E$21,"Kero stock out","")),
IF(_xlpm.msgs="","",_xlpm.msgs)
))</f>
        <v>#NAME?</v>
      </c>
      <c r="AE35" s="51">
        <f t="shared" si="3"/>
        <v>47000</v>
      </c>
      <c r="AF35" s="51">
        <f t="shared" si="4"/>
        <v>1223106</v>
      </c>
      <c r="AG35" s="51">
        <f t="shared" si="5"/>
        <v>45000</v>
      </c>
      <c r="AH35" s="51">
        <f t="shared" si="6"/>
        <v>858361</v>
      </c>
      <c r="AI35" s="51">
        <f t="shared" si="7"/>
        <v>24500</v>
      </c>
      <c r="AJ35" s="51">
        <f t="shared" si="8"/>
        <v>589571</v>
      </c>
    </row>
    <row r="36" spans="6:36" ht="18" customHeight="1" x14ac:dyDescent="0.3">
      <c r="H36" s="37">
        <f t="shared" si="11"/>
        <v>46130</v>
      </c>
      <c r="I36" s="32"/>
      <c r="J36" s="32"/>
      <c r="K36" s="32"/>
      <c r="L36" s="32"/>
      <c r="M36" s="32"/>
      <c r="N36" s="32"/>
      <c r="P36" s="27" t="str">
        <f t="shared" ref="P36:P67" ca="1" si="12">IF(I36="",IFERROR(_xlfn.XLOOKUP(H36,$B$6:$B$10,$C$6:$C$10,""),""),"")</f>
        <v/>
      </c>
      <c r="Q36" s="27" t="e" cm="1">
        <f t="array" aca="1" ref="Q36" ca="1">IF(I36="",_xlfn.LET(
    _xlpm.vals,_xlfn._xlws.FILTER($J$4:J35,$J$4:J35&lt;&gt;"",""),
    _xlpm.avgJ,IF(COUNTA(_xlpm.vals)=0,0,AVERAGE(_xlfn.TAKE(_xlpm.vals,-MIN(7,ROWS(_xlpm.vals))))),
    _xlpm.addship,IF(P36="",0,P36),
    IF(
        AND(I35="",I36=""),
        Q35-_xlpm.avgJ+_xlpm.addship,
        IF(
            I36="",
            I35-_xlpm.avgJ+_xlpm.addship,
            ""
        )
    )
),I36)</f>
        <v>#NAME?</v>
      </c>
      <c r="R36" s="27" t="str">
        <f t="shared" ref="R36:R67" ca="1" si="13">IF(K36="",IFERROR(_xlfn.XLOOKUP(H36,$B$6:$B$10,$D$6:$D$10,""),""),"")</f>
        <v/>
      </c>
      <c r="S36" s="27" t="e" cm="1">
        <f t="array" aca="1" ref="S36" ca="1">IF(K36="",_xlfn.LET(
    _xlpm.vals,_xlfn._xlws.FILTER($L$4:L35,$L$4:L35&lt;&gt;"",""),
    _xlpm.avgJ,IF(COUNTA(_xlpm.vals)=0,0,AVERAGE(_xlfn.TAKE(_xlpm.vals,-MIN(7,ROWS(_xlpm.vals))))),
    _xlpm.addship,IF(R36="",0,R36),
    IF(
        AND(K35="",K36=""),
        S35-_xlpm.avgJ+_xlpm.addship,
        IF(
            K36="",
            K35-_xlpm.avgJ+_xlpm.addship,
            ""
        )
    )
),K36)</f>
        <v>#NAME?</v>
      </c>
      <c r="T36" s="27" t="str">
        <f t="shared" ca="1" si="2"/>
        <v/>
      </c>
      <c r="U36" s="27" t="e" cm="1">
        <f t="array" aca="1" ref="U36" ca="1">IF(M36="",_xlfn.LET(
    _xlpm.vals,_xlfn._xlws.FILTER($N$4:N35,$N$4:N35&lt;&gt;"",""),
    _xlpm.avgJ,IF(COUNTA(_xlpm.vals)=0,0,AVERAGE(_xlfn.TAKE(_xlpm.vals,-MIN(7,ROWS(_xlpm.vals))))),
    _xlpm.addship,IF(T36="",0,T36),
    IF(
        AND(M35="",M36=""),
        U35-_xlpm.avgJ+_xlpm.addship,
        IF(
            M36="",
            M35-_xlpm.avgJ+_xlpm.addship,
            ""
        )
    )
),M36)</f>
        <v>#NAME?</v>
      </c>
      <c r="V36" s="4" t="e">
        <f ca="1">IF(AND(Q36="",S36="",U36=""),"",
_xlfn.LET(
_xlpm.msgs,
_xlfn.TEXTJOIN(" | ",TRUE,
IF(Q36&gt;$C$20,"Petrol over capacity",""),
IF(Q36&lt;$C$21,"Petrol stock out",""),
IF(S36&gt;$D$20,"Diesel over capacity",""),
IF(S36&lt;$D$21,"Diesel stock out",""),
IF(U36&gt;$E$20,"Kero over capacity",""),
IF(U36&lt;$E$21,"Kero stock out","")),
IF(_xlpm.msgs="","",_xlpm.msgs)
))</f>
        <v>#NAME?</v>
      </c>
      <c r="AE36" s="51">
        <f t="shared" si="3"/>
        <v>47000</v>
      </c>
      <c r="AF36" s="51">
        <f t="shared" si="4"/>
        <v>1223106</v>
      </c>
      <c r="AG36" s="51">
        <f t="shared" si="5"/>
        <v>45000</v>
      </c>
      <c r="AH36" s="51">
        <f t="shared" si="6"/>
        <v>858361</v>
      </c>
      <c r="AI36" s="51">
        <f t="shared" si="7"/>
        <v>24500</v>
      </c>
      <c r="AJ36" s="51">
        <f t="shared" si="8"/>
        <v>589571</v>
      </c>
    </row>
    <row r="37" spans="6:36" ht="18" customHeight="1" x14ac:dyDescent="0.3">
      <c r="H37" s="37">
        <f t="shared" si="11"/>
        <v>46131</v>
      </c>
      <c r="I37" s="32"/>
      <c r="J37" s="32"/>
      <c r="K37" s="32"/>
      <c r="L37" s="32"/>
      <c r="M37" s="32"/>
      <c r="N37" s="32"/>
      <c r="P37" s="27" t="str">
        <f t="shared" ca="1" si="12"/>
        <v/>
      </c>
      <c r="Q37" s="27" t="e" cm="1">
        <f t="array" aca="1" ref="Q37" ca="1">IF(I37="",_xlfn.LET(
    _xlpm.vals,_xlfn._xlws.FILTER($J$4:J36,$J$4:J36&lt;&gt;"",""),
    _xlpm.avgJ,IF(COUNTA(_xlpm.vals)=0,0,AVERAGE(_xlfn.TAKE(_xlpm.vals,-MIN(7,ROWS(_xlpm.vals))))),
    _xlpm.addship,IF(P37="",0,P37),
    IF(
        AND(I36="",I37=""),
        Q36-_xlpm.avgJ+_xlpm.addship,
        IF(
            I37="",
            I36-_xlpm.avgJ+_xlpm.addship,
            ""
        )
    )
),I37)</f>
        <v>#NAME?</v>
      </c>
      <c r="R37" s="27" t="str">
        <f t="shared" ca="1" si="13"/>
        <v/>
      </c>
      <c r="S37" s="27" t="e" cm="1">
        <f t="array" aca="1" ref="S37" ca="1">IF(K37="",_xlfn.LET(
    _xlpm.vals,_xlfn._xlws.FILTER($L$4:L36,$L$4:L36&lt;&gt;"",""),
    _xlpm.avgJ,IF(COUNTA(_xlpm.vals)=0,0,AVERAGE(_xlfn.TAKE(_xlpm.vals,-MIN(7,ROWS(_xlpm.vals))))),
    _xlpm.addship,IF(R37="",0,R37),
    IF(
        AND(K36="",K37=""),
        S36-_xlpm.avgJ+_xlpm.addship,
        IF(
            K37="",
            K36-_xlpm.avgJ+_xlpm.addship,
            ""
        )
    )
),K37)</f>
        <v>#NAME?</v>
      </c>
      <c r="T37" s="27" t="str">
        <f t="shared" ca="1" si="2"/>
        <v/>
      </c>
      <c r="U37" s="27" t="e" cm="1">
        <f t="array" aca="1" ref="U37" ca="1">IF(M37="",_xlfn.LET(
    _xlpm.vals,_xlfn._xlws.FILTER($N$4:N36,$N$4:N36&lt;&gt;"",""),
    _xlpm.avgJ,IF(COUNTA(_xlpm.vals)=0,0,AVERAGE(_xlfn.TAKE(_xlpm.vals,-MIN(7,ROWS(_xlpm.vals))))),
    _xlpm.addship,IF(T37="",0,T37),
    IF(
        AND(M36="",M37=""),
        U36-_xlpm.avgJ+_xlpm.addship,
        IF(
            M37="",
            M36-_xlpm.avgJ+_xlpm.addship,
            ""
        )
    )
),M37)</f>
        <v>#NAME?</v>
      </c>
      <c r="V37" s="4" t="e">
        <f ca="1">IF(AND(Q37="",S37="",U37=""),"",
_xlfn.LET(
_xlpm.msgs,
_xlfn.TEXTJOIN(" | ",TRUE,
IF(Q37&gt;$C$20,"Petrol over capacity",""),
IF(Q37&lt;$C$21,"Petrol stock out",""),
IF(S37&gt;$D$20,"Diesel over capacity",""),
IF(S37&lt;$D$21,"Diesel stock out",""),
IF(U37&gt;$E$20,"Kero over capacity",""),
IF(U37&lt;$E$21,"Kero stock out","")),
IF(_xlpm.msgs="","",_xlpm.msgs)
))</f>
        <v>#NAME?</v>
      </c>
      <c r="AE37" s="51">
        <f t="shared" si="3"/>
        <v>47000</v>
      </c>
      <c r="AF37" s="51">
        <f t="shared" si="4"/>
        <v>1223106</v>
      </c>
      <c r="AG37" s="51">
        <f t="shared" si="5"/>
        <v>45000</v>
      </c>
      <c r="AH37" s="51">
        <f t="shared" si="6"/>
        <v>858361</v>
      </c>
      <c r="AI37" s="51">
        <f t="shared" si="7"/>
        <v>24500</v>
      </c>
      <c r="AJ37" s="51">
        <f t="shared" si="8"/>
        <v>589571</v>
      </c>
    </row>
    <row r="38" spans="6:36" ht="18" customHeight="1" x14ac:dyDescent="0.3">
      <c r="H38" s="37">
        <f t="shared" si="11"/>
        <v>46132</v>
      </c>
      <c r="I38" s="32"/>
      <c r="J38" s="32"/>
      <c r="K38" s="32"/>
      <c r="L38" s="32"/>
      <c r="M38" s="32"/>
      <c r="N38" s="32"/>
      <c r="P38" s="27" t="str">
        <f t="shared" ca="1" si="12"/>
        <v/>
      </c>
      <c r="Q38" s="27" t="e" cm="1">
        <f t="array" aca="1" ref="Q38" ca="1">IF(I38="",_xlfn.LET(
    _xlpm.vals,_xlfn._xlws.FILTER($J$4:J37,$J$4:J37&lt;&gt;"",""),
    _xlpm.avgJ,IF(COUNTA(_xlpm.vals)=0,0,AVERAGE(_xlfn.TAKE(_xlpm.vals,-MIN(7,ROWS(_xlpm.vals))))),
    _xlpm.addship,IF(P38="",0,P38),
    IF(
        AND(I37="",I38=""),
        Q37-_xlpm.avgJ+_xlpm.addship,
        IF(
            I38="",
            I37-_xlpm.avgJ+_xlpm.addship,
            ""
        )
    )
),I38)</f>
        <v>#NAME?</v>
      </c>
      <c r="R38" s="27" t="str">
        <f t="shared" ca="1" si="13"/>
        <v/>
      </c>
      <c r="S38" s="27" t="e" cm="1">
        <f t="array" aca="1" ref="S38" ca="1">IF(K38="",_xlfn.LET(
    _xlpm.vals,_xlfn._xlws.FILTER($L$4:L37,$L$4:L37&lt;&gt;"",""),
    _xlpm.avgJ,IF(COUNTA(_xlpm.vals)=0,0,AVERAGE(_xlfn.TAKE(_xlpm.vals,-MIN(7,ROWS(_xlpm.vals))))),
    _xlpm.addship,IF(R38="",0,R38),
    IF(
        AND(K37="",K38=""),
        S37-_xlpm.avgJ+_xlpm.addship,
        IF(
            K38="",
            K37-_xlpm.avgJ+_xlpm.addship,
            ""
        )
    )
),K38)</f>
        <v>#NAME?</v>
      </c>
      <c r="T38" s="27" t="str">
        <f t="shared" ca="1" si="2"/>
        <v/>
      </c>
      <c r="U38" s="27" t="e" cm="1">
        <f t="array" aca="1" ref="U38" ca="1">IF(M38="",_xlfn.LET(
    _xlpm.vals,_xlfn._xlws.FILTER($N$4:N37,$N$4:N37&lt;&gt;"",""),
    _xlpm.avgJ,IF(COUNTA(_xlpm.vals)=0,0,AVERAGE(_xlfn.TAKE(_xlpm.vals,-MIN(7,ROWS(_xlpm.vals))))),
    _xlpm.addship,IF(T38="",0,T38),
    IF(
        AND(M37="",M38=""),
        U37-_xlpm.avgJ+_xlpm.addship,
        IF(
            M38="",
            M37-_xlpm.avgJ+_xlpm.addship,
            ""
        )
    )
),M38)</f>
        <v>#NAME?</v>
      </c>
      <c r="V38" s="4" t="e">
        <f ca="1">IF(AND(Q38="",S38="",U38=""),"",
_xlfn.LET(
_xlpm.msgs,
_xlfn.TEXTJOIN(" | ",TRUE,
IF(Q38&gt;$C$20,"Petrol over capacity",""),
IF(Q38&lt;$C$21,"Petrol stock out",""),
IF(S38&gt;$D$20,"Diesel over capacity",""),
IF(S38&lt;$D$21,"Diesel stock out",""),
IF(U38&gt;$E$20,"Kero over capacity",""),
IF(U38&lt;$E$21,"Kero stock out","")),
IF(_xlpm.msgs="","",_xlpm.msgs)
))</f>
        <v>#NAME?</v>
      </c>
      <c r="AE38" s="51">
        <f t="shared" si="3"/>
        <v>47000</v>
      </c>
      <c r="AF38" s="51">
        <f t="shared" si="4"/>
        <v>1223106</v>
      </c>
      <c r="AG38" s="51">
        <f t="shared" si="5"/>
        <v>45000</v>
      </c>
      <c r="AH38" s="51">
        <f t="shared" si="6"/>
        <v>858361</v>
      </c>
      <c r="AI38" s="51">
        <f t="shared" si="7"/>
        <v>24500</v>
      </c>
      <c r="AJ38" s="51">
        <f t="shared" si="8"/>
        <v>589571</v>
      </c>
    </row>
    <row r="39" spans="6:36" ht="18" customHeight="1" x14ac:dyDescent="0.3">
      <c r="H39" s="37">
        <f t="shared" si="11"/>
        <v>46133</v>
      </c>
      <c r="I39" s="32"/>
      <c r="J39" s="32"/>
      <c r="K39" s="32"/>
      <c r="L39" s="32"/>
      <c r="M39" s="32"/>
      <c r="N39" s="32"/>
      <c r="P39" s="27" t="str">
        <f t="shared" ca="1" si="12"/>
        <v/>
      </c>
      <c r="Q39" s="27" t="e" cm="1">
        <f t="array" aca="1" ref="Q39" ca="1">IF(I39="",_xlfn.LET(
    _xlpm.vals,_xlfn._xlws.FILTER($J$4:J38,$J$4:J38&lt;&gt;"",""),
    _xlpm.avgJ,IF(COUNTA(_xlpm.vals)=0,0,AVERAGE(_xlfn.TAKE(_xlpm.vals,-MIN(7,ROWS(_xlpm.vals))))),
    _xlpm.addship,IF(P39="",0,P39),
    IF(
        AND(I38="",I39=""),
        Q38-_xlpm.avgJ+_xlpm.addship,
        IF(
            I39="",
            I38-_xlpm.avgJ+_xlpm.addship,
            ""
        )
    )
),I39)</f>
        <v>#NAME?</v>
      </c>
      <c r="R39" s="27" t="str">
        <f t="shared" ca="1" si="13"/>
        <v/>
      </c>
      <c r="S39" s="27" t="e" cm="1">
        <f t="array" aca="1" ref="S39" ca="1">IF(K39="",_xlfn.LET(
    _xlpm.vals,_xlfn._xlws.FILTER($L$4:L38,$L$4:L38&lt;&gt;"",""),
    _xlpm.avgJ,IF(COUNTA(_xlpm.vals)=0,0,AVERAGE(_xlfn.TAKE(_xlpm.vals,-MIN(7,ROWS(_xlpm.vals))))),
    _xlpm.addship,IF(R39="",0,R39),
    IF(
        AND(K38="",K39=""),
        S38-_xlpm.avgJ+_xlpm.addship,
        IF(
            K39="",
            K38-_xlpm.avgJ+_xlpm.addship,
            ""
        )
    )
),K39)</f>
        <v>#NAME?</v>
      </c>
      <c r="T39" s="27" t="str">
        <f t="shared" ca="1" si="2"/>
        <v/>
      </c>
      <c r="U39" s="27" t="e" cm="1">
        <f t="array" aca="1" ref="U39" ca="1">IF(M39="",_xlfn.LET(
    _xlpm.vals,_xlfn._xlws.FILTER($N$4:N38,$N$4:N38&lt;&gt;"",""),
    _xlpm.avgJ,IF(COUNTA(_xlpm.vals)=0,0,AVERAGE(_xlfn.TAKE(_xlpm.vals,-MIN(7,ROWS(_xlpm.vals))))),
    _xlpm.addship,IF(T39="",0,T39),
    IF(
        AND(M38="",M39=""),
        U38-_xlpm.avgJ+_xlpm.addship,
        IF(
            M39="",
            M38-_xlpm.avgJ+_xlpm.addship,
            ""
        )
    )
),M39)</f>
        <v>#NAME?</v>
      </c>
      <c r="V39" s="4" t="e">
        <f ca="1">IF(AND(Q39="",S39="",U39=""),"",
_xlfn.LET(
_xlpm.msgs,
_xlfn.TEXTJOIN(" | ",TRUE,
IF(Q39&gt;$C$20,"Petrol over capacity",""),
IF(Q39&lt;$C$21,"Petrol stock out",""),
IF(S39&gt;$D$20,"Diesel over capacity",""),
IF(S39&lt;$D$21,"Diesel stock out",""),
IF(U39&gt;$E$20,"Kero over capacity",""),
IF(U39&lt;$E$21,"Kero stock out","")),
IF(_xlpm.msgs="","",_xlpm.msgs)
))</f>
        <v>#NAME?</v>
      </c>
      <c r="AE39" s="51">
        <f t="shared" si="3"/>
        <v>47000</v>
      </c>
      <c r="AF39" s="51">
        <f t="shared" si="4"/>
        <v>1223106</v>
      </c>
      <c r="AG39" s="51">
        <f t="shared" si="5"/>
        <v>45000</v>
      </c>
      <c r="AH39" s="51">
        <f t="shared" si="6"/>
        <v>858361</v>
      </c>
      <c r="AI39" s="51">
        <f t="shared" si="7"/>
        <v>24500</v>
      </c>
      <c r="AJ39" s="51">
        <f t="shared" si="8"/>
        <v>589571</v>
      </c>
    </row>
    <row r="40" spans="6:36" ht="18" customHeight="1" x14ac:dyDescent="0.3">
      <c r="H40" s="37">
        <f t="shared" si="11"/>
        <v>46134</v>
      </c>
      <c r="I40" s="32"/>
      <c r="J40" s="32"/>
      <c r="K40" s="32"/>
      <c r="L40" s="32"/>
      <c r="M40" s="32"/>
      <c r="N40" s="32"/>
      <c r="P40" s="27" t="str">
        <f t="shared" ca="1" si="12"/>
        <v/>
      </c>
      <c r="Q40" s="27" t="e" cm="1">
        <f t="array" aca="1" ref="Q40" ca="1">IF(I40="",_xlfn.LET(
    _xlpm.vals,_xlfn._xlws.FILTER($J$4:J39,$J$4:J39&lt;&gt;"",""),
    _xlpm.avgJ,IF(COUNTA(_xlpm.vals)=0,0,AVERAGE(_xlfn.TAKE(_xlpm.vals,-MIN(7,ROWS(_xlpm.vals))))),
    _xlpm.addship,IF(P40="",0,P40),
    IF(
        AND(I39="",I40=""),
        Q39-_xlpm.avgJ+_xlpm.addship,
        IF(
            I40="",
            I39-_xlpm.avgJ+_xlpm.addship,
            ""
        )
    )
),I40)</f>
        <v>#NAME?</v>
      </c>
      <c r="R40" s="27" t="str">
        <f t="shared" ca="1" si="13"/>
        <v/>
      </c>
      <c r="S40" s="27" t="e" cm="1">
        <f t="array" aca="1" ref="S40" ca="1">IF(K40="",_xlfn.LET(
    _xlpm.vals,_xlfn._xlws.FILTER($L$4:L39,$L$4:L39&lt;&gt;"",""),
    _xlpm.avgJ,IF(COUNTA(_xlpm.vals)=0,0,AVERAGE(_xlfn.TAKE(_xlpm.vals,-MIN(7,ROWS(_xlpm.vals))))),
    _xlpm.addship,IF(R40="",0,R40),
    IF(
        AND(K39="",K40=""),
        S39-_xlpm.avgJ+_xlpm.addship,
        IF(
            K40="",
            K39-_xlpm.avgJ+_xlpm.addship,
            ""
        )
    )
),K40)</f>
        <v>#NAME?</v>
      </c>
      <c r="T40" s="27" t="str">
        <f t="shared" ca="1" si="2"/>
        <v/>
      </c>
      <c r="U40" s="27" t="e" cm="1">
        <f t="array" aca="1" ref="U40" ca="1">IF(M40="",_xlfn.LET(
    _xlpm.vals,_xlfn._xlws.FILTER($N$4:N39,$N$4:N39&lt;&gt;"",""),
    _xlpm.avgJ,IF(COUNTA(_xlpm.vals)=0,0,AVERAGE(_xlfn.TAKE(_xlpm.vals,-MIN(7,ROWS(_xlpm.vals))))),
    _xlpm.addship,IF(T40="",0,T40),
    IF(
        AND(M39="",M40=""),
        U39-_xlpm.avgJ+_xlpm.addship,
        IF(
            M40="",
            M39-_xlpm.avgJ+_xlpm.addship,
            ""
        )
    )
),M40)</f>
        <v>#NAME?</v>
      </c>
      <c r="V40" s="4" t="e">
        <f ca="1">IF(AND(Q40="",S40="",U40=""),"",
_xlfn.LET(
_xlpm.msgs,
_xlfn.TEXTJOIN(" | ",TRUE,
IF(Q40&gt;$C$20,"Petrol over capacity",""),
IF(Q40&lt;$C$21,"Petrol stock out",""),
IF(S40&gt;$D$20,"Diesel over capacity",""),
IF(S40&lt;$D$21,"Diesel stock out",""),
IF(U40&gt;$E$20,"Kero over capacity",""),
IF(U40&lt;$E$21,"Kero stock out","")),
IF(_xlpm.msgs="","",_xlpm.msgs)
))</f>
        <v>#NAME?</v>
      </c>
      <c r="AE40" s="51">
        <f t="shared" si="3"/>
        <v>47000</v>
      </c>
      <c r="AF40" s="51">
        <f t="shared" si="4"/>
        <v>1223106</v>
      </c>
      <c r="AG40" s="51">
        <f t="shared" si="5"/>
        <v>45000</v>
      </c>
      <c r="AH40" s="51">
        <f t="shared" si="6"/>
        <v>858361</v>
      </c>
      <c r="AI40" s="51">
        <f t="shared" si="7"/>
        <v>24500</v>
      </c>
      <c r="AJ40" s="51">
        <f t="shared" si="8"/>
        <v>589571</v>
      </c>
    </row>
    <row r="41" spans="6:36" ht="18" customHeight="1" x14ac:dyDescent="0.3">
      <c r="H41" s="37">
        <f t="shared" si="11"/>
        <v>46135</v>
      </c>
      <c r="I41" s="32"/>
      <c r="J41" s="32"/>
      <c r="K41" s="32"/>
      <c r="L41" s="32"/>
      <c r="M41" s="32"/>
      <c r="N41" s="32"/>
      <c r="P41" s="27" t="str">
        <f t="shared" ca="1" si="12"/>
        <v/>
      </c>
      <c r="Q41" s="27" t="e" cm="1">
        <f t="array" aca="1" ref="Q41" ca="1">IF(I41="",_xlfn.LET(
    _xlpm.vals,_xlfn._xlws.FILTER($J$4:J40,$J$4:J40&lt;&gt;"",""),
    _xlpm.avgJ,IF(COUNTA(_xlpm.vals)=0,0,AVERAGE(_xlfn.TAKE(_xlpm.vals,-MIN(7,ROWS(_xlpm.vals))))),
    _xlpm.addship,IF(P41="",0,P41),
    IF(
        AND(I40="",I41=""),
        Q40-_xlpm.avgJ+_xlpm.addship,
        IF(
            I41="",
            I40-_xlpm.avgJ+_xlpm.addship,
            ""
        )
    )
),I41)</f>
        <v>#NAME?</v>
      </c>
      <c r="R41" s="27" t="str">
        <f t="shared" ca="1" si="13"/>
        <v/>
      </c>
      <c r="S41" s="27" t="e" cm="1">
        <f t="array" aca="1" ref="S41" ca="1">IF(K41="",_xlfn.LET(
    _xlpm.vals,_xlfn._xlws.FILTER($L$4:L40,$L$4:L40&lt;&gt;"",""),
    _xlpm.avgJ,IF(COUNTA(_xlpm.vals)=0,0,AVERAGE(_xlfn.TAKE(_xlpm.vals,-MIN(7,ROWS(_xlpm.vals))))),
    _xlpm.addship,IF(R41="",0,R41),
    IF(
        AND(K40="",K41=""),
        S40-_xlpm.avgJ+_xlpm.addship,
        IF(
            K41="",
            K40-_xlpm.avgJ+_xlpm.addship,
            ""
        )
    )
),K41)</f>
        <v>#NAME?</v>
      </c>
      <c r="T41" s="27" t="str">
        <f t="shared" ca="1" si="2"/>
        <v/>
      </c>
      <c r="U41" s="27" t="e" cm="1">
        <f t="array" aca="1" ref="U41" ca="1">IF(M41="",_xlfn.LET(
    _xlpm.vals,_xlfn._xlws.FILTER($N$4:N40,$N$4:N40&lt;&gt;"",""),
    _xlpm.avgJ,IF(COUNTA(_xlpm.vals)=0,0,AVERAGE(_xlfn.TAKE(_xlpm.vals,-MIN(7,ROWS(_xlpm.vals))))),
    _xlpm.addship,IF(T41="",0,T41),
    IF(
        AND(M40="",M41=""),
        U40-_xlpm.avgJ+_xlpm.addship,
        IF(
            M41="",
            M40-_xlpm.avgJ+_xlpm.addship,
            ""
        )
    )
),M41)</f>
        <v>#NAME?</v>
      </c>
      <c r="V41" s="4" t="e">
        <f ca="1">IF(AND(Q41="",S41="",U41=""),"",
_xlfn.LET(
_xlpm.msgs,
_xlfn.TEXTJOIN(" | ",TRUE,
IF(Q41&gt;$C$20,"Petrol over capacity",""),
IF(Q41&lt;$C$21,"Petrol stock out",""),
IF(S41&gt;$D$20,"Diesel over capacity",""),
IF(S41&lt;$D$21,"Diesel stock out",""),
IF(U41&gt;$E$20,"Kero over capacity",""),
IF(U41&lt;$E$21,"Kero stock out","")),
IF(_xlpm.msgs="","",_xlpm.msgs)
))</f>
        <v>#NAME?</v>
      </c>
      <c r="AE41" s="51">
        <f t="shared" si="3"/>
        <v>47000</v>
      </c>
      <c r="AF41" s="51">
        <f t="shared" si="4"/>
        <v>1223106</v>
      </c>
      <c r="AG41" s="51">
        <f t="shared" si="5"/>
        <v>45000</v>
      </c>
      <c r="AH41" s="51">
        <f t="shared" si="6"/>
        <v>858361</v>
      </c>
      <c r="AI41" s="51">
        <f t="shared" si="7"/>
        <v>24500</v>
      </c>
      <c r="AJ41" s="51">
        <f t="shared" si="8"/>
        <v>589571</v>
      </c>
    </row>
    <row r="42" spans="6:36" ht="18" customHeight="1" x14ac:dyDescent="0.3">
      <c r="H42" s="37">
        <f t="shared" si="11"/>
        <v>46136</v>
      </c>
      <c r="I42" s="32"/>
      <c r="J42" s="32"/>
      <c r="K42" s="32"/>
      <c r="L42" s="32"/>
      <c r="M42" s="32"/>
      <c r="N42" s="32"/>
      <c r="P42" s="27" t="str">
        <f t="shared" ca="1" si="12"/>
        <v/>
      </c>
      <c r="Q42" s="27" t="e" cm="1">
        <f t="array" aca="1" ref="Q42" ca="1">IF(I42="",_xlfn.LET(
    _xlpm.vals,_xlfn._xlws.FILTER($J$4:J41,$J$4:J41&lt;&gt;"",""),
    _xlpm.avgJ,IF(COUNTA(_xlpm.vals)=0,0,AVERAGE(_xlfn.TAKE(_xlpm.vals,-MIN(7,ROWS(_xlpm.vals))))),
    _xlpm.addship,IF(P42="",0,P42),
    IF(
        AND(I41="",I42=""),
        Q41-_xlpm.avgJ+_xlpm.addship,
        IF(
            I42="",
            I41-_xlpm.avgJ+_xlpm.addship,
            ""
        )
    )
),I42)</f>
        <v>#NAME?</v>
      </c>
      <c r="R42" s="27" t="str">
        <f t="shared" ca="1" si="13"/>
        <v/>
      </c>
      <c r="S42" s="27" t="e" cm="1">
        <f t="array" aca="1" ref="S42" ca="1">IF(K42="",_xlfn.LET(
    _xlpm.vals,_xlfn._xlws.FILTER($L$4:L41,$L$4:L41&lt;&gt;"",""),
    _xlpm.avgJ,IF(COUNTA(_xlpm.vals)=0,0,AVERAGE(_xlfn.TAKE(_xlpm.vals,-MIN(7,ROWS(_xlpm.vals))))),
    _xlpm.addship,IF(R42="",0,R42),
    IF(
        AND(K41="",K42=""),
        S41-_xlpm.avgJ+_xlpm.addship,
        IF(
            K42="",
            K41-_xlpm.avgJ+_xlpm.addship,
            ""
        )
    )
),K42)</f>
        <v>#NAME?</v>
      </c>
      <c r="T42" s="27" t="str">
        <f t="shared" ca="1" si="2"/>
        <v/>
      </c>
      <c r="U42" s="27" t="e" cm="1">
        <f t="array" aca="1" ref="U42" ca="1">IF(M42="",_xlfn.LET(
    _xlpm.vals,_xlfn._xlws.FILTER($N$4:N41,$N$4:N41&lt;&gt;"",""),
    _xlpm.avgJ,IF(COUNTA(_xlpm.vals)=0,0,AVERAGE(_xlfn.TAKE(_xlpm.vals,-MIN(7,ROWS(_xlpm.vals))))),
    _xlpm.addship,IF(T42="",0,T42),
    IF(
        AND(M41="",M42=""),
        U41-_xlpm.avgJ+_xlpm.addship,
        IF(
            M42="",
            M41-_xlpm.avgJ+_xlpm.addship,
            ""
        )
    )
),M42)</f>
        <v>#NAME?</v>
      </c>
      <c r="V42" s="4" t="e">
        <f ca="1">IF(AND(Q42="",S42="",U42=""),"",
_xlfn.LET(
_xlpm.msgs,
_xlfn.TEXTJOIN(" | ",TRUE,
IF(Q42&gt;$C$20,"Petrol over capacity",""),
IF(Q42&lt;$C$21,"Petrol stock out",""),
IF(S42&gt;$D$20,"Diesel over capacity",""),
IF(S42&lt;$D$21,"Diesel stock out",""),
IF(U42&gt;$E$20,"Kero over capacity",""),
IF(U42&lt;$E$21,"Kero stock out","")),
IF(_xlpm.msgs="","",_xlpm.msgs)
))</f>
        <v>#NAME?</v>
      </c>
      <c r="AE42" s="51">
        <f t="shared" si="3"/>
        <v>47000</v>
      </c>
      <c r="AF42" s="51">
        <f t="shared" si="4"/>
        <v>1223106</v>
      </c>
      <c r="AG42" s="51">
        <f t="shared" si="5"/>
        <v>45000</v>
      </c>
      <c r="AH42" s="51">
        <f t="shared" si="6"/>
        <v>858361</v>
      </c>
      <c r="AI42" s="51">
        <f t="shared" si="7"/>
        <v>24500</v>
      </c>
      <c r="AJ42" s="51">
        <f t="shared" si="8"/>
        <v>589571</v>
      </c>
    </row>
    <row r="43" spans="6:36" ht="18" customHeight="1" x14ac:dyDescent="0.3">
      <c r="H43" s="37">
        <f t="shared" si="11"/>
        <v>46137</v>
      </c>
      <c r="I43" s="32"/>
      <c r="J43" s="32"/>
      <c r="K43" s="32"/>
      <c r="L43" s="32"/>
      <c r="M43" s="32"/>
      <c r="N43" s="32"/>
      <c r="P43" s="27" t="str">
        <f t="shared" ca="1" si="12"/>
        <v/>
      </c>
      <c r="Q43" s="27" t="e" cm="1">
        <f t="array" aca="1" ref="Q43" ca="1">IF(I43="",_xlfn.LET(
    _xlpm.vals,_xlfn._xlws.FILTER($J$4:J42,$J$4:J42&lt;&gt;"",""),
    _xlpm.avgJ,IF(COUNTA(_xlpm.vals)=0,0,AVERAGE(_xlfn.TAKE(_xlpm.vals,-MIN(7,ROWS(_xlpm.vals))))),
    _xlpm.addship,IF(P43="",0,P43),
    IF(
        AND(I42="",I43=""),
        Q42-_xlpm.avgJ+_xlpm.addship,
        IF(
            I43="",
            I42-_xlpm.avgJ+_xlpm.addship,
            ""
        )
    )
),I43)</f>
        <v>#NAME?</v>
      </c>
      <c r="R43" s="27" t="str">
        <f t="shared" ca="1" si="13"/>
        <v/>
      </c>
      <c r="S43" s="27" t="e" cm="1">
        <f t="array" aca="1" ref="S43" ca="1">IF(K43="",_xlfn.LET(
    _xlpm.vals,_xlfn._xlws.FILTER($L$4:L42,$L$4:L42&lt;&gt;"",""),
    _xlpm.avgJ,IF(COUNTA(_xlpm.vals)=0,0,AVERAGE(_xlfn.TAKE(_xlpm.vals,-MIN(7,ROWS(_xlpm.vals))))),
    _xlpm.addship,IF(R43="",0,R43),
    IF(
        AND(K42="",K43=""),
        S42-_xlpm.avgJ+_xlpm.addship,
        IF(
            K43="",
            K42-_xlpm.avgJ+_xlpm.addship,
            ""
        )
    )
),K43)</f>
        <v>#NAME?</v>
      </c>
      <c r="T43" s="27" t="str">
        <f t="shared" ca="1" si="2"/>
        <v/>
      </c>
      <c r="U43" s="27" t="e" cm="1">
        <f t="array" aca="1" ref="U43" ca="1">IF(M43="",_xlfn.LET(
    _xlpm.vals,_xlfn._xlws.FILTER($N$4:N42,$N$4:N42&lt;&gt;"",""),
    _xlpm.avgJ,IF(COUNTA(_xlpm.vals)=0,0,AVERAGE(_xlfn.TAKE(_xlpm.vals,-MIN(7,ROWS(_xlpm.vals))))),
    _xlpm.addship,IF(T43="",0,T43),
    IF(
        AND(M42="",M43=""),
        U42-_xlpm.avgJ+_xlpm.addship,
        IF(
            M43="",
            M42-_xlpm.avgJ+_xlpm.addship,
            ""
        )
    )
),M43)</f>
        <v>#NAME?</v>
      </c>
      <c r="V43" s="4" t="e">
        <f ca="1">IF(AND(Q43="",S43="",U43=""),"",
_xlfn.LET(
_xlpm.msgs,
_xlfn.TEXTJOIN(" | ",TRUE,
IF(Q43&gt;$C$20,"Petrol over capacity",""),
IF(Q43&lt;$C$21,"Petrol stock out",""),
IF(S43&gt;$D$20,"Diesel over capacity",""),
IF(S43&lt;$D$21,"Diesel stock out",""),
IF(U43&gt;$E$20,"Kero over capacity",""),
IF(U43&lt;$E$21,"Kero stock out","")),
IF(_xlpm.msgs="","",_xlpm.msgs)
))</f>
        <v>#NAME?</v>
      </c>
      <c r="AE43" s="51">
        <f t="shared" si="3"/>
        <v>47000</v>
      </c>
      <c r="AF43" s="51">
        <f t="shared" si="4"/>
        <v>1223106</v>
      </c>
      <c r="AG43" s="51">
        <f t="shared" si="5"/>
        <v>45000</v>
      </c>
      <c r="AH43" s="51">
        <f t="shared" si="6"/>
        <v>858361</v>
      </c>
      <c r="AI43" s="51">
        <f t="shared" si="7"/>
        <v>24500</v>
      </c>
      <c r="AJ43" s="51">
        <f t="shared" si="8"/>
        <v>589571</v>
      </c>
    </row>
    <row r="44" spans="6:36" ht="18" customHeight="1" x14ac:dyDescent="0.3">
      <c r="H44" s="37">
        <f t="shared" si="11"/>
        <v>46138</v>
      </c>
      <c r="I44" s="32"/>
      <c r="J44" s="32"/>
      <c r="K44" s="32"/>
      <c r="L44" s="32"/>
      <c r="M44" s="32"/>
      <c r="N44" s="32"/>
      <c r="P44" s="27" t="str">
        <f t="shared" ca="1" si="12"/>
        <v/>
      </c>
      <c r="Q44" s="27" t="e" cm="1">
        <f t="array" aca="1" ref="Q44" ca="1">IF(I44="",_xlfn.LET(
    _xlpm.vals,_xlfn._xlws.FILTER($J$4:J43,$J$4:J43&lt;&gt;"",""),
    _xlpm.avgJ,IF(COUNTA(_xlpm.vals)=0,0,AVERAGE(_xlfn.TAKE(_xlpm.vals,-MIN(7,ROWS(_xlpm.vals))))),
    _xlpm.addship,IF(P44="",0,P44),
    IF(
        AND(I43="",I44=""),
        Q43-_xlpm.avgJ+_xlpm.addship,
        IF(
            I44="",
            I43-_xlpm.avgJ+_xlpm.addship,
            ""
        )
    )
),I44)</f>
        <v>#NAME?</v>
      </c>
      <c r="R44" s="27" t="str">
        <f t="shared" ca="1" si="13"/>
        <v/>
      </c>
      <c r="S44" s="27" t="e" cm="1">
        <f t="array" aca="1" ref="S44" ca="1">IF(K44="",_xlfn.LET(
    _xlpm.vals,_xlfn._xlws.FILTER($L$4:L43,$L$4:L43&lt;&gt;"",""),
    _xlpm.avgJ,IF(COUNTA(_xlpm.vals)=0,0,AVERAGE(_xlfn.TAKE(_xlpm.vals,-MIN(7,ROWS(_xlpm.vals))))),
    _xlpm.addship,IF(R44="",0,R44),
    IF(
        AND(K43="",K44=""),
        S43-_xlpm.avgJ+_xlpm.addship,
        IF(
            K44="",
            K43-_xlpm.avgJ+_xlpm.addship,
            ""
        )
    )
),K44)</f>
        <v>#NAME?</v>
      </c>
      <c r="T44" s="27" t="str">
        <f t="shared" ca="1" si="2"/>
        <v/>
      </c>
      <c r="U44" s="27" t="e" cm="1">
        <f t="array" aca="1" ref="U44" ca="1">IF(M44="",_xlfn.LET(
    _xlpm.vals,_xlfn._xlws.FILTER($N$4:N43,$N$4:N43&lt;&gt;"",""),
    _xlpm.avgJ,IF(COUNTA(_xlpm.vals)=0,0,AVERAGE(_xlfn.TAKE(_xlpm.vals,-MIN(7,ROWS(_xlpm.vals))))),
    _xlpm.addship,IF(T44="",0,T44),
    IF(
        AND(M43="",M44=""),
        U43-_xlpm.avgJ+_xlpm.addship,
        IF(
            M44="",
            M43-_xlpm.avgJ+_xlpm.addship,
            ""
        )
    )
),M44)</f>
        <v>#NAME?</v>
      </c>
      <c r="V44" s="4" t="e">
        <f ca="1">IF(AND(Q44="",S44="",U44=""),"",
_xlfn.LET(
_xlpm.msgs,
_xlfn.TEXTJOIN(" | ",TRUE,
IF(Q44&gt;$C$20,"Petrol over capacity",""),
IF(Q44&lt;$C$21,"Petrol stock out",""),
IF(S44&gt;$D$20,"Diesel over capacity",""),
IF(S44&lt;$D$21,"Diesel stock out",""),
IF(U44&gt;$E$20,"Kero over capacity",""),
IF(U44&lt;$E$21,"Kero stock out","")),
IF(_xlpm.msgs="","",_xlpm.msgs)
))</f>
        <v>#NAME?</v>
      </c>
      <c r="AE44" s="51">
        <f t="shared" si="3"/>
        <v>47000</v>
      </c>
      <c r="AF44" s="51">
        <f t="shared" si="4"/>
        <v>1223106</v>
      </c>
      <c r="AG44" s="51">
        <f t="shared" si="5"/>
        <v>45000</v>
      </c>
      <c r="AH44" s="51">
        <f t="shared" si="6"/>
        <v>858361</v>
      </c>
      <c r="AI44" s="51">
        <f t="shared" si="7"/>
        <v>24500</v>
      </c>
      <c r="AJ44" s="51">
        <f t="shared" si="8"/>
        <v>589571</v>
      </c>
    </row>
    <row r="45" spans="6:36" ht="18" customHeight="1" x14ac:dyDescent="0.3">
      <c r="H45" s="37">
        <f t="shared" si="11"/>
        <v>46139</v>
      </c>
      <c r="I45" s="32"/>
      <c r="J45" s="32"/>
      <c r="K45" s="32"/>
      <c r="L45" s="32"/>
      <c r="M45" s="32"/>
      <c r="N45" s="32"/>
      <c r="P45" s="27" t="str">
        <f t="shared" ca="1" si="12"/>
        <v/>
      </c>
      <c r="Q45" s="27" t="e" cm="1">
        <f t="array" aca="1" ref="Q45" ca="1">IF(I45="",_xlfn.LET(
    _xlpm.vals,_xlfn._xlws.FILTER($J$4:J44,$J$4:J44&lt;&gt;"",""),
    _xlpm.avgJ,IF(COUNTA(_xlpm.vals)=0,0,AVERAGE(_xlfn.TAKE(_xlpm.vals,-MIN(7,ROWS(_xlpm.vals))))),
    _xlpm.addship,IF(P45="",0,P45),
    IF(
        AND(I44="",I45=""),
        Q44-_xlpm.avgJ+_xlpm.addship,
        IF(
            I45="",
            I44-_xlpm.avgJ+_xlpm.addship,
            ""
        )
    )
),I45)</f>
        <v>#NAME?</v>
      </c>
      <c r="R45" s="27" t="str">
        <f t="shared" ca="1" si="13"/>
        <v/>
      </c>
      <c r="S45" s="27" t="e" cm="1">
        <f t="array" aca="1" ref="S45" ca="1">IF(K45="",_xlfn.LET(
    _xlpm.vals,_xlfn._xlws.FILTER($L$4:L44,$L$4:L44&lt;&gt;"",""),
    _xlpm.avgJ,IF(COUNTA(_xlpm.vals)=0,0,AVERAGE(_xlfn.TAKE(_xlpm.vals,-MIN(7,ROWS(_xlpm.vals))))),
    _xlpm.addship,IF(R45="",0,R45),
    IF(
        AND(K44="",K45=""),
        S44-_xlpm.avgJ+_xlpm.addship,
        IF(
            K45="",
            K44-_xlpm.avgJ+_xlpm.addship,
            ""
        )
    )
),K45)</f>
        <v>#NAME?</v>
      </c>
      <c r="T45" s="27" t="str">
        <f t="shared" ca="1" si="2"/>
        <v/>
      </c>
      <c r="U45" s="27" t="e" cm="1">
        <f t="array" aca="1" ref="U45" ca="1">IF(M45="",_xlfn.LET(
    _xlpm.vals,_xlfn._xlws.FILTER($N$4:N44,$N$4:N44&lt;&gt;"",""),
    _xlpm.avgJ,IF(COUNTA(_xlpm.vals)=0,0,AVERAGE(_xlfn.TAKE(_xlpm.vals,-MIN(7,ROWS(_xlpm.vals))))),
    _xlpm.addship,IF(T45="",0,T45),
    IF(
        AND(M44="",M45=""),
        U44-_xlpm.avgJ+_xlpm.addship,
        IF(
            M45="",
            M44-_xlpm.avgJ+_xlpm.addship,
            ""
        )
    )
),M45)</f>
        <v>#NAME?</v>
      </c>
      <c r="V45" s="4" t="e">
        <f ca="1">IF(AND(Q45="",S45="",U45=""),"",
_xlfn.LET(
_xlpm.msgs,
_xlfn.TEXTJOIN(" | ",TRUE,
IF(Q45&gt;$C$20,"Petrol over capacity",""),
IF(Q45&lt;$C$21,"Petrol stock out",""),
IF(S45&gt;$D$20,"Diesel over capacity",""),
IF(S45&lt;$D$21,"Diesel stock out",""),
IF(U45&gt;$E$20,"Kero over capacity",""),
IF(U45&lt;$E$21,"Kero stock out","")),
IF(_xlpm.msgs="","",_xlpm.msgs)
))</f>
        <v>#NAME?</v>
      </c>
      <c r="AE45" s="51">
        <f t="shared" si="3"/>
        <v>47000</v>
      </c>
      <c r="AF45" s="51">
        <f t="shared" si="4"/>
        <v>1223106</v>
      </c>
      <c r="AG45" s="51">
        <f t="shared" si="5"/>
        <v>45000</v>
      </c>
      <c r="AH45" s="51">
        <f t="shared" si="6"/>
        <v>858361</v>
      </c>
      <c r="AI45" s="51">
        <f t="shared" si="7"/>
        <v>24500</v>
      </c>
      <c r="AJ45" s="51">
        <f t="shared" si="8"/>
        <v>589571</v>
      </c>
    </row>
    <row r="46" spans="6:36" ht="18" customHeight="1" x14ac:dyDescent="0.3">
      <c r="H46" s="37">
        <f t="shared" si="11"/>
        <v>46140</v>
      </c>
      <c r="I46" s="32"/>
      <c r="J46" s="32"/>
      <c r="K46" s="32"/>
      <c r="L46" s="32"/>
      <c r="M46" s="32"/>
      <c r="N46" s="32"/>
      <c r="P46" s="27" t="str">
        <f t="shared" ca="1" si="12"/>
        <v/>
      </c>
      <c r="Q46" s="27" t="e" cm="1">
        <f t="array" aca="1" ref="Q46" ca="1">IF(I46="",_xlfn.LET(
    _xlpm.vals,_xlfn._xlws.FILTER($J$4:J45,$J$4:J45&lt;&gt;"",""),
    _xlpm.avgJ,IF(COUNTA(_xlpm.vals)=0,0,AVERAGE(_xlfn.TAKE(_xlpm.vals,-MIN(7,ROWS(_xlpm.vals))))),
    _xlpm.addship,IF(P46="",0,P46),
    IF(
        AND(I45="",I46=""),
        Q45-_xlpm.avgJ+_xlpm.addship,
        IF(
            I46="",
            I45-_xlpm.avgJ+_xlpm.addship,
            ""
        )
    )
),I46)</f>
        <v>#NAME?</v>
      </c>
      <c r="R46" s="27" t="str">
        <f t="shared" ca="1" si="13"/>
        <v/>
      </c>
      <c r="S46" s="27" t="e" cm="1">
        <f t="array" aca="1" ref="S46" ca="1">IF(K46="",_xlfn.LET(
    _xlpm.vals,_xlfn._xlws.FILTER($L$4:L45,$L$4:L45&lt;&gt;"",""),
    _xlpm.avgJ,IF(COUNTA(_xlpm.vals)=0,0,AVERAGE(_xlfn.TAKE(_xlpm.vals,-MIN(7,ROWS(_xlpm.vals))))),
    _xlpm.addship,IF(R46="",0,R46),
    IF(
        AND(K45="",K46=""),
        S45-_xlpm.avgJ+_xlpm.addship,
        IF(
            K46="",
            K45-_xlpm.avgJ+_xlpm.addship,
            ""
        )
    )
),K46)</f>
        <v>#NAME?</v>
      </c>
      <c r="T46" s="27" t="str">
        <f t="shared" ca="1" si="2"/>
        <v/>
      </c>
      <c r="U46" s="27" t="e" cm="1">
        <f t="array" aca="1" ref="U46" ca="1">IF(M46="",_xlfn.LET(
    _xlpm.vals,_xlfn._xlws.FILTER($N$4:N45,$N$4:N45&lt;&gt;"",""),
    _xlpm.avgJ,IF(COUNTA(_xlpm.vals)=0,0,AVERAGE(_xlfn.TAKE(_xlpm.vals,-MIN(7,ROWS(_xlpm.vals))))),
    _xlpm.addship,IF(T46="",0,T46),
    IF(
        AND(M45="",M46=""),
        U45-_xlpm.avgJ+_xlpm.addship,
        IF(
            M46="",
            M45-_xlpm.avgJ+_xlpm.addship,
            ""
        )
    )
),M46)</f>
        <v>#NAME?</v>
      </c>
      <c r="V46" s="4" t="e">
        <f ca="1">IF(AND(Q46="",S46="",U46=""),"",
_xlfn.LET(
_xlpm.msgs,
_xlfn.TEXTJOIN(" | ",TRUE,
IF(Q46&gt;$C$20,"Petrol over capacity",""),
IF(Q46&lt;$C$21,"Petrol stock out",""),
IF(S46&gt;$D$20,"Diesel over capacity",""),
IF(S46&lt;$D$21,"Diesel stock out",""),
IF(U46&gt;$E$20,"Kero over capacity",""),
IF(U46&lt;$E$21,"Kero stock out","")),
IF(_xlpm.msgs="","",_xlpm.msgs)
))</f>
        <v>#NAME?</v>
      </c>
      <c r="AE46" s="51">
        <f t="shared" si="3"/>
        <v>47000</v>
      </c>
      <c r="AF46" s="51">
        <f t="shared" si="4"/>
        <v>1223106</v>
      </c>
      <c r="AG46" s="51">
        <f t="shared" si="5"/>
        <v>45000</v>
      </c>
      <c r="AH46" s="51">
        <f t="shared" si="6"/>
        <v>858361</v>
      </c>
      <c r="AI46" s="51">
        <f t="shared" si="7"/>
        <v>24500</v>
      </c>
      <c r="AJ46" s="51">
        <f t="shared" si="8"/>
        <v>589571</v>
      </c>
    </row>
    <row r="47" spans="6:36" ht="18" customHeight="1" x14ac:dyDescent="0.3">
      <c r="H47" s="37">
        <f t="shared" si="11"/>
        <v>46141</v>
      </c>
      <c r="I47" s="32"/>
      <c r="J47" s="32"/>
      <c r="K47" s="32"/>
      <c r="L47" s="32"/>
      <c r="M47" s="32"/>
      <c r="N47" s="32"/>
      <c r="P47" s="27" t="str">
        <f t="shared" ca="1" si="12"/>
        <v/>
      </c>
      <c r="Q47" s="27" t="e" cm="1">
        <f t="array" aca="1" ref="Q47" ca="1">IF(I47="",_xlfn.LET(
    _xlpm.vals,_xlfn._xlws.FILTER($J$4:J46,$J$4:J46&lt;&gt;"",""),
    _xlpm.avgJ,IF(COUNTA(_xlpm.vals)=0,0,AVERAGE(_xlfn.TAKE(_xlpm.vals,-MIN(7,ROWS(_xlpm.vals))))),
    _xlpm.addship,IF(P47="",0,P47),
    IF(
        AND(I46="",I47=""),
        Q46-_xlpm.avgJ+_xlpm.addship,
        IF(
            I47="",
            I46-_xlpm.avgJ+_xlpm.addship,
            ""
        )
    )
),I47)</f>
        <v>#NAME?</v>
      </c>
      <c r="R47" s="27" t="str">
        <f t="shared" ca="1" si="13"/>
        <v/>
      </c>
      <c r="S47" s="27" t="e" cm="1">
        <f t="array" aca="1" ref="S47" ca="1">IF(K47="",_xlfn.LET(
    _xlpm.vals,_xlfn._xlws.FILTER($L$4:L46,$L$4:L46&lt;&gt;"",""),
    _xlpm.avgJ,IF(COUNTA(_xlpm.vals)=0,0,AVERAGE(_xlfn.TAKE(_xlpm.vals,-MIN(7,ROWS(_xlpm.vals))))),
    _xlpm.addship,IF(R47="",0,R47),
    IF(
        AND(K46="",K47=""),
        S46-_xlpm.avgJ+_xlpm.addship,
        IF(
            K47="",
            K46-_xlpm.avgJ+_xlpm.addship,
            ""
        )
    )
),K47)</f>
        <v>#NAME?</v>
      </c>
      <c r="T47" s="27" t="str">
        <f t="shared" ca="1" si="2"/>
        <v/>
      </c>
      <c r="U47" s="27" t="e" cm="1">
        <f t="array" aca="1" ref="U47" ca="1">IF(M47="",_xlfn.LET(
    _xlpm.vals,_xlfn._xlws.FILTER($N$4:N46,$N$4:N46&lt;&gt;"",""),
    _xlpm.avgJ,IF(COUNTA(_xlpm.vals)=0,0,AVERAGE(_xlfn.TAKE(_xlpm.vals,-MIN(7,ROWS(_xlpm.vals))))),
    _xlpm.addship,IF(T47="",0,T47),
    IF(
        AND(M46="",M47=""),
        U46-_xlpm.avgJ+_xlpm.addship,
        IF(
            M47="",
            M46-_xlpm.avgJ+_xlpm.addship,
            ""
        )
    )
),M47)</f>
        <v>#NAME?</v>
      </c>
      <c r="V47" s="4" t="e">
        <f ca="1">IF(AND(Q47="",S47="",U47=""),"",
_xlfn.LET(
_xlpm.msgs,
_xlfn.TEXTJOIN(" | ",TRUE,
IF(Q47&gt;$C$20,"Petrol over capacity",""),
IF(Q47&lt;$C$21,"Petrol stock out",""),
IF(S47&gt;$D$20,"Diesel over capacity",""),
IF(S47&lt;$D$21,"Diesel stock out",""),
IF(U47&gt;$E$20,"Kero over capacity",""),
IF(U47&lt;$E$21,"Kero stock out","")),
IF(_xlpm.msgs="","",_xlpm.msgs)
))</f>
        <v>#NAME?</v>
      </c>
      <c r="AE47" s="51">
        <f t="shared" si="3"/>
        <v>47000</v>
      </c>
      <c r="AF47" s="51">
        <f t="shared" si="4"/>
        <v>1223106</v>
      </c>
      <c r="AG47" s="51">
        <f t="shared" si="5"/>
        <v>45000</v>
      </c>
      <c r="AH47" s="51">
        <f t="shared" si="6"/>
        <v>858361</v>
      </c>
      <c r="AI47" s="51">
        <f t="shared" si="7"/>
        <v>24500</v>
      </c>
      <c r="AJ47" s="51">
        <f t="shared" si="8"/>
        <v>589571</v>
      </c>
    </row>
    <row r="48" spans="6:36" ht="18" customHeight="1" x14ac:dyDescent="0.3">
      <c r="H48" s="37">
        <f t="shared" si="11"/>
        <v>46142</v>
      </c>
      <c r="I48" s="32"/>
      <c r="J48" s="32"/>
      <c r="K48" s="32"/>
      <c r="L48" s="32"/>
      <c r="M48" s="32"/>
      <c r="N48" s="32"/>
      <c r="P48" s="27" t="str">
        <f t="shared" ca="1" si="12"/>
        <v/>
      </c>
      <c r="Q48" s="27" t="e" cm="1">
        <f t="array" aca="1" ref="Q48" ca="1">IF(I48="",_xlfn.LET(
    _xlpm.vals,_xlfn._xlws.FILTER($J$4:J47,$J$4:J47&lt;&gt;"",""),
    _xlpm.avgJ,IF(COUNTA(_xlpm.vals)=0,0,AVERAGE(_xlfn.TAKE(_xlpm.vals,-MIN(7,ROWS(_xlpm.vals))))),
    _xlpm.addship,IF(P48="",0,P48),
    IF(
        AND(I47="",I48=""),
        Q47-_xlpm.avgJ+_xlpm.addship,
        IF(
            I48="",
            I47-_xlpm.avgJ+_xlpm.addship,
            ""
        )
    )
),I48)</f>
        <v>#NAME?</v>
      </c>
      <c r="R48" s="27" t="str">
        <f t="shared" ca="1" si="13"/>
        <v/>
      </c>
      <c r="S48" s="27" t="e" cm="1">
        <f t="array" aca="1" ref="S48" ca="1">IF(K48="",_xlfn.LET(
    _xlpm.vals,_xlfn._xlws.FILTER($L$4:L47,$L$4:L47&lt;&gt;"",""),
    _xlpm.avgJ,IF(COUNTA(_xlpm.vals)=0,0,AVERAGE(_xlfn.TAKE(_xlpm.vals,-MIN(7,ROWS(_xlpm.vals))))),
    _xlpm.addship,IF(R48="",0,R48),
    IF(
        AND(K47="",K48=""),
        S47-_xlpm.avgJ+_xlpm.addship,
        IF(
            K48="",
            K47-_xlpm.avgJ+_xlpm.addship,
            ""
        )
    )
),K48)</f>
        <v>#NAME?</v>
      </c>
      <c r="T48" s="27" t="str">
        <f t="shared" ca="1" si="2"/>
        <v/>
      </c>
      <c r="U48" s="27" t="e" cm="1">
        <f t="array" aca="1" ref="U48" ca="1">IF(M48="",_xlfn.LET(
    _xlpm.vals,_xlfn._xlws.FILTER($N$4:N47,$N$4:N47&lt;&gt;"",""),
    _xlpm.avgJ,IF(COUNTA(_xlpm.vals)=0,0,AVERAGE(_xlfn.TAKE(_xlpm.vals,-MIN(7,ROWS(_xlpm.vals))))),
    _xlpm.addship,IF(T48="",0,T48),
    IF(
        AND(M47="",M48=""),
        U47-_xlpm.avgJ+_xlpm.addship,
        IF(
            M48="",
            M47-_xlpm.avgJ+_xlpm.addship,
            ""
        )
    )
),M48)</f>
        <v>#NAME?</v>
      </c>
      <c r="V48" s="4" t="e">
        <f ca="1">IF(AND(Q48="",S48="",U48=""),"",
_xlfn.LET(
_xlpm.msgs,
_xlfn.TEXTJOIN(" | ",TRUE,
IF(Q48&gt;$C$20,"Petrol over capacity",""),
IF(Q48&lt;$C$21,"Petrol stock out",""),
IF(S48&gt;$D$20,"Diesel over capacity",""),
IF(S48&lt;$D$21,"Diesel stock out",""),
IF(U48&gt;$E$20,"Kero over capacity",""),
IF(U48&lt;$E$21,"Kero stock out","")),
IF(_xlpm.msgs="","",_xlpm.msgs)
))</f>
        <v>#NAME?</v>
      </c>
      <c r="AE48" s="51">
        <f t="shared" si="3"/>
        <v>47000</v>
      </c>
      <c r="AF48" s="51">
        <f t="shared" si="4"/>
        <v>1223106</v>
      </c>
      <c r="AG48" s="51">
        <f t="shared" si="5"/>
        <v>45000</v>
      </c>
      <c r="AH48" s="51">
        <f t="shared" si="6"/>
        <v>858361</v>
      </c>
      <c r="AI48" s="51">
        <f t="shared" si="7"/>
        <v>24500</v>
      </c>
      <c r="AJ48" s="51">
        <f t="shared" si="8"/>
        <v>589571</v>
      </c>
    </row>
    <row r="49" spans="8:36" ht="18" customHeight="1" x14ac:dyDescent="0.3">
      <c r="H49" s="37">
        <f t="shared" si="11"/>
        <v>46143</v>
      </c>
      <c r="I49" s="32"/>
      <c r="J49" s="32"/>
      <c r="K49" s="32"/>
      <c r="L49" s="32"/>
      <c r="M49" s="32"/>
      <c r="N49" s="32"/>
      <c r="P49" s="27" t="str">
        <f t="shared" ca="1" si="12"/>
        <v/>
      </c>
      <c r="Q49" s="27" t="e" cm="1">
        <f t="array" aca="1" ref="Q49" ca="1">IF(I49="",_xlfn.LET(
    _xlpm.vals,_xlfn._xlws.FILTER($J$4:J48,$J$4:J48&lt;&gt;"",""),
    _xlpm.avgJ,IF(COUNTA(_xlpm.vals)=0,0,AVERAGE(_xlfn.TAKE(_xlpm.vals,-MIN(7,ROWS(_xlpm.vals))))),
    _xlpm.addship,IF(P49="",0,P49),
    IF(
        AND(I48="",I49=""),
        Q48-_xlpm.avgJ+_xlpm.addship,
        IF(
            I49="",
            I48-_xlpm.avgJ+_xlpm.addship,
            ""
        )
    )
),I49)</f>
        <v>#NAME?</v>
      </c>
      <c r="R49" s="27" t="str">
        <f t="shared" ca="1" si="13"/>
        <v/>
      </c>
      <c r="S49" s="27" t="e" cm="1">
        <f t="array" aca="1" ref="S49" ca="1">IF(K49="",_xlfn.LET(
    _xlpm.vals,_xlfn._xlws.FILTER($L$4:L48,$L$4:L48&lt;&gt;"",""),
    _xlpm.avgJ,IF(COUNTA(_xlpm.vals)=0,0,AVERAGE(_xlfn.TAKE(_xlpm.vals,-MIN(7,ROWS(_xlpm.vals))))),
    _xlpm.addship,IF(R49="",0,R49),
    IF(
        AND(K48="",K49=""),
        S48-_xlpm.avgJ+_xlpm.addship,
        IF(
            K49="",
            K48-_xlpm.avgJ+_xlpm.addship,
            ""
        )
    )
),K49)</f>
        <v>#NAME?</v>
      </c>
      <c r="T49" s="27" t="str">
        <f t="shared" ca="1" si="2"/>
        <v/>
      </c>
      <c r="U49" s="27" t="e" cm="1">
        <f t="array" aca="1" ref="U49" ca="1">IF(M49="",_xlfn.LET(
    _xlpm.vals,_xlfn._xlws.FILTER($N$4:N48,$N$4:N48&lt;&gt;"",""),
    _xlpm.avgJ,IF(COUNTA(_xlpm.vals)=0,0,AVERAGE(_xlfn.TAKE(_xlpm.vals,-MIN(7,ROWS(_xlpm.vals))))),
    _xlpm.addship,IF(T49="",0,T49),
    IF(
        AND(M48="",M49=""),
        U48-_xlpm.avgJ+_xlpm.addship,
        IF(
            M49="",
            M48-_xlpm.avgJ+_xlpm.addship,
            ""
        )
    )
),M49)</f>
        <v>#NAME?</v>
      </c>
      <c r="V49" s="4" t="e">
        <f ca="1">IF(AND(Q49="",S49="",U49=""),"",
_xlfn.LET(
_xlpm.msgs,
_xlfn.TEXTJOIN(" | ",TRUE,
IF(Q49&gt;$C$20,"Petrol over capacity",""),
IF(Q49&lt;$C$21,"Petrol stock out",""),
IF(S49&gt;$D$20,"Diesel over capacity",""),
IF(S49&lt;$D$21,"Diesel stock out",""),
IF(U49&gt;$E$20,"Kero over capacity",""),
IF(U49&lt;$E$21,"Kero stock out","")),
IF(_xlpm.msgs="","",_xlpm.msgs)
))</f>
        <v>#NAME?</v>
      </c>
      <c r="AE49" s="51">
        <f t="shared" si="3"/>
        <v>47000</v>
      </c>
      <c r="AF49" s="51">
        <f t="shared" si="4"/>
        <v>1223106</v>
      </c>
      <c r="AG49" s="51">
        <f t="shared" si="5"/>
        <v>45000</v>
      </c>
      <c r="AH49" s="51">
        <f t="shared" si="6"/>
        <v>858361</v>
      </c>
      <c r="AI49" s="51">
        <f t="shared" si="7"/>
        <v>24500</v>
      </c>
      <c r="AJ49" s="51">
        <f t="shared" si="8"/>
        <v>589571</v>
      </c>
    </row>
    <row r="50" spans="8:36" ht="18" customHeight="1" x14ac:dyDescent="0.3">
      <c r="H50" s="37">
        <f t="shared" si="11"/>
        <v>46144</v>
      </c>
      <c r="I50" s="32"/>
      <c r="J50" s="32"/>
      <c r="K50" s="32"/>
      <c r="L50" s="32"/>
      <c r="M50" s="32"/>
      <c r="N50" s="32"/>
      <c r="P50" s="27" t="str">
        <f t="shared" ca="1" si="12"/>
        <v/>
      </c>
      <c r="Q50" s="27" t="e" cm="1">
        <f t="array" aca="1" ref="Q50" ca="1">IF(I50="",_xlfn.LET(
    _xlpm.vals,_xlfn._xlws.FILTER($J$4:J49,$J$4:J49&lt;&gt;"",""),
    _xlpm.avgJ,IF(COUNTA(_xlpm.vals)=0,0,AVERAGE(_xlfn.TAKE(_xlpm.vals,-MIN(7,ROWS(_xlpm.vals))))),
    _xlpm.addship,IF(P50="",0,P50),
    IF(
        AND(I49="",I50=""),
        Q49-_xlpm.avgJ+_xlpm.addship,
        IF(
            I50="",
            I49-_xlpm.avgJ+_xlpm.addship,
            ""
        )
    )
),I50)</f>
        <v>#NAME?</v>
      </c>
      <c r="R50" s="27" t="str">
        <f t="shared" ca="1" si="13"/>
        <v/>
      </c>
      <c r="S50" s="27" t="e" cm="1">
        <f t="array" aca="1" ref="S50" ca="1">IF(K50="",_xlfn.LET(
    _xlpm.vals,_xlfn._xlws.FILTER($L$4:L49,$L$4:L49&lt;&gt;"",""),
    _xlpm.avgJ,IF(COUNTA(_xlpm.vals)=0,0,AVERAGE(_xlfn.TAKE(_xlpm.vals,-MIN(7,ROWS(_xlpm.vals))))),
    _xlpm.addship,IF(R50="",0,R50),
    IF(
        AND(K49="",K50=""),
        S49-_xlpm.avgJ+_xlpm.addship,
        IF(
            K50="",
            K49-_xlpm.avgJ+_xlpm.addship,
            ""
        )
    )
),K50)</f>
        <v>#NAME?</v>
      </c>
      <c r="T50" s="27" t="str">
        <f t="shared" ca="1" si="2"/>
        <v/>
      </c>
      <c r="U50" s="27" t="e" cm="1">
        <f t="array" aca="1" ref="U50" ca="1">IF(M50="",_xlfn.LET(
    _xlpm.vals,_xlfn._xlws.FILTER($N$4:N49,$N$4:N49&lt;&gt;"",""),
    _xlpm.avgJ,IF(COUNTA(_xlpm.vals)=0,0,AVERAGE(_xlfn.TAKE(_xlpm.vals,-MIN(7,ROWS(_xlpm.vals))))),
    _xlpm.addship,IF(T50="",0,T50),
    IF(
        AND(M49="",M50=""),
        U49-_xlpm.avgJ+_xlpm.addship,
        IF(
            M50="",
            M49-_xlpm.avgJ+_xlpm.addship,
            ""
        )
    )
),M50)</f>
        <v>#NAME?</v>
      </c>
      <c r="V50" s="4" t="e">
        <f ca="1">IF(AND(Q50="",S50="",U50=""),"",
_xlfn.LET(
_xlpm.msgs,
_xlfn.TEXTJOIN(" | ",TRUE,
IF(Q50&gt;$C$20,"Petrol over capacity",""),
IF(Q50&lt;$C$21,"Petrol stock out",""),
IF(S50&gt;$D$20,"Diesel over capacity",""),
IF(S50&lt;$D$21,"Diesel stock out",""),
IF(U50&gt;$E$20,"Kero over capacity",""),
IF(U50&lt;$E$21,"Kero stock out","")),
IF(_xlpm.msgs="","",_xlpm.msgs)
))</f>
        <v>#NAME?</v>
      </c>
      <c r="AE50" s="51">
        <f t="shared" si="3"/>
        <v>47000</v>
      </c>
      <c r="AF50" s="51">
        <f t="shared" si="4"/>
        <v>1223106</v>
      </c>
      <c r="AG50" s="51">
        <f t="shared" si="5"/>
        <v>45000</v>
      </c>
      <c r="AH50" s="51">
        <f t="shared" si="6"/>
        <v>858361</v>
      </c>
      <c r="AI50" s="51">
        <f t="shared" si="7"/>
        <v>24500</v>
      </c>
      <c r="AJ50" s="51">
        <f t="shared" si="8"/>
        <v>589571</v>
      </c>
    </row>
    <row r="51" spans="8:36" ht="18" customHeight="1" x14ac:dyDescent="0.3">
      <c r="H51" s="37">
        <f t="shared" si="11"/>
        <v>46145</v>
      </c>
      <c r="I51" s="32"/>
      <c r="J51" s="32"/>
      <c r="K51" s="32"/>
      <c r="L51" s="32"/>
      <c r="M51" s="32"/>
      <c r="N51" s="32"/>
      <c r="P51" s="27" t="str">
        <f t="shared" ca="1" si="12"/>
        <v/>
      </c>
      <c r="Q51" s="27" t="e" cm="1">
        <f t="array" aca="1" ref="Q51" ca="1">IF(I51="",_xlfn.LET(
    _xlpm.vals,_xlfn._xlws.FILTER($J$4:J50,$J$4:J50&lt;&gt;"",""),
    _xlpm.avgJ,IF(COUNTA(_xlpm.vals)=0,0,AVERAGE(_xlfn.TAKE(_xlpm.vals,-MIN(7,ROWS(_xlpm.vals))))),
    _xlpm.addship,IF(P51="",0,P51),
    IF(
        AND(I50="",I51=""),
        Q50-_xlpm.avgJ+_xlpm.addship,
        IF(
            I51="",
            I50-_xlpm.avgJ+_xlpm.addship,
            ""
        )
    )
),I51)</f>
        <v>#NAME?</v>
      </c>
      <c r="R51" s="27" t="str">
        <f t="shared" ca="1" si="13"/>
        <v/>
      </c>
      <c r="S51" s="27" t="e" cm="1">
        <f t="array" aca="1" ref="S51" ca="1">IF(K51="",_xlfn.LET(
    _xlpm.vals,_xlfn._xlws.FILTER($L$4:L50,$L$4:L50&lt;&gt;"",""),
    _xlpm.avgJ,IF(COUNTA(_xlpm.vals)=0,0,AVERAGE(_xlfn.TAKE(_xlpm.vals,-MIN(7,ROWS(_xlpm.vals))))),
    _xlpm.addship,IF(R51="",0,R51),
    IF(
        AND(K50="",K51=""),
        S50-_xlpm.avgJ+_xlpm.addship,
        IF(
            K51="",
            K50-_xlpm.avgJ+_xlpm.addship,
            ""
        )
    )
),K51)</f>
        <v>#NAME?</v>
      </c>
      <c r="T51" s="27" t="str">
        <f t="shared" ca="1" si="2"/>
        <v/>
      </c>
      <c r="U51" s="27" t="e" cm="1">
        <f t="array" aca="1" ref="U51" ca="1">IF(M51="",_xlfn.LET(
    _xlpm.vals,_xlfn._xlws.FILTER($N$4:N50,$N$4:N50&lt;&gt;"",""),
    _xlpm.avgJ,IF(COUNTA(_xlpm.vals)=0,0,AVERAGE(_xlfn.TAKE(_xlpm.vals,-MIN(7,ROWS(_xlpm.vals))))),
    _xlpm.addship,IF(T51="",0,T51),
    IF(
        AND(M50="",M51=""),
        U50-_xlpm.avgJ+_xlpm.addship,
        IF(
            M51="",
            M50-_xlpm.avgJ+_xlpm.addship,
            ""
        )
    )
),M51)</f>
        <v>#NAME?</v>
      </c>
      <c r="V51" s="4" t="e">
        <f ca="1">IF(AND(Q51="",S51="",U51=""),"",
_xlfn.LET(
_xlpm.msgs,
_xlfn.TEXTJOIN(" | ",TRUE,
IF(Q51&gt;$C$20,"Petrol over capacity",""),
IF(Q51&lt;$C$21,"Petrol stock out",""),
IF(S51&gt;$D$20,"Diesel over capacity",""),
IF(S51&lt;$D$21,"Diesel stock out",""),
IF(U51&gt;$E$20,"Kero over capacity",""),
IF(U51&lt;$E$21,"Kero stock out","")),
IF(_xlpm.msgs="","",_xlpm.msgs)
))</f>
        <v>#NAME?</v>
      </c>
      <c r="AE51" s="51">
        <f t="shared" si="3"/>
        <v>47000</v>
      </c>
      <c r="AF51" s="51">
        <f t="shared" si="4"/>
        <v>1223106</v>
      </c>
      <c r="AG51" s="51">
        <f t="shared" si="5"/>
        <v>45000</v>
      </c>
      <c r="AH51" s="51">
        <f t="shared" si="6"/>
        <v>858361</v>
      </c>
      <c r="AI51" s="51">
        <f t="shared" si="7"/>
        <v>24500</v>
      </c>
      <c r="AJ51" s="51">
        <f t="shared" si="8"/>
        <v>589571</v>
      </c>
    </row>
    <row r="52" spans="8:36" ht="18" customHeight="1" x14ac:dyDescent="0.3">
      <c r="H52" s="37">
        <f t="shared" si="11"/>
        <v>46146</v>
      </c>
      <c r="I52" s="32"/>
      <c r="J52" s="32"/>
      <c r="K52" s="32"/>
      <c r="L52" s="32"/>
      <c r="M52" s="32"/>
      <c r="N52" s="32"/>
      <c r="P52" s="27" t="str">
        <f t="shared" ca="1" si="12"/>
        <v/>
      </c>
      <c r="Q52" s="27" t="e" cm="1">
        <f t="array" aca="1" ref="Q52" ca="1">IF(I52="",_xlfn.LET(
    _xlpm.vals,_xlfn._xlws.FILTER($J$4:J51,$J$4:J51&lt;&gt;"",""),
    _xlpm.avgJ,IF(COUNTA(_xlpm.vals)=0,0,AVERAGE(_xlfn.TAKE(_xlpm.vals,-MIN(7,ROWS(_xlpm.vals))))),
    _xlpm.addship,IF(P52="",0,P52),
    IF(
        AND(I51="",I52=""),
        Q51-_xlpm.avgJ+_xlpm.addship,
        IF(
            I52="",
            I51-_xlpm.avgJ+_xlpm.addship,
            ""
        )
    )
),I52)</f>
        <v>#NAME?</v>
      </c>
      <c r="R52" s="27" t="str">
        <f t="shared" ca="1" si="13"/>
        <v/>
      </c>
      <c r="S52" s="27" t="e" cm="1">
        <f t="array" aca="1" ref="S52" ca="1">IF(K52="",_xlfn.LET(
    _xlpm.vals,_xlfn._xlws.FILTER($L$4:L51,$L$4:L51&lt;&gt;"",""),
    _xlpm.avgJ,IF(COUNTA(_xlpm.vals)=0,0,AVERAGE(_xlfn.TAKE(_xlpm.vals,-MIN(7,ROWS(_xlpm.vals))))),
    _xlpm.addship,IF(R52="",0,R52),
    IF(
        AND(K51="",K52=""),
        S51-_xlpm.avgJ+_xlpm.addship,
        IF(
            K52="",
            K51-_xlpm.avgJ+_xlpm.addship,
            ""
        )
    )
),K52)</f>
        <v>#NAME?</v>
      </c>
      <c r="T52" s="27" t="str">
        <f t="shared" ca="1" si="2"/>
        <v/>
      </c>
      <c r="U52" s="27" t="e" cm="1">
        <f t="array" aca="1" ref="U52" ca="1">IF(M52="",_xlfn.LET(
    _xlpm.vals,_xlfn._xlws.FILTER($N$4:N51,$N$4:N51&lt;&gt;"",""),
    _xlpm.avgJ,IF(COUNTA(_xlpm.vals)=0,0,AVERAGE(_xlfn.TAKE(_xlpm.vals,-MIN(7,ROWS(_xlpm.vals))))),
    _xlpm.addship,IF(T52="",0,T52),
    IF(
        AND(M51="",M52=""),
        U51-_xlpm.avgJ+_xlpm.addship,
        IF(
            M52="",
            M51-_xlpm.avgJ+_xlpm.addship,
            ""
        )
    )
),M52)</f>
        <v>#NAME?</v>
      </c>
      <c r="V52" s="4" t="e">
        <f ca="1">IF(AND(Q52="",S52="",U52=""),"",
_xlfn.LET(
_xlpm.msgs,
_xlfn.TEXTJOIN(" | ",TRUE,
IF(Q52&gt;$C$20,"Petrol over capacity",""),
IF(Q52&lt;$C$21,"Petrol stock out",""),
IF(S52&gt;$D$20,"Diesel over capacity",""),
IF(S52&lt;$D$21,"Diesel stock out",""),
IF(U52&gt;$E$20,"Kero over capacity",""),
IF(U52&lt;$E$21,"Kero stock out","")),
IF(_xlpm.msgs="","",_xlpm.msgs)
))</f>
        <v>#NAME?</v>
      </c>
      <c r="AE52" s="51">
        <f t="shared" si="3"/>
        <v>47000</v>
      </c>
      <c r="AF52" s="51">
        <f t="shared" si="4"/>
        <v>1223106</v>
      </c>
      <c r="AG52" s="51">
        <f t="shared" si="5"/>
        <v>45000</v>
      </c>
      <c r="AH52" s="51">
        <f t="shared" si="6"/>
        <v>858361</v>
      </c>
      <c r="AI52" s="51">
        <f t="shared" si="7"/>
        <v>24500</v>
      </c>
      <c r="AJ52" s="51">
        <f t="shared" si="8"/>
        <v>589571</v>
      </c>
    </row>
    <row r="53" spans="8:36" ht="18" customHeight="1" x14ac:dyDescent="0.3">
      <c r="H53" s="37">
        <f t="shared" si="11"/>
        <v>46147</v>
      </c>
      <c r="I53" s="32"/>
      <c r="J53" s="32"/>
      <c r="K53" s="32"/>
      <c r="L53" s="32"/>
      <c r="M53" s="32"/>
      <c r="N53" s="32"/>
      <c r="P53" s="27" t="str">
        <f t="shared" ca="1" si="12"/>
        <v/>
      </c>
      <c r="Q53" s="27" t="e" cm="1">
        <f t="array" aca="1" ref="Q53" ca="1">IF(I53="",_xlfn.LET(
    _xlpm.vals,_xlfn._xlws.FILTER($J$4:J52,$J$4:J52&lt;&gt;"",""),
    _xlpm.avgJ,IF(COUNTA(_xlpm.vals)=0,0,AVERAGE(_xlfn.TAKE(_xlpm.vals,-MIN(7,ROWS(_xlpm.vals))))),
    _xlpm.addship,IF(P53="",0,P53),
    IF(
        AND(I52="",I53=""),
        Q52-_xlpm.avgJ+_xlpm.addship,
        IF(
            I53="",
            I52-_xlpm.avgJ+_xlpm.addship,
            ""
        )
    )
),I53)</f>
        <v>#NAME?</v>
      </c>
      <c r="R53" s="27" t="str">
        <f t="shared" ca="1" si="13"/>
        <v/>
      </c>
      <c r="S53" s="27" t="e" cm="1">
        <f t="array" aca="1" ref="S53" ca="1">IF(K53="",_xlfn.LET(
    _xlpm.vals,_xlfn._xlws.FILTER($L$4:L52,$L$4:L52&lt;&gt;"",""),
    _xlpm.avgJ,IF(COUNTA(_xlpm.vals)=0,0,AVERAGE(_xlfn.TAKE(_xlpm.vals,-MIN(7,ROWS(_xlpm.vals))))),
    _xlpm.addship,IF(R53="",0,R53),
    IF(
        AND(K52="",K53=""),
        S52-_xlpm.avgJ+_xlpm.addship,
        IF(
            K53="",
            K52-_xlpm.avgJ+_xlpm.addship,
            ""
        )
    )
),K53)</f>
        <v>#NAME?</v>
      </c>
      <c r="T53" s="27" t="str">
        <f t="shared" ca="1" si="2"/>
        <v/>
      </c>
      <c r="U53" s="27" t="e" cm="1">
        <f t="array" aca="1" ref="U53" ca="1">IF(M53="",_xlfn.LET(
    _xlpm.vals,_xlfn._xlws.FILTER($N$4:N52,$N$4:N52&lt;&gt;"",""),
    _xlpm.avgJ,IF(COUNTA(_xlpm.vals)=0,0,AVERAGE(_xlfn.TAKE(_xlpm.vals,-MIN(7,ROWS(_xlpm.vals))))),
    _xlpm.addship,IF(T53="",0,T53),
    IF(
        AND(M52="",M53=""),
        U52-_xlpm.avgJ+_xlpm.addship,
        IF(
            M53="",
            M52-_xlpm.avgJ+_xlpm.addship,
            ""
        )
    )
),M53)</f>
        <v>#NAME?</v>
      </c>
      <c r="V53" s="4" t="e">
        <f ca="1">IF(AND(Q53="",S53="",U53=""),"",
_xlfn.LET(
_xlpm.msgs,
_xlfn.TEXTJOIN(" | ",TRUE,
IF(Q53&gt;$C$20,"Petrol over capacity",""),
IF(Q53&lt;$C$21,"Petrol stock out",""),
IF(S53&gt;$D$20,"Diesel over capacity",""),
IF(S53&lt;$D$21,"Diesel stock out",""),
IF(U53&gt;$E$20,"Kero over capacity",""),
IF(U53&lt;$E$21,"Kero stock out","")),
IF(_xlpm.msgs="","",_xlpm.msgs)
))</f>
        <v>#NAME?</v>
      </c>
      <c r="AE53" s="51">
        <f t="shared" si="3"/>
        <v>47000</v>
      </c>
      <c r="AF53" s="51">
        <f t="shared" si="4"/>
        <v>1223106</v>
      </c>
      <c r="AG53" s="51">
        <f t="shared" si="5"/>
        <v>45000</v>
      </c>
      <c r="AH53" s="51">
        <f t="shared" si="6"/>
        <v>858361</v>
      </c>
      <c r="AI53" s="51">
        <f t="shared" si="7"/>
        <v>24500</v>
      </c>
      <c r="AJ53" s="51">
        <f t="shared" si="8"/>
        <v>589571</v>
      </c>
    </row>
    <row r="54" spans="8:36" ht="18" customHeight="1" x14ac:dyDescent="0.3">
      <c r="H54" s="37">
        <f t="shared" si="11"/>
        <v>46148</v>
      </c>
      <c r="I54" s="32"/>
      <c r="J54" s="32"/>
      <c r="K54" s="32"/>
      <c r="L54" s="32"/>
      <c r="M54" s="32"/>
      <c r="N54" s="32"/>
      <c r="P54" s="27" t="str">
        <f t="shared" ca="1" si="12"/>
        <v/>
      </c>
      <c r="Q54" s="27" t="e" cm="1">
        <f t="array" aca="1" ref="Q54" ca="1">IF(I54="",_xlfn.LET(
    _xlpm.vals,_xlfn._xlws.FILTER($J$4:J53,$J$4:J53&lt;&gt;"",""),
    _xlpm.avgJ,IF(COUNTA(_xlpm.vals)=0,0,AVERAGE(_xlfn.TAKE(_xlpm.vals,-MIN(7,ROWS(_xlpm.vals))))),
    _xlpm.addship,IF(P54="",0,P54),
    IF(
        AND(I53="",I54=""),
        Q53-_xlpm.avgJ+_xlpm.addship,
        IF(
            I54="",
            I53-_xlpm.avgJ+_xlpm.addship,
            ""
        )
    )
),I54)</f>
        <v>#NAME?</v>
      </c>
      <c r="R54" s="27" t="str">
        <f t="shared" ca="1" si="13"/>
        <v/>
      </c>
      <c r="S54" s="27" t="e" cm="1">
        <f t="array" aca="1" ref="S54" ca="1">IF(K54="",_xlfn.LET(
    _xlpm.vals,_xlfn._xlws.FILTER($L$4:L53,$L$4:L53&lt;&gt;"",""),
    _xlpm.avgJ,IF(COUNTA(_xlpm.vals)=0,0,AVERAGE(_xlfn.TAKE(_xlpm.vals,-MIN(7,ROWS(_xlpm.vals))))),
    _xlpm.addship,IF(R54="",0,R54),
    IF(
        AND(K53="",K54=""),
        S53-_xlpm.avgJ+_xlpm.addship,
        IF(
            K54="",
            K53-_xlpm.avgJ+_xlpm.addship,
            ""
        )
    )
),K54)</f>
        <v>#NAME?</v>
      </c>
      <c r="T54" s="27" t="str">
        <f t="shared" ca="1" si="2"/>
        <v/>
      </c>
      <c r="U54" s="27" t="e" cm="1">
        <f t="array" aca="1" ref="U54" ca="1">IF(M54="",_xlfn.LET(
    _xlpm.vals,_xlfn._xlws.FILTER($N$4:N53,$N$4:N53&lt;&gt;"",""),
    _xlpm.avgJ,IF(COUNTA(_xlpm.vals)=0,0,AVERAGE(_xlfn.TAKE(_xlpm.vals,-MIN(7,ROWS(_xlpm.vals))))),
    _xlpm.addship,IF(T54="",0,T54),
    IF(
        AND(M53="",M54=""),
        U53-_xlpm.avgJ+_xlpm.addship,
        IF(
            M54="",
            M53-_xlpm.avgJ+_xlpm.addship,
            ""
        )
    )
),M54)</f>
        <v>#NAME?</v>
      </c>
      <c r="V54" s="4" t="e">
        <f ca="1">IF(AND(Q54="",S54="",U54=""),"",
_xlfn.LET(
_xlpm.msgs,
_xlfn.TEXTJOIN(" | ",TRUE,
IF(Q54&gt;$C$20,"Petrol over capacity",""),
IF(Q54&lt;$C$21,"Petrol stock out",""),
IF(S54&gt;$D$20,"Diesel over capacity",""),
IF(S54&lt;$D$21,"Diesel stock out",""),
IF(U54&gt;$E$20,"Kero over capacity",""),
IF(U54&lt;$E$21,"Kero stock out","")),
IF(_xlpm.msgs="","",_xlpm.msgs)
))</f>
        <v>#NAME?</v>
      </c>
      <c r="AE54" s="51">
        <f t="shared" si="3"/>
        <v>47000</v>
      </c>
      <c r="AF54" s="51">
        <f t="shared" si="4"/>
        <v>1223106</v>
      </c>
      <c r="AG54" s="51">
        <f t="shared" si="5"/>
        <v>45000</v>
      </c>
      <c r="AH54" s="51">
        <f t="shared" si="6"/>
        <v>858361</v>
      </c>
      <c r="AI54" s="51">
        <f t="shared" si="7"/>
        <v>24500</v>
      </c>
      <c r="AJ54" s="51">
        <f t="shared" si="8"/>
        <v>589571</v>
      </c>
    </row>
    <row r="55" spans="8:36" ht="18" customHeight="1" x14ac:dyDescent="0.3">
      <c r="H55" s="37">
        <f t="shared" si="11"/>
        <v>46149</v>
      </c>
      <c r="I55" s="32"/>
      <c r="J55" s="32"/>
      <c r="K55" s="32"/>
      <c r="L55" s="32"/>
      <c r="M55" s="32"/>
      <c r="N55" s="32"/>
      <c r="P55" s="27" t="str">
        <f t="shared" ca="1" si="12"/>
        <v/>
      </c>
      <c r="Q55" s="27" t="e" cm="1">
        <f t="array" aca="1" ref="Q55" ca="1">IF(I55="",_xlfn.LET(
    _xlpm.vals,_xlfn._xlws.FILTER($J$4:J54,$J$4:J54&lt;&gt;"",""),
    _xlpm.avgJ,IF(COUNTA(_xlpm.vals)=0,0,AVERAGE(_xlfn.TAKE(_xlpm.vals,-MIN(7,ROWS(_xlpm.vals))))),
    _xlpm.addship,IF(P55="",0,P55),
    IF(
        AND(I54="",I55=""),
        Q54-_xlpm.avgJ+_xlpm.addship,
        IF(
            I55="",
            I54-_xlpm.avgJ+_xlpm.addship,
            ""
        )
    )
),I55)</f>
        <v>#NAME?</v>
      </c>
      <c r="R55" s="27" t="str">
        <f t="shared" ca="1" si="13"/>
        <v/>
      </c>
      <c r="S55" s="27" t="e" cm="1">
        <f t="array" aca="1" ref="S55" ca="1">IF(K55="",_xlfn.LET(
    _xlpm.vals,_xlfn._xlws.FILTER($L$4:L54,$L$4:L54&lt;&gt;"",""),
    _xlpm.avgJ,IF(COUNTA(_xlpm.vals)=0,0,AVERAGE(_xlfn.TAKE(_xlpm.vals,-MIN(7,ROWS(_xlpm.vals))))),
    _xlpm.addship,IF(R55="",0,R55),
    IF(
        AND(K54="",K55=""),
        S54-_xlpm.avgJ+_xlpm.addship,
        IF(
            K55="",
            K54-_xlpm.avgJ+_xlpm.addship,
            ""
        )
    )
),K55)</f>
        <v>#NAME?</v>
      </c>
      <c r="T55" s="27" t="str">
        <f t="shared" ca="1" si="2"/>
        <v/>
      </c>
      <c r="U55" s="27" t="e" cm="1">
        <f t="array" aca="1" ref="U55" ca="1">IF(M55="",_xlfn.LET(
    _xlpm.vals,_xlfn._xlws.FILTER($N$4:N54,$N$4:N54&lt;&gt;"",""),
    _xlpm.avgJ,IF(COUNTA(_xlpm.vals)=0,0,AVERAGE(_xlfn.TAKE(_xlpm.vals,-MIN(7,ROWS(_xlpm.vals))))),
    _xlpm.addship,IF(T55="",0,T55),
    IF(
        AND(M54="",M55=""),
        U54-_xlpm.avgJ+_xlpm.addship,
        IF(
            M55="",
            M54-_xlpm.avgJ+_xlpm.addship,
            ""
        )
    )
),M55)</f>
        <v>#NAME?</v>
      </c>
      <c r="V55" s="4" t="e">
        <f ca="1">IF(AND(Q55="",S55="",U55=""),"",
_xlfn.LET(
_xlpm.msgs,
_xlfn.TEXTJOIN(" | ",TRUE,
IF(Q55&gt;$C$20,"Petrol over capacity",""),
IF(Q55&lt;$C$21,"Petrol stock out",""),
IF(S55&gt;$D$20,"Diesel over capacity",""),
IF(S55&lt;$D$21,"Diesel stock out",""),
IF(U55&gt;$E$20,"Kero over capacity",""),
IF(U55&lt;$E$21,"Kero stock out","")),
IF(_xlpm.msgs="","",_xlpm.msgs)
))</f>
        <v>#NAME?</v>
      </c>
      <c r="AE55" s="51">
        <f t="shared" si="3"/>
        <v>47000</v>
      </c>
      <c r="AF55" s="51">
        <f t="shared" si="4"/>
        <v>1223106</v>
      </c>
      <c r="AG55" s="51">
        <f t="shared" si="5"/>
        <v>45000</v>
      </c>
      <c r="AH55" s="51">
        <f t="shared" si="6"/>
        <v>858361</v>
      </c>
      <c r="AI55" s="51">
        <f t="shared" si="7"/>
        <v>24500</v>
      </c>
      <c r="AJ55" s="51">
        <f t="shared" si="8"/>
        <v>589571</v>
      </c>
    </row>
    <row r="56" spans="8:36" ht="18" customHeight="1" x14ac:dyDescent="0.3">
      <c r="H56" s="37">
        <f t="shared" si="11"/>
        <v>46150</v>
      </c>
      <c r="I56" s="32"/>
      <c r="J56" s="32"/>
      <c r="K56" s="32"/>
      <c r="L56" s="32"/>
      <c r="M56" s="32"/>
      <c r="N56" s="32"/>
      <c r="P56" s="27" t="str">
        <f t="shared" ca="1" si="12"/>
        <v/>
      </c>
      <c r="Q56" s="27" t="e" cm="1">
        <f t="array" aca="1" ref="Q56" ca="1">IF(I56="",_xlfn.LET(
    _xlpm.vals,_xlfn._xlws.FILTER($J$4:J55,$J$4:J55&lt;&gt;"",""),
    _xlpm.avgJ,IF(COUNTA(_xlpm.vals)=0,0,AVERAGE(_xlfn.TAKE(_xlpm.vals,-MIN(7,ROWS(_xlpm.vals))))),
    _xlpm.addship,IF(P56="",0,P56),
    IF(
        AND(I55="",I56=""),
        Q55-_xlpm.avgJ+_xlpm.addship,
        IF(
            I56="",
            I55-_xlpm.avgJ+_xlpm.addship,
            ""
        )
    )
),I56)</f>
        <v>#NAME?</v>
      </c>
      <c r="R56" s="27" t="str">
        <f t="shared" ca="1" si="13"/>
        <v/>
      </c>
      <c r="S56" s="27" t="e" cm="1">
        <f t="array" aca="1" ref="S56" ca="1">IF(K56="",_xlfn.LET(
    _xlpm.vals,_xlfn._xlws.FILTER($L$4:L55,$L$4:L55&lt;&gt;"",""),
    _xlpm.avgJ,IF(COUNTA(_xlpm.vals)=0,0,AVERAGE(_xlfn.TAKE(_xlpm.vals,-MIN(7,ROWS(_xlpm.vals))))),
    _xlpm.addship,IF(R56="",0,R56),
    IF(
        AND(K55="",K56=""),
        S55-_xlpm.avgJ+_xlpm.addship,
        IF(
            K56="",
            K55-_xlpm.avgJ+_xlpm.addship,
            ""
        )
    )
),K56)</f>
        <v>#NAME?</v>
      </c>
      <c r="T56" s="27" t="str">
        <f t="shared" ca="1" si="2"/>
        <v/>
      </c>
      <c r="U56" s="27" t="e" cm="1">
        <f t="array" aca="1" ref="U56" ca="1">IF(M56="",_xlfn.LET(
    _xlpm.vals,_xlfn._xlws.FILTER($N$4:N55,$N$4:N55&lt;&gt;"",""),
    _xlpm.avgJ,IF(COUNTA(_xlpm.vals)=0,0,AVERAGE(_xlfn.TAKE(_xlpm.vals,-MIN(7,ROWS(_xlpm.vals))))),
    _xlpm.addship,IF(T56="",0,T56),
    IF(
        AND(M55="",M56=""),
        U55-_xlpm.avgJ+_xlpm.addship,
        IF(
            M56="",
            M55-_xlpm.avgJ+_xlpm.addship,
            ""
        )
    )
),M56)</f>
        <v>#NAME?</v>
      </c>
      <c r="V56" s="4" t="e">
        <f ca="1">IF(AND(Q56="",S56="",U56=""),"",
_xlfn.LET(
_xlpm.msgs,
_xlfn.TEXTJOIN(" | ",TRUE,
IF(Q56&gt;$C$20,"Petrol over capacity",""),
IF(Q56&lt;$C$21,"Petrol stock out",""),
IF(S56&gt;$D$20,"Diesel over capacity",""),
IF(S56&lt;$D$21,"Diesel stock out",""),
IF(U56&gt;$E$20,"Kero over capacity",""),
IF(U56&lt;$E$21,"Kero stock out","")),
IF(_xlpm.msgs="","",_xlpm.msgs)
))</f>
        <v>#NAME?</v>
      </c>
      <c r="AE56" s="51">
        <f t="shared" si="3"/>
        <v>47000</v>
      </c>
      <c r="AF56" s="51">
        <f t="shared" si="4"/>
        <v>1223106</v>
      </c>
      <c r="AG56" s="51">
        <f t="shared" si="5"/>
        <v>45000</v>
      </c>
      <c r="AH56" s="51">
        <f t="shared" si="6"/>
        <v>858361</v>
      </c>
      <c r="AI56" s="51">
        <f t="shared" si="7"/>
        <v>24500</v>
      </c>
      <c r="AJ56" s="51">
        <f t="shared" si="8"/>
        <v>589571</v>
      </c>
    </row>
    <row r="57" spans="8:36" ht="18" customHeight="1" x14ac:dyDescent="0.3">
      <c r="H57" s="37">
        <f t="shared" si="11"/>
        <v>46151</v>
      </c>
      <c r="I57" s="32"/>
      <c r="J57" s="32"/>
      <c r="K57" s="32"/>
      <c r="L57" s="32"/>
      <c r="M57" s="32"/>
      <c r="N57" s="32"/>
      <c r="P57" s="27" t="str">
        <f t="shared" ca="1" si="12"/>
        <v/>
      </c>
      <c r="Q57" s="27" t="e" cm="1">
        <f t="array" aca="1" ref="Q57" ca="1">IF(I57="",_xlfn.LET(
    _xlpm.vals,_xlfn._xlws.FILTER($J$4:J56,$J$4:J56&lt;&gt;"",""),
    _xlpm.avgJ,IF(COUNTA(_xlpm.vals)=0,0,AVERAGE(_xlfn.TAKE(_xlpm.vals,-MIN(7,ROWS(_xlpm.vals))))),
    _xlpm.addship,IF(P57="",0,P57),
    IF(
        AND(I56="",I57=""),
        Q56-_xlpm.avgJ+_xlpm.addship,
        IF(
            I57="",
            I56-_xlpm.avgJ+_xlpm.addship,
            ""
        )
    )
),I57)</f>
        <v>#NAME?</v>
      </c>
      <c r="R57" s="27" t="str">
        <f t="shared" ca="1" si="13"/>
        <v/>
      </c>
      <c r="S57" s="27" t="e" cm="1">
        <f t="array" aca="1" ref="S57" ca="1">IF(K57="",_xlfn.LET(
    _xlpm.vals,_xlfn._xlws.FILTER($L$4:L56,$L$4:L56&lt;&gt;"",""),
    _xlpm.avgJ,IF(COUNTA(_xlpm.vals)=0,0,AVERAGE(_xlfn.TAKE(_xlpm.vals,-MIN(7,ROWS(_xlpm.vals))))),
    _xlpm.addship,IF(R57="",0,R57),
    IF(
        AND(K56="",K57=""),
        S56-_xlpm.avgJ+_xlpm.addship,
        IF(
            K57="",
            K56-_xlpm.avgJ+_xlpm.addship,
            ""
        )
    )
),K57)</f>
        <v>#NAME?</v>
      </c>
      <c r="T57" s="27" t="str">
        <f t="shared" ca="1" si="2"/>
        <v/>
      </c>
      <c r="U57" s="27" t="e" cm="1">
        <f t="array" aca="1" ref="U57" ca="1">IF(M57="",_xlfn.LET(
    _xlpm.vals,_xlfn._xlws.FILTER($N$4:N56,$N$4:N56&lt;&gt;"",""),
    _xlpm.avgJ,IF(COUNTA(_xlpm.vals)=0,0,AVERAGE(_xlfn.TAKE(_xlpm.vals,-MIN(7,ROWS(_xlpm.vals))))),
    _xlpm.addship,IF(T57="",0,T57),
    IF(
        AND(M56="",M57=""),
        U56-_xlpm.avgJ+_xlpm.addship,
        IF(
            M57="",
            M56-_xlpm.avgJ+_xlpm.addship,
            ""
        )
    )
),M57)</f>
        <v>#NAME?</v>
      </c>
      <c r="V57" s="4" t="e">
        <f ca="1">IF(AND(Q57="",S57="",U57=""),"",
_xlfn.LET(
_xlpm.msgs,
_xlfn.TEXTJOIN(" | ",TRUE,
IF(Q57&gt;$C$20,"Petrol over capacity",""),
IF(Q57&lt;$C$21,"Petrol stock out",""),
IF(S57&gt;$D$20,"Diesel over capacity",""),
IF(S57&lt;$D$21,"Diesel stock out",""),
IF(U57&gt;$E$20,"Kero over capacity",""),
IF(U57&lt;$E$21,"Kero stock out","")),
IF(_xlpm.msgs="","",_xlpm.msgs)
))</f>
        <v>#NAME?</v>
      </c>
      <c r="AE57" s="51">
        <f t="shared" si="3"/>
        <v>47000</v>
      </c>
      <c r="AF57" s="51">
        <f t="shared" si="4"/>
        <v>1223106</v>
      </c>
      <c r="AG57" s="51">
        <f t="shared" si="5"/>
        <v>45000</v>
      </c>
      <c r="AH57" s="51">
        <f t="shared" si="6"/>
        <v>858361</v>
      </c>
      <c r="AI57" s="51">
        <f t="shared" si="7"/>
        <v>24500</v>
      </c>
      <c r="AJ57" s="51">
        <f t="shared" si="8"/>
        <v>589571</v>
      </c>
    </row>
    <row r="58" spans="8:36" ht="18" customHeight="1" x14ac:dyDescent="0.3">
      <c r="H58" s="37">
        <f t="shared" si="11"/>
        <v>46152</v>
      </c>
      <c r="I58" s="32"/>
      <c r="J58" s="32"/>
      <c r="K58" s="32"/>
      <c r="L58" s="32"/>
      <c r="M58" s="32"/>
      <c r="N58" s="32"/>
      <c r="P58" s="27" t="str">
        <f t="shared" ca="1" si="12"/>
        <v/>
      </c>
      <c r="Q58" s="27" t="e" cm="1">
        <f t="array" aca="1" ref="Q58" ca="1">IF(I58="",_xlfn.LET(
    _xlpm.vals,_xlfn._xlws.FILTER($J$4:J57,$J$4:J57&lt;&gt;"",""),
    _xlpm.avgJ,IF(COUNTA(_xlpm.vals)=0,0,AVERAGE(_xlfn.TAKE(_xlpm.vals,-MIN(7,ROWS(_xlpm.vals))))),
    _xlpm.addship,IF(P58="",0,P58),
    IF(
        AND(I57="",I58=""),
        Q57-_xlpm.avgJ+_xlpm.addship,
        IF(
            I58="",
            I57-_xlpm.avgJ+_xlpm.addship,
            ""
        )
    )
),I58)</f>
        <v>#NAME?</v>
      </c>
      <c r="R58" s="27" t="str">
        <f t="shared" ca="1" si="13"/>
        <v/>
      </c>
      <c r="S58" s="27" t="e" cm="1">
        <f t="array" aca="1" ref="S58" ca="1">IF(K58="",_xlfn.LET(
    _xlpm.vals,_xlfn._xlws.FILTER($L$4:L57,$L$4:L57&lt;&gt;"",""),
    _xlpm.avgJ,IF(COUNTA(_xlpm.vals)=0,0,AVERAGE(_xlfn.TAKE(_xlpm.vals,-MIN(7,ROWS(_xlpm.vals))))),
    _xlpm.addship,IF(R58="",0,R58),
    IF(
        AND(K57="",K58=""),
        S57-_xlpm.avgJ+_xlpm.addship,
        IF(
            K58="",
            K57-_xlpm.avgJ+_xlpm.addship,
            ""
        )
    )
),K58)</f>
        <v>#NAME?</v>
      </c>
      <c r="T58" s="27" t="str">
        <f t="shared" ca="1" si="2"/>
        <v/>
      </c>
      <c r="U58" s="27" t="e" cm="1">
        <f t="array" aca="1" ref="U58" ca="1">IF(M58="",_xlfn.LET(
    _xlpm.vals,_xlfn._xlws.FILTER($N$4:N57,$N$4:N57&lt;&gt;"",""),
    _xlpm.avgJ,IF(COUNTA(_xlpm.vals)=0,0,AVERAGE(_xlfn.TAKE(_xlpm.vals,-MIN(7,ROWS(_xlpm.vals))))),
    _xlpm.addship,IF(T58="",0,T58),
    IF(
        AND(M57="",M58=""),
        U57-_xlpm.avgJ+_xlpm.addship,
        IF(
            M58="",
            M57-_xlpm.avgJ+_xlpm.addship,
            ""
        )
    )
),M58)</f>
        <v>#NAME?</v>
      </c>
      <c r="V58" s="4" t="e">
        <f ca="1">IF(AND(Q58="",S58="",U58=""),"",
_xlfn.LET(
_xlpm.msgs,
_xlfn.TEXTJOIN(" | ",TRUE,
IF(Q58&gt;$C$20,"Petrol over capacity",""),
IF(Q58&lt;$C$21,"Petrol stock out",""),
IF(S58&gt;$D$20,"Diesel over capacity",""),
IF(S58&lt;$D$21,"Diesel stock out",""),
IF(U58&gt;$E$20,"Kero over capacity",""),
IF(U58&lt;$E$21,"Kero stock out","")),
IF(_xlpm.msgs="","",_xlpm.msgs)
))</f>
        <v>#NAME?</v>
      </c>
      <c r="AE58" s="51">
        <f t="shared" si="3"/>
        <v>47000</v>
      </c>
      <c r="AF58" s="51">
        <f t="shared" si="4"/>
        <v>1223106</v>
      </c>
      <c r="AG58" s="51">
        <f t="shared" si="5"/>
        <v>45000</v>
      </c>
      <c r="AH58" s="51">
        <f t="shared" si="6"/>
        <v>858361</v>
      </c>
      <c r="AI58" s="51">
        <f t="shared" si="7"/>
        <v>24500</v>
      </c>
      <c r="AJ58" s="51">
        <f t="shared" si="8"/>
        <v>589571</v>
      </c>
    </row>
    <row r="59" spans="8:36" ht="18" customHeight="1" x14ac:dyDescent="0.3">
      <c r="H59" s="37">
        <f t="shared" si="11"/>
        <v>46153</v>
      </c>
      <c r="I59" s="32"/>
      <c r="J59" s="32"/>
      <c r="K59" s="32"/>
      <c r="L59" s="32"/>
      <c r="M59" s="32"/>
      <c r="N59" s="32"/>
      <c r="P59" s="27" t="str">
        <f t="shared" ca="1" si="12"/>
        <v/>
      </c>
      <c r="Q59" s="27" t="e" cm="1">
        <f t="array" aca="1" ref="Q59" ca="1">IF(I59="",_xlfn.LET(
    _xlpm.vals,_xlfn._xlws.FILTER($J$4:J58,$J$4:J58&lt;&gt;"",""),
    _xlpm.avgJ,IF(COUNTA(_xlpm.vals)=0,0,AVERAGE(_xlfn.TAKE(_xlpm.vals,-MIN(7,ROWS(_xlpm.vals))))),
    _xlpm.addship,IF(P59="",0,P59),
    IF(
        AND(I58="",I59=""),
        Q58-_xlpm.avgJ+_xlpm.addship,
        IF(
            I59="",
            I58-_xlpm.avgJ+_xlpm.addship,
            ""
        )
    )
),I59)</f>
        <v>#NAME?</v>
      </c>
      <c r="R59" s="27" t="str">
        <f t="shared" ca="1" si="13"/>
        <v/>
      </c>
      <c r="S59" s="27" t="e" cm="1">
        <f t="array" aca="1" ref="S59" ca="1">IF(K59="",_xlfn.LET(
    _xlpm.vals,_xlfn._xlws.FILTER($L$4:L58,$L$4:L58&lt;&gt;"",""),
    _xlpm.avgJ,IF(COUNTA(_xlpm.vals)=0,0,AVERAGE(_xlfn.TAKE(_xlpm.vals,-MIN(7,ROWS(_xlpm.vals))))),
    _xlpm.addship,IF(R59="",0,R59),
    IF(
        AND(K58="",K59=""),
        S58-_xlpm.avgJ+_xlpm.addship,
        IF(
            K59="",
            K58-_xlpm.avgJ+_xlpm.addship,
            ""
        )
    )
),K59)</f>
        <v>#NAME?</v>
      </c>
      <c r="T59" s="27" t="str">
        <f t="shared" ca="1" si="2"/>
        <v/>
      </c>
      <c r="U59" s="27" t="e" cm="1">
        <f t="array" aca="1" ref="U59" ca="1">IF(M59="",_xlfn.LET(
    _xlpm.vals,_xlfn._xlws.FILTER($N$4:N58,$N$4:N58&lt;&gt;"",""),
    _xlpm.avgJ,IF(COUNTA(_xlpm.vals)=0,0,AVERAGE(_xlfn.TAKE(_xlpm.vals,-MIN(7,ROWS(_xlpm.vals))))),
    _xlpm.addship,IF(T59="",0,T59),
    IF(
        AND(M58="",M59=""),
        U58-_xlpm.avgJ+_xlpm.addship,
        IF(
            M59="",
            M58-_xlpm.avgJ+_xlpm.addship,
            ""
        )
    )
),M59)</f>
        <v>#NAME?</v>
      </c>
      <c r="V59" s="4" t="e">
        <f ca="1">IF(AND(Q59="",S59="",U59=""),"",
_xlfn.LET(
_xlpm.msgs,
_xlfn.TEXTJOIN(" | ",TRUE,
IF(Q59&gt;$C$20,"Petrol over capacity",""),
IF(Q59&lt;$C$21,"Petrol stock out",""),
IF(S59&gt;$D$20,"Diesel over capacity",""),
IF(S59&lt;$D$21,"Diesel stock out",""),
IF(U59&gt;$E$20,"Kero over capacity",""),
IF(U59&lt;$E$21,"Kero stock out","")),
IF(_xlpm.msgs="","",_xlpm.msgs)
))</f>
        <v>#NAME?</v>
      </c>
      <c r="AE59" s="51">
        <f t="shared" si="3"/>
        <v>47000</v>
      </c>
      <c r="AF59" s="51">
        <f t="shared" si="4"/>
        <v>1223106</v>
      </c>
      <c r="AG59" s="51">
        <f t="shared" si="5"/>
        <v>45000</v>
      </c>
      <c r="AH59" s="51">
        <f t="shared" si="6"/>
        <v>858361</v>
      </c>
      <c r="AI59" s="51">
        <f t="shared" si="7"/>
        <v>24500</v>
      </c>
      <c r="AJ59" s="51">
        <f t="shared" si="8"/>
        <v>589571</v>
      </c>
    </row>
    <row r="60" spans="8:36" ht="18" customHeight="1" x14ac:dyDescent="0.3">
      <c r="H60" s="37">
        <f t="shared" si="11"/>
        <v>46154</v>
      </c>
      <c r="I60" s="32"/>
      <c r="J60" s="32"/>
      <c r="K60" s="32"/>
      <c r="L60" s="32"/>
      <c r="M60" s="32"/>
      <c r="N60" s="32"/>
      <c r="P60" s="27" t="str">
        <f t="shared" ca="1" si="12"/>
        <v/>
      </c>
      <c r="Q60" s="27" t="e" cm="1">
        <f t="array" aca="1" ref="Q60" ca="1">IF(I60="",_xlfn.LET(
    _xlpm.vals,_xlfn._xlws.FILTER($J$4:J59,$J$4:J59&lt;&gt;"",""),
    _xlpm.avgJ,IF(COUNTA(_xlpm.vals)=0,0,AVERAGE(_xlfn.TAKE(_xlpm.vals,-MIN(7,ROWS(_xlpm.vals))))),
    _xlpm.addship,IF(P60="",0,P60),
    IF(
        AND(I59="",I60=""),
        Q59-_xlpm.avgJ+_xlpm.addship,
        IF(
            I60="",
            I59-_xlpm.avgJ+_xlpm.addship,
            ""
        )
    )
),I60)</f>
        <v>#NAME?</v>
      </c>
      <c r="R60" s="27" t="str">
        <f t="shared" ca="1" si="13"/>
        <v/>
      </c>
      <c r="S60" s="27" t="e" cm="1">
        <f t="array" aca="1" ref="S60" ca="1">IF(K60="",_xlfn.LET(
    _xlpm.vals,_xlfn._xlws.FILTER($L$4:L59,$L$4:L59&lt;&gt;"",""),
    _xlpm.avgJ,IF(COUNTA(_xlpm.vals)=0,0,AVERAGE(_xlfn.TAKE(_xlpm.vals,-MIN(7,ROWS(_xlpm.vals))))),
    _xlpm.addship,IF(R60="",0,R60),
    IF(
        AND(K59="",K60=""),
        S59-_xlpm.avgJ+_xlpm.addship,
        IF(
            K60="",
            K59-_xlpm.avgJ+_xlpm.addship,
            ""
        )
    )
),K60)</f>
        <v>#NAME?</v>
      </c>
      <c r="T60" s="27" t="str">
        <f t="shared" ca="1" si="2"/>
        <v/>
      </c>
      <c r="U60" s="27" t="e" cm="1">
        <f t="array" aca="1" ref="U60" ca="1">IF(M60="",_xlfn.LET(
    _xlpm.vals,_xlfn._xlws.FILTER($N$4:N59,$N$4:N59&lt;&gt;"",""),
    _xlpm.avgJ,IF(COUNTA(_xlpm.vals)=0,0,AVERAGE(_xlfn.TAKE(_xlpm.vals,-MIN(7,ROWS(_xlpm.vals))))),
    _xlpm.addship,IF(T60="",0,T60),
    IF(
        AND(M59="",M60=""),
        U59-_xlpm.avgJ+_xlpm.addship,
        IF(
            M60="",
            M59-_xlpm.avgJ+_xlpm.addship,
            ""
        )
    )
),M60)</f>
        <v>#NAME?</v>
      </c>
      <c r="V60" s="4" t="e">
        <f ca="1">IF(AND(Q60="",S60="",U60=""),"",
_xlfn.LET(
_xlpm.msgs,
_xlfn.TEXTJOIN(" | ",TRUE,
IF(Q60&gt;$C$20,"Petrol over capacity",""),
IF(Q60&lt;$C$21,"Petrol stock out",""),
IF(S60&gt;$D$20,"Diesel over capacity",""),
IF(S60&lt;$D$21,"Diesel stock out",""),
IF(U60&gt;$E$20,"Kero over capacity",""),
IF(U60&lt;$E$21,"Kero stock out","")),
IF(_xlpm.msgs="","",_xlpm.msgs)
))</f>
        <v>#NAME?</v>
      </c>
      <c r="AE60" s="51">
        <f t="shared" si="3"/>
        <v>47000</v>
      </c>
      <c r="AF60" s="51">
        <f t="shared" si="4"/>
        <v>1223106</v>
      </c>
      <c r="AG60" s="51">
        <f t="shared" si="5"/>
        <v>45000</v>
      </c>
      <c r="AH60" s="51">
        <f t="shared" si="6"/>
        <v>858361</v>
      </c>
      <c r="AI60" s="51">
        <f t="shared" si="7"/>
        <v>24500</v>
      </c>
      <c r="AJ60" s="51">
        <f t="shared" si="8"/>
        <v>589571</v>
      </c>
    </row>
    <row r="61" spans="8:36" ht="18" customHeight="1" x14ac:dyDescent="0.3">
      <c r="H61" s="37">
        <f t="shared" si="11"/>
        <v>46155</v>
      </c>
      <c r="I61" s="32"/>
      <c r="J61" s="32"/>
      <c r="K61" s="32"/>
      <c r="L61" s="32"/>
      <c r="M61" s="32"/>
      <c r="N61" s="32"/>
      <c r="P61" s="27" t="str">
        <f t="shared" ca="1" si="12"/>
        <v/>
      </c>
      <c r="Q61" s="27" t="e" cm="1">
        <f t="array" aca="1" ref="Q61" ca="1">IF(I61="",_xlfn.LET(
    _xlpm.vals,_xlfn._xlws.FILTER($J$4:J60,$J$4:J60&lt;&gt;"",""),
    _xlpm.avgJ,IF(COUNTA(_xlpm.vals)=0,0,AVERAGE(_xlfn.TAKE(_xlpm.vals,-MIN(7,ROWS(_xlpm.vals))))),
    _xlpm.addship,IF(P61="",0,P61),
    IF(
        AND(I60="",I61=""),
        Q60-_xlpm.avgJ+_xlpm.addship,
        IF(
            I61="",
            I60-_xlpm.avgJ+_xlpm.addship,
            ""
        )
    )
),I61)</f>
        <v>#NAME?</v>
      </c>
      <c r="R61" s="27" t="str">
        <f t="shared" ca="1" si="13"/>
        <v/>
      </c>
      <c r="S61" s="27" t="e" cm="1">
        <f t="array" aca="1" ref="S61" ca="1">IF(K61="",_xlfn.LET(
    _xlpm.vals,_xlfn._xlws.FILTER($L$4:L60,$L$4:L60&lt;&gt;"",""),
    _xlpm.avgJ,IF(COUNTA(_xlpm.vals)=0,0,AVERAGE(_xlfn.TAKE(_xlpm.vals,-MIN(7,ROWS(_xlpm.vals))))),
    _xlpm.addship,IF(R61="",0,R61),
    IF(
        AND(K60="",K61=""),
        S60-_xlpm.avgJ+_xlpm.addship,
        IF(
            K61="",
            K60-_xlpm.avgJ+_xlpm.addship,
            ""
        )
    )
),K61)</f>
        <v>#NAME?</v>
      </c>
      <c r="T61" s="27" t="str">
        <f t="shared" ca="1" si="2"/>
        <v/>
      </c>
      <c r="U61" s="27" t="e" cm="1">
        <f t="array" aca="1" ref="U61" ca="1">IF(M61="",_xlfn.LET(
    _xlpm.vals,_xlfn._xlws.FILTER($N$4:N60,$N$4:N60&lt;&gt;"",""),
    _xlpm.avgJ,IF(COUNTA(_xlpm.vals)=0,0,AVERAGE(_xlfn.TAKE(_xlpm.vals,-MIN(7,ROWS(_xlpm.vals))))),
    _xlpm.addship,IF(T61="",0,T61),
    IF(
        AND(M60="",M61=""),
        U60-_xlpm.avgJ+_xlpm.addship,
        IF(
            M61="",
            M60-_xlpm.avgJ+_xlpm.addship,
            ""
        )
    )
),M61)</f>
        <v>#NAME?</v>
      </c>
      <c r="V61" s="4" t="e">
        <f ca="1">IF(AND(Q61="",S61="",U61=""),"",
_xlfn.LET(
_xlpm.msgs,
_xlfn.TEXTJOIN(" | ",TRUE,
IF(Q61&gt;$C$20,"Petrol over capacity",""),
IF(Q61&lt;$C$21,"Petrol stock out",""),
IF(S61&gt;$D$20,"Diesel over capacity",""),
IF(S61&lt;$D$21,"Diesel stock out",""),
IF(U61&gt;$E$20,"Kero over capacity",""),
IF(U61&lt;$E$21,"Kero stock out","")),
IF(_xlpm.msgs="","",_xlpm.msgs)
))</f>
        <v>#NAME?</v>
      </c>
      <c r="AE61" s="51">
        <f t="shared" si="3"/>
        <v>47000</v>
      </c>
      <c r="AF61" s="51">
        <f t="shared" si="4"/>
        <v>1223106</v>
      </c>
      <c r="AG61" s="51">
        <f t="shared" si="5"/>
        <v>45000</v>
      </c>
      <c r="AH61" s="51">
        <f t="shared" si="6"/>
        <v>858361</v>
      </c>
      <c r="AI61" s="51">
        <f t="shared" si="7"/>
        <v>24500</v>
      </c>
      <c r="AJ61" s="51">
        <f t="shared" si="8"/>
        <v>589571</v>
      </c>
    </row>
    <row r="62" spans="8:36" ht="18" customHeight="1" x14ac:dyDescent="0.3">
      <c r="H62" s="37">
        <f t="shared" si="11"/>
        <v>46156</v>
      </c>
      <c r="I62" s="32"/>
      <c r="J62" s="32"/>
      <c r="K62" s="32"/>
      <c r="L62" s="32"/>
      <c r="M62" s="32"/>
      <c r="N62" s="32"/>
      <c r="P62" s="27" t="str">
        <f t="shared" ca="1" si="12"/>
        <v/>
      </c>
      <c r="Q62" s="27" t="e" cm="1">
        <f t="array" aca="1" ref="Q62" ca="1">IF(I62="",_xlfn.LET(
    _xlpm.vals,_xlfn._xlws.FILTER($J$4:J61,$J$4:J61&lt;&gt;"",""),
    _xlpm.avgJ,IF(COUNTA(_xlpm.vals)=0,0,AVERAGE(_xlfn.TAKE(_xlpm.vals,-MIN(7,ROWS(_xlpm.vals))))),
    _xlpm.addship,IF(P62="",0,P62),
    IF(
        AND(I61="",I62=""),
        Q61-_xlpm.avgJ+_xlpm.addship,
        IF(
            I62="",
            I61-_xlpm.avgJ+_xlpm.addship,
            ""
        )
    )
),I62)</f>
        <v>#NAME?</v>
      </c>
      <c r="R62" s="27" t="str">
        <f t="shared" ca="1" si="13"/>
        <v/>
      </c>
      <c r="S62" s="27" t="e" cm="1">
        <f t="array" aca="1" ref="S62" ca="1">IF(K62="",_xlfn.LET(
    _xlpm.vals,_xlfn._xlws.FILTER($L$4:L61,$L$4:L61&lt;&gt;"",""),
    _xlpm.avgJ,IF(COUNTA(_xlpm.vals)=0,0,AVERAGE(_xlfn.TAKE(_xlpm.vals,-MIN(7,ROWS(_xlpm.vals))))),
    _xlpm.addship,IF(R62="",0,R62),
    IF(
        AND(K61="",K62=""),
        S61-_xlpm.avgJ+_xlpm.addship,
        IF(
            K62="",
            K61-_xlpm.avgJ+_xlpm.addship,
            ""
        )
    )
),K62)</f>
        <v>#NAME?</v>
      </c>
      <c r="T62" s="27" t="str">
        <f t="shared" ca="1" si="2"/>
        <v/>
      </c>
      <c r="U62" s="27" t="e" cm="1">
        <f t="array" aca="1" ref="U62" ca="1">IF(M62="",_xlfn.LET(
    _xlpm.vals,_xlfn._xlws.FILTER($N$4:N61,$N$4:N61&lt;&gt;"",""),
    _xlpm.avgJ,IF(COUNTA(_xlpm.vals)=0,0,AVERAGE(_xlfn.TAKE(_xlpm.vals,-MIN(7,ROWS(_xlpm.vals))))),
    _xlpm.addship,IF(T62="",0,T62),
    IF(
        AND(M61="",M62=""),
        U61-_xlpm.avgJ+_xlpm.addship,
        IF(
            M62="",
            M61-_xlpm.avgJ+_xlpm.addship,
            ""
        )
    )
),M62)</f>
        <v>#NAME?</v>
      </c>
      <c r="V62" s="4" t="e">
        <f ca="1">IF(AND(Q62="",S62="",U62=""),"",
_xlfn.LET(
_xlpm.msgs,
_xlfn.TEXTJOIN(" | ",TRUE,
IF(Q62&gt;$C$20,"Petrol over capacity",""),
IF(Q62&lt;$C$21,"Petrol stock out",""),
IF(S62&gt;$D$20,"Diesel over capacity",""),
IF(S62&lt;$D$21,"Diesel stock out",""),
IF(U62&gt;$E$20,"Kero over capacity",""),
IF(U62&lt;$E$21,"Kero stock out","")),
IF(_xlpm.msgs="","",_xlpm.msgs)
))</f>
        <v>#NAME?</v>
      </c>
      <c r="AE62" s="51">
        <f t="shared" si="3"/>
        <v>47000</v>
      </c>
      <c r="AF62" s="51">
        <f t="shared" si="4"/>
        <v>1223106</v>
      </c>
      <c r="AG62" s="51">
        <f t="shared" si="5"/>
        <v>45000</v>
      </c>
      <c r="AH62" s="51">
        <f t="shared" si="6"/>
        <v>858361</v>
      </c>
      <c r="AI62" s="51">
        <f t="shared" si="7"/>
        <v>24500</v>
      </c>
      <c r="AJ62" s="51">
        <f t="shared" si="8"/>
        <v>589571</v>
      </c>
    </row>
    <row r="63" spans="8:36" ht="18" customHeight="1" x14ac:dyDescent="0.3">
      <c r="H63" s="37">
        <f t="shared" si="11"/>
        <v>46157</v>
      </c>
      <c r="I63" s="32"/>
      <c r="J63" s="32"/>
      <c r="K63" s="32"/>
      <c r="L63" s="32"/>
      <c r="M63" s="32"/>
      <c r="N63" s="32"/>
      <c r="P63" s="27" t="str">
        <f t="shared" ca="1" si="12"/>
        <v/>
      </c>
      <c r="Q63" s="27" t="e" cm="1">
        <f t="array" aca="1" ref="Q63" ca="1">IF(I63="",_xlfn.LET(
    _xlpm.vals,_xlfn._xlws.FILTER($J$4:J62,$J$4:J62&lt;&gt;"",""),
    _xlpm.avgJ,IF(COUNTA(_xlpm.vals)=0,0,AVERAGE(_xlfn.TAKE(_xlpm.vals,-MIN(7,ROWS(_xlpm.vals))))),
    _xlpm.addship,IF(P63="",0,P63),
    IF(
        AND(I62="",I63=""),
        Q62-_xlpm.avgJ+_xlpm.addship,
        IF(
            I63="",
            I62-_xlpm.avgJ+_xlpm.addship,
            ""
        )
    )
),I63)</f>
        <v>#NAME?</v>
      </c>
      <c r="R63" s="27" t="str">
        <f t="shared" ca="1" si="13"/>
        <v/>
      </c>
      <c r="S63" s="27" t="e" cm="1">
        <f t="array" aca="1" ref="S63" ca="1">IF(K63="",_xlfn.LET(
    _xlpm.vals,_xlfn._xlws.FILTER($L$4:L62,$L$4:L62&lt;&gt;"",""),
    _xlpm.avgJ,IF(COUNTA(_xlpm.vals)=0,0,AVERAGE(_xlfn.TAKE(_xlpm.vals,-MIN(7,ROWS(_xlpm.vals))))),
    _xlpm.addship,IF(R63="",0,R63),
    IF(
        AND(K62="",K63=""),
        S62-_xlpm.avgJ+_xlpm.addship,
        IF(
            K63="",
            K62-_xlpm.avgJ+_xlpm.addship,
            ""
        )
    )
),K63)</f>
        <v>#NAME?</v>
      </c>
      <c r="T63" s="27" t="str">
        <f t="shared" ca="1" si="2"/>
        <v/>
      </c>
      <c r="U63" s="27" t="e" cm="1">
        <f t="array" aca="1" ref="U63" ca="1">IF(M63="",_xlfn.LET(
    _xlpm.vals,_xlfn._xlws.FILTER($N$4:N62,$N$4:N62&lt;&gt;"",""),
    _xlpm.avgJ,IF(COUNTA(_xlpm.vals)=0,0,AVERAGE(_xlfn.TAKE(_xlpm.vals,-MIN(7,ROWS(_xlpm.vals))))),
    _xlpm.addship,IF(T63="",0,T63),
    IF(
        AND(M62="",M63=""),
        U62-_xlpm.avgJ+_xlpm.addship,
        IF(
            M63="",
            M62-_xlpm.avgJ+_xlpm.addship,
            ""
        )
    )
),M63)</f>
        <v>#NAME?</v>
      </c>
      <c r="V63" s="4" t="e">
        <f ca="1">IF(AND(Q63="",S63="",U63=""),"",
_xlfn.LET(
_xlpm.msgs,
_xlfn.TEXTJOIN(" | ",TRUE,
IF(Q63&gt;$C$20,"Petrol over capacity",""),
IF(Q63&lt;$C$21,"Petrol stock out",""),
IF(S63&gt;$D$20,"Diesel over capacity",""),
IF(S63&lt;$D$21,"Diesel stock out",""),
IF(U63&gt;$E$20,"Kero over capacity",""),
IF(U63&lt;$E$21,"Kero stock out","")),
IF(_xlpm.msgs="","",_xlpm.msgs)
))</f>
        <v>#NAME?</v>
      </c>
      <c r="AE63" s="51">
        <f t="shared" si="3"/>
        <v>47000</v>
      </c>
      <c r="AF63" s="51">
        <f t="shared" si="4"/>
        <v>1223106</v>
      </c>
      <c r="AG63" s="51">
        <f t="shared" si="5"/>
        <v>45000</v>
      </c>
      <c r="AH63" s="51">
        <f t="shared" si="6"/>
        <v>858361</v>
      </c>
      <c r="AI63" s="51">
        <f t="shared" si="7"/>
        <v>24500</v>
      </c>
      <c r="AJ63" s="51">
        <f t="shared" si="8"/>
        <v>589571</v>
      </c>
    </row>
    <row r="64" spans="8:36" ht="18" customHeight="1" x14ac:dyDescent="0.3">
      <c r="H64" s="37">
        <f t="shared" si="11"/>
        <v>46158</v>
      </c>
      <c r="I64" s="32"/>
      <c r="J64" s="32"/>
      <c r="K64" s="32"/>
      <c r="L64" s="32"/>
      <c r="M64" s="32"/>
      <c r="N64" s="32"/>
      <c r="P64" s="27" t="str">
        <f t="shared" ca="1" si="12"/>
        <v/>
      </c>
      <c r="Q64" s="27" t="e" cm="1">
        <f t="array" aca="1" ref="Q64" ca="1">IF(I64="",_xlfn.LET(
    _xlpm.vals,_xlfn._xlws.FILTER($J$4:J63,$J$4:J63&lt;&gt;"",""),
    _xlpm.avgJ,IF(COUNTA(_xlpm.vals)=0,0,AVERAGE(_xlfn.TAKE(_xlpm.vals,-MIN(7,ROWS(_xlpm.vals))))),
    _xlpm.addship,IF(P64="",0,P64),
    IF(
        AND(I63="",I64=""),
        Q63-_xlpm.avgJ+_xlpm.addship,
        IF(
            I64="",
            I63-_xlpm.avgJ+_xlpm.addship,
            ""
        )
    )
),I64)</f>
        <v>#NAME?</v>
      </c>
      <c r="R64" s="27" t="str">
        <f t="shared" ca="1" si="13"/>
        <v/>
      </c>
      <c r="S64" s="27" t="e" cm="1">
        <f t="array" aca="1" ref="S64" ca="1">IF(K64="",_xlfn.LET(
    _xlpm.vals,_xlfn._xlws.FILTER($L$4:L63,$L$4:L63&lt;&gt;"",""),
    _xlpm.avgJ,IF(COUNTA(_xlpm.vals)=0,0,AVERAGE(_xlfn.TAKE(_xlpm.vals,-MIN(7,ROWS(_xlpm.vals))))),
    _xlpm.addship,IF(R64="",0,R64),
    IF(
        AND(K63="",K64=""),
        S63-_xlpm.avgJ+_xlpm.addship,
        IF(
            K64="",
            K63-_xlpm.avgJ+_xlpm.addship,
            ""
        )
    )
),K64)</f>
        <v>#NAME?</v>
      </c>
      <c r="T64" s="27" t="str">
        <f t="shared" ca="1" si="2"/>
        <v/>
      </c>
      <c r="U64" s="27" t="e" cm="1">
        <f t="array" aca="1" ref="U64" ca="1">IF(M64="",_xlfn.LET(
    _xlpm.vals,_xlfn._xlws.FILTER($N$4:N63,$N$4:N63&lt;&gt;"",""),
    _xlpm.avgJ,IF(COUNTA(_xlpm.vals)=0,0,AVERAGE(_xlfn.TAKE(_xlpm.vals,-MIN(7,ROWS(_xlpm.vals))))),
    _xlpm.addship,IF(T64="",0,T64),
    IF(
        AND(M63="",M64=""),
        U63-_xlpm.avgJ+_xlpm.addship,
        IF(
            M64="",
            M63-_xlpm.avgJ+_xlpm.addship,
            ""
        )
    )
),M64)</f>
        <v>#NAME?</v>
      </c>
      <c r="V64" s="4" t="e">
        <f ca="1">IF(AND(Q64="",S64="",U64=""),"",
_xlfn.LET(
_xlpm.msgs,
_xlfn.TEXTJOIN(" | ",TRUE,
IF(Q64&gt;$C$20,"Petrol over capacity",""),
IF(Q64&lt;$C$21,"Petrol stock out",""),
IF(S64&gt;$D$20,"Diesel over capacity",""),
IF(S64&lt;$D$21,"Diesel stock out",""),
IF(U64&gt;$E$20,"Kero over capacity",""),
IF(U64&lt;$E$21,"Kero stock out","")),
IF(_xlpm.msgs="","",_xlpm.msgs)
))</f>
        <v>#NAME?</v>
      </c>
      <c r="AE64" s="51">
        <f t="shared" si="3"/>
        <v>47000</v>
      </c>
      <c r="AF64" s="51">
        <f t="shared" si="4"/>
        <v>1223106</v>
      </c>
      <c r="AG64" s="51">
        <f t="shared" si="5"/>
        <v>45000</v>
      </c>
      <c r="AH64" s="51">
        <f t="shared" si="6"/>
        <v>858361</v>
      </c>
      <c r="AI64" s="51">
        <f t="shared" si="7"/>
        <v>24500</v>
      </c>
      <c r="AJ64" s="51">
        <f t="shared" si="8"/>
        <v>589571</v>
      </c>
    </row>
    <row r="65" spans="8:36" ht="18" customHeight="1" x14ac:dyDescent="0.3">
      <c r="H65" s="37">
        <f t="shared" si="11"/>
        <v>46159</v>
      </c>
      <c r="I65" s="32"/>
      <c r="J65" s="32"/>
      <c r="K65" s="32"/>
      <c r="L65" s="32"/>
      <c r="M65" s="32"/>
      <c r="N65" s="32"/>
      <c r="P65" s="27" t="str">
        <f t="shared" ca="1" si="12"/>
        <v/>
      </c>
      <c r="Q65" s="27" t="e" cm="1">
        <f t="array" aca="1" ref="Q65" ca="1">IF(I65="",_xlfn.LET(
    _xlpm.vals,_xlfn._xlws.FILTER($J$4:J64,$J$4:J64&lt;&gt;"",""),
    _xlpm.avgJ,IF(COUNTA(_xlpm.vals)=0,0,AVERAGE(_xlfn.TAKE(_xlpm.vals,-MIN(7,ROWS(_xlpm.vals))))),
    _xlpm.addship,IF(P65="",0,P65),
    IF(
        AND(I64="",I65=""),
        Q64-_xlpm.avgJ+_xlpm.addship,
        IF(
            I65="",
            I64-_xlpm.avgJ+_xlpm.addship,
            ""
        )
    )
),I65)</f>
        <v>#NAME?</v>
      </c>
      <c r="R65" s="27" t="str">
        <f t="shared" ca="1" si="13"/>
        <v/>
      </c>
      <c r="S65" s="27" t="e" cm="1">
        <f t="array" aca="1" ref="S65" ca="1">IF(K65="",_xlfn.LET(
    _xlpm.vals,_xlfn._xlws.FILTER($L$4:L64,$L$4:L64&lt;&gt;"",""),
    _xlpm.avgJ,IF(COUNTA(_xlpm.vals)=0,0,AVERAGE(_xlfn.TAKE(_xlpm.vals,-MIN(7,ROWS(_xlpm.vals))))),
    _xlpm.addship,IF(R65="",0,R65),
    IF(
        AND(K64="",K65=""),
        S64-_xlpm.avgJ+_xlpm.addship,
        IF(
            K65="",
            K64-_xlpm.avgJ+_xlpm.addship,
            ""
        )
    )
),K65)</f>
        <v>#NAME?</v>
      </c>
      <c r="T65" s="27" t="str">
        <f t="shared" ca="1" si="2"/>
        <v/>
      </c>
      <c r="U65" s="27" t="e" cm="1">
        <f t="array" aca="1" ref="U65" ca="1">IF(M65="",_xlfn.LET(
    _xlpm.vals,_xlfn._xlws.FILTER($N$4:N64,$N$4:N64&lt;&gt;"",""),
    _xlpm.avgJ,IF(COUNTA(_xlpm.vals)=0,0,AVERAGE(_xlfn.TAKE(_xlpm.vals,-MIN(7,ROWS(_xlpm.vals))))),
    _xlpm.addship,IF(T65="",0,T65),
    IF(
        AND(M64="",M65=""),
        U64-_xlpm.avgJ+_xlpm.addship,
        IF(
            M65="",
            M64-_xlpm.avgJ+_xlpm.addship,
            ""
        )
    )
),M65)</f>
        <v>#NAME?</v>
      </c>
      <c r="V65" s="4" t="e">
        <f ca="1">IF(AND(Q65="",S65="",U65=""),"",
_xlfn.LET(
_xlpm.msgs,
_xlfn.TEXTJOIN(" | ",TRUE,
IF(Q65&gt;$C$20,"Petrol over capacity",""),
IF(Q65&lt;$C$21,"Petrol stock out",""),
IF(S65&gt;$D$20,"Diesel over capacity",""),
IF(S65&lt;$D$21,"Diesel stock out",""),
IF(U65&gt;$E$20,"Kero over capacity",""),
IF(U65&lt;$E$21,"Kero stock out","")),
IF(_xlpm.msgs="","",_xlpm.msgs)
))</f>
        <v>#NAME?</v>
      </c>
      <c r="AE65" s="51">
        <f t="shared" si="3"/>
        <v>47000</v>
      </c>
      <c r="AF65" s="51">
        <f t="shared" si="4"/>
        <v>1223106</v>
      </c>
      <c r="AG65" s="51">
        <f t="shared" si="5"/>
        <v>45000</v>
      </c>
      <c r="AH65" s="51">
        <f t="shared" si="6"/>
        <v>858361</v>
      </c>
      <c r="AI65" s="51">
        <f t="shared" si="7"/>
        <v>24500</v>
      </c>
      <c r="AJ65" s="51">
        <f t="shared" si="8"/>
        <v>589571</v>
      </c>
    </row>
    <row r="66" spans="8:36" ht="18" customHeight="1" x14ac:dyDescent="0.3">
      <c r="H66" s="37">
        <f t="shared" si="11"/>
        <v>46160</v>
      </c>
      <c r="I66" s="32"/>
      <c r="J66" s="32"/>
      <c r="K66" s="32"/>
      <c r="L66" s="32"/>
      <c r="M66" s="32"/>
      <c r="N66" s="32"/>
      <c r="P66" s="27" t="str">
        <f t="shared" ca="1" si="12"/>
        <v/>
      </c>
      <c r="Q66" s="27" t="e" cm="1">
        <f t="array" aca="1" ref="Q66" ca="1">IF(I66="",_xlfn.LET(
    _xlpm.vals,_xlfn._xlws.FILTER($J$4:J65,$J$4:J65&lt;&gt;"",""),
    _xlpm.avgJ,IF(COUNTA(_xlpm.vals)=0,0,AVERAGE(_xlfn.TAKE(_xlpm.vals,-MIN(7,ROWS(_xlpm.vals))))),
    _xlpm.addship,IF(P66="",0,P66),
    IF(
        AND(I65="",I66=""),
        Q65-_xlpm.avgJ+_xlpm.addship,
        IF(
            I66="",
            I65-_xlpm.avgJ+_xlpm.addship,
            ""
        )
    )
),I66)</f>
        <v>#NAME?</v>
      </c>
      <c r="R66" s="27" t="str">
        <f t="shared" ca="1" si="13"/>
        <v/>
      </c>
      <c r="S66" s="27" t="e" cm="1">
        <f t="array" aca="1" ref="S66" ca="1">IF(K66="",_xlfn.LET(
    _xlpm.vals,_xlfn._xlws.FILTER($L$4:L65,$L$4:L65&lt;&gt;"",""),
    _xlpm.avgJ,IF(COUNTA(_xlpm.vals)=0,0,AVERAGE(_xlfn.TAKE(_xlpm.vals,-MIN(7,ROWS(_xlpm.vals))))),
    _xlpm.addship,IF(R66="",0,R66),
    IF(
        AND(K65="",K66=""),
        S65-_xlpm.avgJ+_xlpm.addship,
        IF(
            K66="",
            K65-_xlpm.avgJ+_xlpm.addship,
            ""
        )
    )
),K66)</f>
        <v>#NAME?</v>
      </c>
      <c r="T66" s="27" t="str">
        <f t="shared" ca="1" si="2"/>
        <v/>
      </c>
      <c r="U66" s="27" t="e" cm="1">
        <f t="array" aca="1" ref="U66" ca="1">IF(M66="",_xlfn.LET(
    _xlpm.vals,_xlfn._xlws.FILTER($N$4:N65,$N$4:N65&lt;&gt;"",""),
    _xlpm.avgJ,IF(COUNTA(_xlpm.vals)=0,0,AVERAGE(_xlfn.TAKE(_xlpm.vals,-MIN(7,ROWS(_xlpm.vals))))),
    _xlpm.addship,IF(T66="",0,T66),
    IF(
        AND(M65="",M66=""),
        U65-_xlpm.avgJ+_xlpm.addship,
        IF(
            M66="",
            M65-_xlpm.avgJ+_xlpm.addship,
            ""
        )
    )
),M66)</f>
        <v>#NAME?</v>
      </c>
      <c r="V66" s="4" t="e">
        <f ca="1">IF(AND(Q66="",S66="",U66=""),"",
_xlfn.LET(
_xlpm.msgs,
_xlfn.TEXTJOIN(" | ",TRUE,
IF(Q66&gt;$C$20,"Petrol over capacity",""),
IF(Q66&lt;$C$21,"Petrol stock out",""),
IF(S66&gt;$D$20,"Diesel over capacity",""),
IF(S66&lt;$D$21,"Diesel stock out",""),
IF(U66&gt;$E$20,"Kero over capacity",""),
IF(U66&lt;$E$21,"Kero stock out","")),
IF(_xlpm.msgs="","",_xlpm.msgs)
))</f>
        <v>#NAME?</v>
      </c>
      <c r="AE66" s="51">
        <f t="shared" si="3"/>
        <v>47000</v>
      </c>
      <c r="AF66" s="51">
        <f t="shared" si="4"/>
        <v>1223106</v>
      </c>
      <c r="AG66" s="51">
        <f t="shared" si="5"/>
        <v>45000</v>
      </c>
      <c r="AH66" s="51">
        <f t="shared" si="6"/>
        <v>858361</v>
      </c>
      <c r="AI66" s="51">
        <f t="shared" si="7"/>
        <v>24500</v>
      </c>
      <c r="AJ66" s="51">
        <f t="shared" si="8"/>
        <v>589571</v>
      </c>
    </row>
    <row r="67" spans="8:36" ht="18" customHeight="1" x14ac:dyDescent="0.3">
      <c r="H67" s="37">
        <f t="shared" si="11"/>
        <v>46161</v>
      </c>
      <c r="I67" s="32"/>
      <c r="J67" s="32"/>
      <c r="K67" s="32"/>
      <c r="L67" s="32"/>
      <c r="M67" s="32"/>
      <c r="N67" s="32"/>
      <c r="P67" s="27" t="str">
        <f t="shared" ca="1" si="12"/>
        <v/>
      </c>
      <c r="Q67" s="27" t="e" cm="1">
        <f t="array" aca="1" ref="Q67" ca="1">IF(I67="",_xlfn.LET(
    _xlpm.vals,_xlfn._xlws.FILTER($J$4:J66,$J$4:J66&lt;&gt;"",""),
    _xlpm.avgJ,IF(COUNTA(_xlpm.vals)=0,0,AVERAGE(_xlfn.TAKE(_xlpm.vals,-MIN(7,ROWS(_xlpm.vals))))),
    _xlpm.addship,IF(P67="",0,P67),
    IF(
        AND(I66="",I67=""),
        Q66-_xlpm.avgJ+_xlpm.addship,
        IF(
            I67="",
            I66-_xlpm.avgJ+_xlpm.addship,
            ""
        )
    )
),I67)</f>
        <v>#NAME?</v>
      </c>
      <c r="R67" s="27" t="str">
        <f t="shared" ca="1" si="13"/>
        <v/>
      </c>
      <c r="S67" s="27" t="e" cm="1">
        <f t="array" aca="1" ref="S67" ca="1">IF(K67="",_xlfn.LET(
    _xlpm.vals,_xlfn._xlws.FILTER($L$4:L66,$L$4:L66&lt;&gt;"",""),
    _xlpm.avgJ,IF(COUNTA(_xlpm.vals)=0,0,AVERAGE(_xlfn.TAKE(_xlpm.vals,-MIN(7,ROWS(_xlpm.vals))))),
    _xlpm.addship,IF(R67="",0,R67),
    IF(
        AND(K66="",K67=""),
        S66-_xlpm.avgJ+_xlpm.addship,
        IF(
            K67="",
            K66-_xlpm.avgJ+_xlpm.addship,
            ""
        )
    )
),K67)</f>
        <v>#NAME?</v>
      </c>
      <c r="T67" s="27" t="str">
        <f t="shared" ca="1" si="2"/>
        <v/>
      </c>
      <c r="U67" s="27" t="e" cm="1">
        <f t="array" aca="1" ref="U67" ca="1">IF(M67="",_xlfn.LET(
    _xlpm.vals,_xlfn._xlws.FILTER($N$4:N66,$N$4:N66&lt;&gt;"",""),
    _xlpm.avgJ,IF(COUNTA(_xlpm.vals)=0,0,AVERAGE(_xlfn.TAKE(_xlpm.vals,-MIN(7,ROWS(_xlpm.vals))))),
    _xlpm.addship,IF(T67="",0,T67),
    IF(
        AND(M66="",M67=""),
        U66-_xlpm.avgJ+_xlpm.addship,
        IF(
            M67="",
            M66-_xlpm.avgJ+_xlpm.addship,
            ""
        )
    )
),M67)</f>
        <v>#NAME?</v>
      </c>
      <c r="V67" s="4" t="e">
        <f ca="1">IF(AND(Q67="",S67="",U67=""),"",
_xlfn.LET(
_xlpm.msgs,
_xlfn.TEXTJOIN(" | ",TRUE,
IF(Q67&gt;$C$20,"Petrol over capacity",""),
IF(Q67&lt;$C$21,"Petrol stock out",""),
IF(S67&gt;$D$20,"Diesel over capacity",""),
IF(S67&lt;$D$21,"Diesel stock out",""),
IF(U67&gt;$E$20,"Kero over capacity",""),
IF(U67&lt;$E$21,"Kero stock out","")),
IF(_xlpm.msgs="","",_xlpm.msgs)
))</f>
        <v>#NAME?</v>
      </c>
      <c r="AE67" s="51">
        <f t="shared" si="3"/>
        <v>47000</v>
      </c>
      <c r="AF67" s="51">
        <f t="shared" si="4"/>
        <v>1223106</v>
      </c>
      <c r="AG67" s="51">
        <f t="shared" si="5"/>
        <v>45000</v>
      </c>
      <c r="AH67" s="51">
        <f t="shared" si="6"/>
        <v>858361</v>
      </c>
      <c r="AI67" s="51">
        <f t="shared" si="7"/>
        <v>24500</v>
      </c>
      <c r="AJ67" s="51">
        <f t="shared" si="8"/>
        <v>589571</v>
      </c>
    </row>
    <row r="68" spans="8:36" ht="18" customHeight="1" x14ac:dyDescent="0.3">
      <c r="H68" s="37">
        <f t="shared" si="11"/>
        <v>46162</v>
      </c>
      <c r="I68" s="32"/>
      <c r="J68" s="32"/>
      <c r="K68" s="32"/>
      <c r="L68" s="32"/>
      <c r="M68" s="32"/>
      <c r="N68" s="32"/>
      <c r="P68" s="27" t="str">
        <f t="shared" ref="P68:P99" ca="1" si="14">IF(I68="",IFERROR(_xlfn.XLOOKUP(H68,$B$6:$B$10,$C$6:$C$10,""),""),"")</f>
        <v/>
      </c>
      <c r="Q68" s="27" t="e" cm="1">
        <f t="array" aca="1" ref="Q68" ca="1">IF(I68="",_xlfn.LET(
    _xlpm.vals,_xlfn._xlws.FILTER($J$4:J67,$J$4:J67&lt;&gt;"",""),
    _xlpm.avgJ,IF(COUNTA(_xlpm.vals)=0,0,AVERAGE(_xlfn.TAKE(_xlpm.vals,-MIN(7,ROWS(_xlpm.vals))))),
    _xlpm.addship,IF(P68="",0,P68),
    IF(
        AND(I67="",I68=""),
        Q67-_xlpm.avgJ+_xlpm.addship,
        IF(
            I68="",
            I67-_xlpm.avgJ+_xlpm.addship,
            ""
        )
    )
),I68)</f>
        <v>#NAME?</v>
      </c>
      <c r="R68" s="27" t="str">
        <f t="shared" ref="R68:R99" ca="1" si="15">IF(K68="",IFERROR(_xlfn.XLOOKUP(H68,$B$6:$B$10,$D$6:$D$10,""),""),"")</f>
        <v/>
      </c>
      <c r="S68" s="27" t="e" cm="1">
        <f t="array" aca="1" ref="S68" ca="1">IF(K68="",_xlfn.LET(
    _xlpm.vals,_xlfn._xlws.FILTER($L$4:L67,$L$4:L67&lt;&gt;"",""),
    _xlpm.avgJ,IF(COUNTA(_xlpm.vals)=0,0,AVERAGE(_xlfn.TAKE(_xlpm.vals,-MIN(7,ROWS(_xlpm.vals))))),
    _xlpm.addship,IF(R68="",0,R68),
    IF(
        AND(K67="",K68=""),
        S67-_xlpm.avgJ+_xlpm.addship,
        IF(
            K68="",
            K67-_xlpm.avgJ+_xlpm.addship,
            ""
        )
    )
),K68)</f>
        <v>#NAME?</v>
      </c>
      <c r="T68" s="27" t="str">
        <f t="shared" ca="1" si="2"/>
        <v/>
      </c>
      <c r="U68" s="27" t="e" cm="1">
        <f t="array" aca="1" ref="U68" ca="1">IF(M68="",_xlfn.LET(
    _xlpm.vals,_xlfn._xlws.FILTER($N$4:N67,$N$4:N67&lt;&gt;"",""),
    _xlpm.avgJ,IF(COUNTA(_xlpm.vals)=0,0,AVERAGE(_xlfn.TAKE(_xlpm.vals,-MIN(7,ROWS(_xlpm.vals))))),
    _xlpm.addship,IF(T68="",0,T68),
    IF(
        AND(M67="",M68=""),
        U67-_xlpm.avgJ+_xlpm.addship,
        IF(
            M68="",
            M67-_xlpm.avgJ+_xlpm.addship,
            ""
        )
    )
),M68)</f>
        <v>#NAME?</v>
      </c>
      <c r="V68" s="4" t="e">
        <f ca="1">IF(AND(Q68="",S68="",U68=""),"",
_xlfn.LET(
_xlpm.msgs,
_xlfn.TEXTJOIN(" | ",TRUE,
IF(Q68&gt;$C$20,"Petrol over capacity",""),
IF(Q68&lt;$C$21,"Petrol stock out",""),
IF(S68&gt;$D$20,"Diesel over capacity",""),
IF(S68&lt;$D$21,"Diesel stock out",""),
IF(U68&gt;$E$20,"Kero over capacity",""),
IF(U68&lt;$E$21,"Kero stock out","")),
IF(_xlpm.msgs="","",_xlpm.msgs)
))</f>
        <v>#NAME?</v>
      </c>
      <c r="AE68" s="51">
        <f t="shared" si="3"/>
        <v>47000</v>
      </c>
      <c r="AF68" s="51">
        <f t="shared" si="4"/>
        <v>1223106</v>
      </c>
      <c r="AG68" s="51">
        <f t="shared" si="5"/>
        <v>45000</v>
      </c>
      <c r="AH68" s="51">
        <f t="shared" si="6"/>
        <v>858361</v>
      </c>
      <c r="AI68" s="51">
        <f t="shared" si="7"/>
        <v>24500</v>
      </c>
      <c r="AJ68" s="51">
        <f t="shared" si="8"/>
        <v>589571</v>
      </c>
    </row>
    <row r="69" spans="8:36" ht="18" customHeight="1" x14ac:dyDescent="0.3">
      <c r="H69" s="37">
        <f t="shared" si="11"/>
        <v>46163</v>
      </c>
      <c r="I69" s="32"/>
      <c r="J69" s="32"/>
      <c r="K69" s="32"/>
      <c r="L69" s="32"/>
      <c r="M69" s="32"/>
      <c r="N69" s="32"/>
      <c r="P69" s="27" t="str">
        <f t="shared" ca="1" si="14"/>
        <v/>
      </c>
      <c r="Q69" s="27" t="e" cm="1">
        <f t="array" aca="1" ref="Q69" ca="1">IF(I69="",_xlfn.LET(
    _xlpm.vals,_xlfn._xlws.FILTER($J$4:J68,$J$4:J68&lt;&gt;"",""),
    _xlpm.avgJ,IF(COUNTA(_xlpm.vals)=0,0,AVERAGE(_xlfn.TAKE(_xlpm.vals,-MIN(7,ROWS(_xlpm.vals))))),
    _xlpm.addship,IF(P69="",0,P69),
    IF(
        AND(I68="",I69=""),
        Q68-_xlpm.avgJ+_xlpm.addship,
        IF(
            I69="",
            I68-_xlpm.avgJ+_xlpm.addship,
            ""
        )
    )
),I69)</f>
        <v>#NAME?</v>
      </c>
      <c r="R69" s="27" t="str">
        <f t="shared" ca="1" si="15"/>
        <v/>
      </c>
      <c r="S69" s="27" t="e" cm="1">
        <f t="array" aca="1" ref="S69" ca="1">IF(K69="",_xlfn.LET(
    _xlpm.vals,_xlfn._xlws.FILTER($L$4:L68,$L$4:L68&lt;&gt;"",""),
    _xlpm.avgJ,IF(COUNTA(_xlpm.vals)=0,0,AVERAGE(_xlfn.TAKE(_xlpm.vals,-MIN(7,ROWS(_xlpm.vals))))),
    _xlpm.addship,IF(R69="",0,R69),
    IF(
        AND(K68="",K69=""),
        S68-_xlpm.avgJ+_xlpm.addship,
        IF(
            K69="",
            K68-_xlpm.avgJ+_xlpm.addship,
            ""
        )
    )
),K69)</f>
        <v>#NAME?</v>
      </c>
      <c r="T69" s="27" t="str">
        <f t="shared" ref="T69:T109" ca="1" si="16">IF(M69="",IFERROR(_xlfn.XLOOKUP(H69,$B$6:$B$10,$E$6:$E$10,""),""),"")</f>
        <v/>
      </c>
      <c r="U69" s="27" t="e" cm="1">
        <f t="array" aca="1" ref="U69" ca="1">IF(M69="",_xlfn.LET(
    _xlpm.vals,_xlfn._xlws.FILTER($N$4:N68,$N$4:N68&lt;&gt;"",""),
    _xlpm.avgJ,IF(COUNTA(_xlpm.vals)=0,0,AVERAGE(_xlfn.TAKE(_xlpm.vals,-MIN(7,ROWS(_xlpm.vals))))),
    _xlpm.addship,IF(T69="",0,T69),
    IF(
        AND(M68="",M69=""),
        U68-_xlpm.avgJ+_xlpm.addship,
        IF(
            M69="",
            M68-_xlpm.avgJ+_xlpm.addship,
            ""
        )
    )
),M69)</f>
        <v>#NAME?</v>
      </c>
      <c r="V69" s="4" t="e">
        <f ca="1">IF(AND(Q69="",S69="",U69=""),"",
_xlfn.LET(
_xlpm.msgs,
_xlfn.TEXTJOIN(" | ",TRUE,
IF(Q69&gt;$C$20,"Petrol over capacity",""),
IF(Q69&lt;$C$21,"Petrol stock out",""),
IF(S69&gt;$D$20,"Diesel over capacity",""),
IF(S69&lt;$D$21,"Diesel stock out",""),
IF(U69&gt;$E$20,"Kero over capacity",""),
IF(U69&lt;$E$21,"Kero stock out","")),
IF(_xlpm.msgs="","",_xlpm.msgs)
))</f>
        <v>#NAME?</v>
      </c>
      <c r="AE69" s="51">
        <f t="shared" ref="AE69:AE109" si="17">$C$21</f>
        <v>47000</v>
      </c>
      <c r="AF69" s="51">
        <f t="shared" ref="AF69:AF109" si="18">$C$20</f>
        <v>1223106</v>
      </c>
      <c r="AG69" s="51">
        <f t="shared" ref="AG69:AG109" si="19">$D$21</f>
        <v>45000</v>
      </c>
      <c r="AH69" s="51">
        <f t="shared" ref="AH69:AH109" si="20">$D$20</f>
        <v>858361</v>
      </c>
      <c r="AI69" s="51">
        <f t="shared" ref="AI69:AI109" si="21">$E$21</f>
        <v>24500</v>
      </c>
      <c r="AJ69" s="51">
        <f t="shared" ref="AJ69:AJ109" si="22">$E$20</f>
        <v>589571</v>
      </c>
    </row>
    <row r="70" spans="8:36" ht="18" customHeight="1" x14ac:dyDescent="0.3">
      <c r="H70" s="37">
        <f t="shared" si="11"/>
        <v>46164</v>
      </c>
      <c r="I70" s="32"/>
      <c r="J70" s="32"/>
      <c r="K70" s="32"/>
      <c r="L70" s="32"/>
      <c r="M70" s="32"/>
      <c r="N70" s="32"/>
      <c r="P70" s="27" t="str">
        <f t="shared" ca="1" si="14"/>
        <v/>
      </c>
      <c r="Q70" s="27" t="e" cm="1">
        <f t="array" aca="1" ref="Q70" ca="1">IF(I70="",_xlfn.LET(
    _xlpm.vals,_xlfn._xlws.FILTER($J$4:J69,$J$4:J69&lt;&gt;"",""),
    _xlpm.avgJ,IF(COUNTA(_xlpm.vals)=0,0,AVERAGE(_xlfn.TAKE(_xlpm.vals,-MIN(7,ROWS(_xlpm.vals))))),
    _xlpm.addship,IF(P70="",0,P70),
    IF(
        AND(I69="",I70=""),
        Q69-_xlpm.avgJ+_xlpm.addship,
        IF(
            I70="",
            I69-_xlpm.avgJ+_xlpm.addship,
            ""
        )
    )
),I70)</f>
        <v>#NAME?</v>
      </c>
      <c r="R70" s="27" t="str">
        <f t="shared" ca="1" si="15"/>
        <v/>
      </c>
      <c r="S70" s="27" t="e" cm="1">
        <f t="array" aca="1" ref="S70" ca="1">IF(K70="",_xlfn.LET(
    _xlpm.vals,_xlfn._xlws.FILTER($L$4:L69,$L$4:L69&lt;&gt;"",""),
    _xlpm.avgJ,IF(COUNTA(_xlpm.vals)=0,0,AVERAGE(_xlfn.TAKE(_xlpm.vals,-MIN(7,ROWS(_xlpm.vals))))),
    _xlpm.addship,IF(R70="",0,R70),
    IF(
        AND(K69="",K70=""),
        S69-_xlpm.avgJ+_xlpm.addship,
        IF(
            K70="",
            K69-_xlpm.avgJ+_xlpm.addship,
            ""
        )
    )
),K70)</f>
        <v>#NAME?</v>
      </c>
      <c r="T70" s="27" t="str">
        <f t="shared" ca="1" si="16"/>
        <v/>
      </c>
      <c r="U70" s="27" t="e" cm="1">
        <f t="array" aca="1" ref="U70" ca="1">IF(M70="",_xlfn.LET(
    _xlpm.vals,_xlfn._xlws.FILTER($N$4:N69,$N$4:N69&lt;&gt;"",""),
    _xlpm.avgJ,IF(COUNTA(_xlpm.vals)=0,0,AVERAGE(_xlfn.TAKE(_xlpm.vals,-MIN(7,ROWS(_xlpm.vals))))),
    _xlpm.addship,IF(T70="",0,T70),
    IF(
        AND(M69="",M70=""),
        U69-_xlpm.avgJ+_xlpm.addship,
        IF(
            M70="",
            M69-_xlpm.avgJ+_xlpm.addship,
            ""
        )
    )
),M70)</f>
        <v>#NAME?</v>
      </c>
      <c r="V70" s="4" t="e">
        <f ca="1">IF(AND(Q70="",S70="",U70=""),"",
_xlfn.LET(
_xlpm.msgs,
_xlfn.TEXTJOIN(" | ",TRUE,
IF(Q70&gt;$C$20,"Petrol over capacity",""),
IF(Q70&lt;$C$21,"Petrol stock out",""),
IF(S70&gt;$D$20,"Diesel over capacity",""),
IF(S70&lt;$D$21,"Diesel stock out",""),
IF(U70&gt;$E$20,"Kero over capacity",""),
IF(U70&lt;$E$21,"Kero stock out","")),
IF(_xlpm.msgs="","",_xlpm.msgs)
))</f>
        <v>#NAME?</v>
      </c>
      <c r="AE70" s="51">
        <f t="shared" si="17"/>
        <v>47000</v>
      </c>
      <c r="AF70" s="51">
        <f t="shared" si="18"/>
        <v>1223106</v>
      </c>
      <c r="AG70" s="51">
        <f t="shared" si="19"/>
        <v>45000</v>
      </c>
      <c r="AH70" s="51">
        <f t="shared" si="20"/>
        <v>858361</v>
      </c>
      <c r="AI70" s="51">
        <f t="shared" si="21"/>
        <v>24500</v>
      </c>
      <c r="AJ70" s="51">
        <f t="shared" si="22"/>
        <v>589571</v>
      </c>
    </row>
    <row r="71" spans="8:36" ht="18" customHeight="1" x14ac:dyDescent="0.3">
      <c r="H71" s="37">
        <f t="shared" si="11"/>
        <v>46165</v>
      </c>
      <c r="I71" s="32"/>
      <c r="J71" s="32"/>
      <c r="K71" s="32"/>
      <c r="L71" s="32"/>
      <c r="M71" s="32"/>
      <c r="N71" s="32"/>
      <c r="P71" s="27" t="str">
        <f t="shared" ca="1" si="14"/>
        <v/>
      </c>
      <c r="Q71" s="27" t="e" cm="1">
        <f t="array" aca="1" ref="Q71" ca="1">IF(I71="",_xlfn.LET(
    _xlpm.vals,_xlfn._xlws.FILTER($J$4:J70,$J$4:J70&lt;&gt;"",""),
    _xlpm.avgJ,IF(COUNTA(_xlpm.vals)=0,0,AVERAGE(_xlfn.TAKE(_xlpm.vals,-MIN(7,ROWS(_xlpm.vals))))),
    _xlpm.addship,IF(P71="",0,P71),
    IF(
        AND(I70="",I71=""),
        Q70-_xlpm.avgJ+_xlpm.addship,
        IF(
            I71="",
            I70-_xlpm.avgJ+_xlpm.addship,
            ""
        )
    )
),I71)</f>
        <v>#NAME?</v>
      </c>
      <c r="R71" s="27" t="str">
        <f t="shared" ca="1" si="15"/>
        <v/>
      </c>
      <c r="S71" s="27" t="e" cm="1">
        <f t="array" aca="1" ref="S71" ca="1">IF(K71="",_xlfn.LET(
    _xlpm.vals,_xlfn._xlws.FILTER($L$4:L70,$L$4:L70&lt;&gt;"",""),
    _xlpm.avgJ,IF(COUNTA(_xlpm.vals)=0,0,AVERAGE(_xlfn.TAKE(_xlpm.vals,-MIN(7,ROWS(_xlpm.vals))))),
    _xlpm.addship,IF(R71="",0,R71),
    IF(
        AND(K70="",K71=""),
        S70-_xlpm.avgJ+_xlpm.addship,
        IF(
            K71="",
            K70-_xlpm.avgJ+_xlpm.addship,
            ""
        )
    )
),K71)</f>
        <v>#NAME?</v>
      </c>
      <c r="T71" s="27" t="str">
        <f t="shared" ca="1" si="16"/>
        <v/>
      </c>
      <c r="U71" s="27" t="e" cm="1">
        <f t="array" aca="1" ref="U71" ca="1">IF(M71="",_xlfn.LET(
    _xlpm.vals,_xlfn._xlws.FILTER($N$4:N70,$N$4:N70&lt;&gt;"",""),
    _xlpm.avgJ,IF(COUNTA(_xlpm.vals)=0,0,AVERAGE(_xlfn.TAKE(_xlpm.vals,-MIN(7,ROWS(_xlpm.vals))))),
    _xlpm.addship,IF(T71="",0,T71),
    IF(
        AND(M70="",M71=""),
        U70-_xlpm.avgJ+_xlpm.addship,
        IF(
            M71="",
            M70-_xlpm.avgJ+_xlpm.addship,
            ""
        )
    )
),M71)</f>
        <v>#NAME?</v>
      </c>
      <c r="V71" s="4" t="e">
        <f ca="1">IF(AND(Q71="",S71="",U71=""),"",
_xlfn.LET(
_xlpm.msgs,
_xlfn.TEXTJOIN(" | ",TRUE,
IF(Q71&gt;$C$20,"Petrol over capacity",""),
IF(Q71&lt;$C$21,"Petrol stock out",""),
IF(S71&gt;$D$20,"Diesel over capacity",""),
IF(S71&lt;$D$21,"Diesel stock out",""),
IF(U71&gt;$E$20,"Kero over capacity",""),
IF(U71&lt;$E$21,"Kero stock out","")),
IF(_xlpm.msgs="","",_xlpm.msgs)
))</f>
        <v>#NAME?</v>
      </c>
      <c r="AE71" s="51">
        <f t="shared" si="17"/>
        <v>47000</v>
      </c>
      <c r="AF71" s="51">
        <f t="shared" si="18"/>
        <v>1223106</v>
      </c>
      <c r="AG71" s="51">
        <f t="shared" si="19"/>
        <v>45000</v>
      </c>
      <c r="AH71" s="51">
        <f t="shared" si="20"/>
        <v>858361</v>
      </c>
      <c r="AI71" s="51">
        <f t="shared" si="21"/>
        <v>24500</v>
      </c>
      <c r="AJ71" s="51">
        <f t="shared" si="22"/>
        <v>589571</v>
      </c>
    </row>
    <row r="72" spans="8:36" ht="18" customHeight="1" x14ac:dyDescent="0.3">
      <c r="H72" s="37">
        <f t="shared" si="11"/>
        <v>46166</v>
      </c>
      <c r="I72" s="32"/>
      <c r="J72" s="32"/>
      <c r="K72" s="32"/>
      <c r="L72" s="32"/>
      <c r="M72" s="32"/>
      <c r="N72" s="32"/>
      <c r="P72" s="27" t="str">
        <f t="shared" ca="1" si="14"/>
        <v/>
      </c>
      <c r="Q72" s="27" t="e" cm="1">
        <f t="array" aca="1" ref="Q72" ca="1">IF(I72="",_xlfn.LET(
    _xlpm.vals,_xlfn._xlws.FILTER($J$4:J71,$J$4:J71&lt;&gt;"",""),
    _xlpm.avgJ,IF(COUNTA(_xlpm.vals)=0,0,AVERAGE(_xlfn.TAKE(_xlpm.vals,-MIN(7,ROWS(_xlpm.vals))))),
    _xlpm.addship,IF(P72="",0,P72),
    IF(
        AND(I71="",I72=""),
        Q71-_xlpm.avgJ+_xlpm.addship,
        IF(
            I72="",
            I71-_xlpm.avgJ+_xlpm.addship,
            ""
        )
    )
),I72)</f>
        <v>#NAME?</v>
      </c>
      <c r="R72" s="27" t="str">
        <f t="shared" ca="1" si="15"/>
        <v/>
      </c>
      <c r="S72" s="27" t="e" cm="1">
        <f t="array" aca="1" ref="S72" ca="1">IF(K72="",_xlfn.LET(
    _xlpm.vals,_xlfn._xlws.FILTER($L$4:L71,$L$4:L71&lt;&gt;"",""),
    _xlpm.avgJ,IF(COUNTA(_xlpm.vals)=0,0,AVERAGE(_xlfn.TAKE(_xlpm.vals,-MIN(7,ROWS(_xlpm.vals))))),
    _xlpm.addship,IF(R72="",0,R72),
    IF(
        AND(K71="",K72=""),
        S71-_xlpm.avgJ+_xlpm.addship,
        IF(
            K72="",
            K71-_xlpm.avgJ+_xlpm.addship,
            ""
        )
    )
),K72)</f>
        <v>#NAME?</v>
      </c>
      <c r="T72" s="27" t="str">
        <f t="shared" ca="1" si="16"/>
        <v/>
      </c>
      <c r="U72" s="27" t="e" cm="1">
        <f t="array" aca="1" ref="U72" ca="1">IF(M72="",_xlfn.LET(
    _xlpm.vals,_xlfn._xlws.FILTER($N$4:N71,$N$4:N71&lt;&gt;"",""),
    _xlpm.avgJ,IF(COUNTA(_xlpm.vals)=0,0,AVERAGE(_xlfn.TAKE(_xlpm.vals,-MIN(7,ROWS(_xlpm.vals))))),
    _xlpm.addship,IF(T72="",0,T72),
    IF(
        AND(M71="",M72=""),
        U71-_xlpm.avgJ+_xlpm.addship,
        IF(
            M72="",
            M71-_xlpm.avgJ+_xlpm.addship,
            ""
        )
    )
),M72)</f>
        <v>#NAME?</v>
      </c>
      <c r="V72" s="4" t="e">
        <f ca="1">IF(AND(Q72="",S72="",U72=""),"",
_xlfn.LET(
_xlpm.msgs,
_xlfn.TEXTJOIN(" | ",TRUE,
IF(Q72&gt;$C$20,"Petrol over capacity",""),
IF(Q72&lt;$C$21,"Petrol stock out",""),
IF(S72&gt;$D$20,"Diesel over capacity",""),
IF(S72&lt;$D$21,"Diesel stock out",""),
IF(U72&gt;$E$20,"Kero over capacity",""),
IF(U72&lt;$E$21,"Kero stock out","")),
IF(_xlpm.msgs="","",_xlpm.msgs)
))</f>
        <v>#NAME?</v>
      </c>
      <c r="AE72" s="51">
        <f t="shared" si="17"/>
        <v>47000</v>
      </c>
      <c r="AF72" s="51">
        <f t="shared" si="18"/>
        <v>1223106</v>
      </c>
      <c r="AG72" s="51">
        <f t="shared" si="19"/>
        <v>45000</v>
      </c>
      <c r="AH72" s="51">
        <f t="shared" si="20"/>
        <v>858361</v>
      </c>
      <c r="AI72" s="51">
        <f t="shared" si="21"/>
        <v>24500</v>
      </c>
      <c r="AJ72" s="51">
        <f t="shared" si="22"/>
        <v>589571</v>
      </c>
    </row>
    <row r="73" spans="8:36" ht="18" customHeight="1" x14ac:dyDescent="0.3">
      <c r="H73" s="37">
        <f t="shared" si="11"/>
        <v>46167</v>
      </c>
      <c r="I73" s="32"/>
      <c r="J73" s="32"/>
      <c r="K73" s="32"/>
      <c r="L73" s="32"/>
      <c r="M73" s="32"/>
      <c r="N73" s="32"/>
      <c r="P73" s="27" t="str">
        <f t="shared" ca="1" si="14"/>
        <v/>
      </c>
      <c r="Q73" s="27" t="e" cm="1">
        <f t="array" aca="1" ref="Q73" ca="1">IF(I73="",_xlfn.LET(
    _xlpm.vals,_xlfn._xlws.FILTER($J$4:J72,$J$4:J72&lt;&gt;"",""),
    _xlpm.avgJ,IF(COUNTA(_xlpm.vals)=0,0,AVERAGE(_xlfn.TAKE(_xlpm.vals,-MIN(7,ROWS(_xlpm.vals))))),
    _xlpm.addship,IF(P73="",0,P73),
    IF(
        AND(I72="",I73=""),
        Q72-_xlpm.avgJ+_xlpm.addship,
        IF(
            I73="",
            I72-_xlpm.avgJ+_xlpm.addship,
            ""
        )
    )
),I73)</f>
        <v>#NAME?</v>
      </c>
      <c r="R73" s="27" t="str">
        <f t="shared" ca="1" si="15"/>
        <v/>
      </c>
      <c r="S73" s="27" t="e" cm="1">
        <f t="array" aca="1" ref="S73" ca="1">IF(K73="",_xlfn.LET(
    _xlpm.vals,_xlfn._xlws.FILTER($L$4:L72,$L$4:L72&lt;&gt;"",""),
    _xlpm.avgJ,IF(COUNTA(_xlpm.vals)=0,0,AVERAGE(_xlfn.TAKE(_xlpm.vals,-MIN(7,ROWS(_xlpm.vals))))),
    _xlpm.addship,IF(R73="",0,R73),
    IF(
        AND(K72="",K73=""),
        S72-_xlpm.avgJ+_xlpm.addship,
        IF(
            K73="",
            K72-_xlpm.avgJ+_xlpm.addship,
            ""
        )
    )
),K73)</f>
        <v>#NAME?</v>
      </c>
      <c r="T73" s="27" t="str">
        <f t="shared" ca="1" si="16"/>
        <v/>
      </c>
      <c r="U73" s="27" t="e" cm="1">
        <f t="array" aca="1" ref="U73" ca="1">IF(M73="",_xlfn.LET(
    _xlpm.vals,_xlfn._xlws.FILTER($N$4:N72,$N$4:N72&lt;&gt;"",""),
    _xlpm.avgJ,IF(COUNTA(_xlpm.vals)=0,0,AVERAGE(_xlfn.TAKE(_xlpm.vals,-MIN(7,ROWS(_xlpm.vals))))),
    _xlpm.addship,IF(T73="",0,T73),
    IF(
        AND(M72="",M73=""),
        U72-_xlpm.avgJ+_xlpm.addship,
        IF(
            M73="",
            M72-_xlpm.avgJ+_xlpm.addship,
            ""
        )
    )
),M73)</f>
        <v>#NAME?</v>
      </c>
      <c r="V73" s="4" t="e">
        <f ca="1">IF(AND(Q73="",S73="",U73=""),"",
_xlfn.LET(
_xlpm.msgs,
_xlfn.TEXTJOIN(" | ",TRUE,
IF(Q73&gt;$C$20,"Petrol over capacity",""),
IF(Q73&lt;$C$21,"Petrol stock out",""),
IF(S73&gt;$D$20,"Diesel over capacity",""),
IF(S73&lt;$D$21,"Diesel stock out",""),
IF(U73&gt;$E$20,"Kero over capacity",""),
IF(U73&lt;$E$21,"Kero stock out","")),
IF(_xlpm.msgs="","",_xlpm.msgs)
))</f>
        <v>#NAME?</v>
      </c>
      <c r="AE73" s="51">
        <f t="shared" si="17"/>
        <v>47000</v>
      </c>
      <c r="AF73" s="51">
        <f t="shared" si="18"/>
        <v>1223106</v>
      </c>
      <c r="AG73" s="51">
        <f t="shared" si="19"/>
        <v>45000</v>
      </c>
      <c r="AH73" s="51">
        <f t="shared" si="20"/>
        <v>858361</v>
      </c>
      <c r="AI73" s="51">
        <f t="shared" si="21"/>
        <v>24500</v>
      </c>
      <c r="AJ73" s="51">
        <f t="shared" si="22"/>
        <v>589571</v>
      </c>
    </row>
    <row r="74" spans="8:36" ht="18" customHeight="1" x14ac:dyDescent="0.3">
      <c r="H74" s="37">
        <f t="shared" si="11"/>
        <v>46168</v>
      </c>
      <c r="I74" s="32"/>
      <c r="J74" s="32"/>
      <c r="K74" s="32"/>
      <c r="L74" s="32"/>
      <c r="M74" s="32"/>
      <c r="N74" s="32"/>
      <c r="P74" s="27" t="str">
        <f t="shared" ca="1" si="14"/>
        <v/>
      </c>
      <c r="Q74" s="27" t="e" cm="1">
        <f t="array" aca="1" ref="Q74" ca="1">IF(I74="",_xlfn.LET(
    _xlpm.vals,_xlfn._xlws.FILTER($J$4:J73,$J$4:J73&lt;&gt;"",""),
    _xlpm.avgJ,IF(COUNTA(_xlpm.vals)=0,0,AVERAGE(_xlfn.TAKE(_xlpm.vals,-MIN(7,ROWS(_xlpm.vals))))),
    _xlpm.addship,IF(P74="",0,P74),
    IF(
        AND(I73="",I74=""),
        Q73-_xlpm.avgJ+_xlpm.addship,
        IF(
            I74="",
            I73-_xlpm.avgJ+_xlpm.addship,
            ""
        )
    )
),I74)</f>
        <v>#NAME?</v>
      </c>
      <c r="R74" s="27" t="str">
        <f t="shared" ca="1" si="15"/>
        <v/>
      </c>
      <c r="S74" s="27" t="e" cm="1">
        <f t="array" aca="1" ref="S74" ca="1">IF(K74="",_xlfn.LET(
    _xlpm.vals,_xlfn._xlws.FILTER($L$4:L73,$L$4:L73&lt;&gt;"",""),
    _xlpm.avgJ,IF(COUNTA(_xlpm.vals)=0,0,AVERAGE(_xlfn.TAKE(_xlpm.vals,-MIN(7,ROWS(_xlpm.vals))))),
    _xlpm.addship,IF(R74="",0,R74),
    IF(
        AND(K73="",K74=""),
        S73-_xlpm.avgJ+_xlpm.addship,
        IF(
            K74="",
            K73-_xlpm.avgJ+_xlpm.addship,
            ""
        )
    )
),K74)</f>
        <v>#NAME?</v>
      </c>
      <c r="T74" s="27" t="str">
        <f t="shared" ca="1" si="16"/>
        <v/>
      </c>
      <c r="U74" s="27" t="e" cm="1">
        <f t="array" aca="1" ref="U74" ca="1">IF(M74="",_xlfn.LET(
    _xlpm.vals,_xlfn._xlws.FILTER($N$4:N73,$N$4:N73&lt;&gt;"",""),
    _xlpm.avgJ,IF(COUNTA(_xlpm.vals)=0,0,AVERAGE(_xlfn.TAKE(_xlpm.vals,-MIN(7,ROWS(_xlpm.vals))))),
    _xlpm.addship,IF(T74="",0,T74),
    IF(
        AND(M73="",M74=""),
        U73-_xlpm.avgJ+_xlpm.addship,
        IF(
            M74="",
            M73-_xlpm.avgJ+_xlpm.addship,
            ""
        )
    )
),M74)</f>
        <v>#NAME?</v>
      </c>
      <c r="V74" s="4" t="e">
        <f ca="1">IF(AND(Q74="",S74="",U74=""),"",
_xlfn.LET(
_xlpm.msgs,
_xlfn.TEXTJOIN(" | ",TRUE,
IF(Q74&gt;$C$20,"Petrol over capacity",""),
IF(Q74&lt;$C$21,"Petrol stock out",""),
IF(S74&gt;$D$20,"Diesel over capacity",""),
IF(S74&lt;$D$21,"Diesel stock out",""),
IF(U74&gt;$E$20,"Kero over capacity",""),
IF(U74&lt;$E$21,"Kero stock out","")),
IF(_xlpm.msgs="","",_xlpm.msgs)
))</f>
        <v>#NAME?</v>
      </c>
      <c r="AE74" s="51">
        <f t="shared" si="17"/>
        <v>47000</v>
      </c>
      <c r="AF74" s="51">
        <f t="shared" si="18"/>
        <v>1223106</v>
      </c>
      <c r="AG74" s="51">
        <f t="shared" si="19"/>
        <v>45000</v>
      </c>
      <c r="AH74" s="51">
        <f t="shared" si="20"/>
        <v>858361</v>
      </c>
      <c r="AI74" s="51">
        <f t="shared" si="21"/>
        <v>24500</v>
      </c>
      <c r="AJ74" s="51">
        <f t="shared" si="22"/>
        <v>589571</v>
      </c>
    </row>
    <row r="75" spans="8:36" ht="18" customHeight="1" x14ac:dyDescent="0.3">
      <c r="H75" s="37">
        <f t="shared" si="11"/>
        <v>46169</v>
      </c>
      <c r="I75" s="32"/>
      <c r="J75" s="32"/>
      <c r="K75" s="32"/>
      <c r="L75" s="32"/>
      <c r="M75" s="32"/>
      <c r="N75" s="32"/>
      <c r="P75" s="27" t="str">
        <f t="shared" ca="1" si="14"/>
        <v/>
      </c>
      <c r="Q75" s="27" t="e" cm="1">
        <f t="array" aca="1" ref="Q75" ca="1">IF(I75="",_xlfn.LET(
    _xlpm.vals,_xlfn._xlws.FILTER($J$4:J74,$J$4:J74&lt;&gt;"",""),
    _xlpm.avgJ,IF(COUNTA(_xlpm.vals)=0,0,AVERAGE(_xlfn.TAKE(_xlpm.vals,-MIN(7,ROWS(_xlpm.vals))))),
    _xlpm.addship,IF(P75="",0,P75),
    IF(
        AND(I74="",I75=""),
        Q74-_xlpm.avgJ+_xlpm.addship,
        IF(
            I75="",
            I74-_xlpm.avgJ+_xlpm.addship,
            ""
        )
    )
),I75)</f>
        <v>#NAME?</v>
      </c>
      <c r="R75" s="27" t="str">
        <f t="shared" ca="1" si="15"/>
        <v/>
      </c>
      <c r="S75" s="27" t="e" cm="1">
        <f t="array" aca="1" ref="S75" ca="1">IF(K75="",_xlfn.LET(
    _xlpm.vals,_xlfn._xlws.FILTER($L$4:L74,$L$4:L74&lt;&gt;"",""),
    _xlpm.avgJ,IF(COUNTA(_xlpm.vals)=0,0,AVERAGE(_xlfn.TAKE(_xlpm.vals,-MIN(7,ROWS(_xlpm.vals))))),
    _xlpm.addship,IF(R75="",0,R75),
    IF(
        AND(K74="",K75=""),
        S74-_xlpm.avgJ+_xlpm.addship,
        IF(
            K75="",
            K74-_xlpm.avgJ+_xlpm.addship,
            ""
        )
    )
),K75)</f>
        <v>#NAME?</v>
      </c>
      <c r="T75" s="27" t="str">
        <f t="shared" ca="1" si="16"/>
        <v/>
      </c>
      <c r="U75" s="27" t="e" cm="1">
        <f t="array" aca="1" ref="U75" ca="1">IF(M75="",_xlfn.LET(
    _xlpm.vals,_xlfn._xlws.FILTER($N$4:N74,$N$4:N74&lt;&gt;"",""),
    _xlpm.avgJ,IF(COUNTA(_xlpm.vals)=0,0,AVERAGE(_xlfn.TAKE(_xlpm.vals,-MIN(7,ROWS(_xlpm.vals))))),
    _xlpm.addship,IF(T75="",0,T75),
    IF(
        AND(M74="",M75=""),
        U74-_xlpm.avgJ+_xlpm.addship,
        IF(
            M75="",
            M74-_xlpm.avgJ+_xlpm.addship,
            ""
        )
    )
),M75)</f>
        <v>#NAME?</v>
      </c>
      <c r="V75" s="4" t="e">
        <f ca="1">IF(AND(Q75="",S75="",U75=""),"",
_xlfn.LET(
_xlpm.msgs,
_xlfn.TEXTJOIN(" | ",TRUE,
IF(Q75&gt;$C$20,"Petrol over capacity",""),
IF(Q75&lt;$C$21,"Petrol stock out",""),
IF(S75&gt;$D$20,"Diesel over capacity",""),
IF(S75&lt;$D$21,"Diesel stock out",""),
IF(U75&gt;$E$20,"Kero over capacity",""),
IF(U75&lt;$E$21,"Kero stock out","")),
IF(_xlpm.msgs="","",_xlpm.msgs)
))</f>
        <v>#NAME?</v>
      </c>
      <c r="AE75" s="51">
        <f t="shared" si="17"/>
        <v>47000</v>
      </c>
      <c r="AF75" s="51">
        <f t="shared" si="18"/>
        <v>1223106</v>
      </c>
      <c r="AG75" s="51">
        <f t="shared" si="19"/>
        <v>45000</v>
      </c>
      <c r="AH75" s="51">
        <f t="shared" si="20"/>
        <v>858361</v>
      </c>
      <c r="AI75" s="51">
        <f t="shared" si="21"/>
        <v>24500</v>
      </c>
      <c r="AJ75" s="51">
        <f t="shared" si="22"/>
        <v>589571</v>
      </c>
    </row>
    <row r="76" spans="8:36" ht="18" customHeight="1" x14ac:dyDescent="0.3">
      <c r="H76" s="37">
        <f t="shared" si="11"/>
        <v>46170</v>
      </c>
      <c r="I76" s="32"/>
      <c r="J76" s="32"/>
      <c r="K76" s="32"/>
      <c r="L76" s="32"/>
      <c r="M76" s="32"/>
      <c r="N76" s="32"/>
      <c r="P76" s="27" t="str">
        <f t="shared" ca="1" si="14"/>
        <v/>
      </c>
      <c r="Q76" s="27" t="e" cm="1">
        <f t="array" aca="1" ref="Q76" ca="1">IF(I76="",_xlfn.LET(
    _xlpm.vals,_xlfn._xlws.FILTER($J$4:J75,$J$4:J75&lt;&gt;"",""),
    _xlpm.avgJ,IF(COUNTA(_xlpm.vals)=0,0,AVERAGE(_xlfn.TAKE(_xlpm.vals,-MIN(7,ROWS(_xlpm.vals))))),
    _xlpm.addship,IF(P76="",0,P76),
    IF(
        AND(I75="",I76=""),
        Q75-_xlpm.avgJ+_xlpm.addship,
        IF(
            I76="",
            I75-_xlpm.avgJ+_xlpm.addship,
            ""
        )
    )
),I76)</f>
        <v>#NAME?</v>
      </c>
      <c r="R76" s="27" t="str">
        <f t="shared" ca="1" si="15"/>
        <v/>
      </c>
      <c r="S76" s="27" t="e" cm="1">
        <f t="array" aca="1" ref="S76" ca="1">IF(K76="",_xlfn.LET(
    _xlpm.vals,_xlfn._xlws.FILTER($L$4:L75,$L$4:L75&lt;&gt;"",""),
    _xlpm.avgJ,IF(COUNTA(_xlpm.vals)=0,0,AVERAGE(_xlfn.TAKE(_xlpm.vals,-MIN(7,ROWS(_xlpm.vals))))),
    _xlpm.addship,IF(R76="",0,R76),
    IF(
        AND(K75="",K76=""),
        S75-_xlpm.avgJ+_xlpm.addship,
        IF(
            K76="",
            K75-_xlpm.avgJ+_xlpm.addship,
            ""
        )
    )
),K76)</f>
        <v>#NAME?</v>
      </c>
      <c r="T76" s="27" t="str">
        <f t="shared" ca="1" si="16"/>
        <v/>
      </c>
      <c r="U76" s="27" t="e" cm="1">
        <f t="array" aca="1" ref="U76" ca="1">IF(M76="",_xlfn.LET(
    _xlpm.vals,_xlfn._xlws.FILTER($N$4:N75,$N$4:N75&lt;&gt;"",""),
    _xlpm.avgJ,IF(COUNTA(_xlpm.vals)=0,0,AVERAGE(_xlfn.TAKE(_xlpm.vals,-MIN(7,ROWS(_xlpm.vals))))),
    _xlpm.addship,IF(T76="",0,T76),
    IF(
        AND(M75="",M76=""),
        U75-_xlpm.avgJ+_xlpm.addship,
        IF(
            M76="",
            M75-_xlpm.avgJ+_xlpm.addship,
            ""
        )
    )
),M76)</f>
        <v>#NAME?</v>
      </c>
      <c r="V76" s="4" t="e">
        <f ca="1">IF(AND(Q76="",S76="",U76=""),"",
_xlfn.LET(
_xlpm.msgs,
_xlfn.TEXTJOIN(" | ",TRUE,
IF(Q76&gt;$C$20,"Petrol over capacity",""),
IF(Q76&lt;$C$21,"Petrol stock out",""),
IF(S76&gt;$D$20,"Diesel over capacity",""),
IF(S76&lt;$D$21,"Diesel stock out",""),
IF(U76&gt;$E$20,"Kero over capacity",""),
IF(U76&lt;$E$21,"Kero stock out","")),
IF(_xlpm.msgs="","",_xlpm.msgs)
))</f>
        <v>#NAME?</v>
      </c>
      <c r="AE76" s="51">
        <f t="shared" si="17"/>
        <v>47000</v>
      </c>
      <c r="AF76" s="51">
        <f t="shared" si="18"/>
        <v>1223106</v>
      </c>
      <c r="AG76" s="51">
        <f t="shared" si="19"/>
        <v>45000</v>
      </c>
      <c r="AH76" s="51">
        <f t="shared" si="20"/>
        <v>858361</v>
      </c>
      <c r="AI76" s="51">
        <f t="shared" si="21"/>
        <v>24500</v>
      </c>
      <c r="AJ76" s="51">
        <f t="shared" si="22"/>
        <v>589571</v>
      </c>
    </row>
    <row r="77" spans="8:36" ht="18" customHeight="1" x14ac:dyDescent="0.3">
      <c r="H77" s="37">
        <f t="shared" si="11"/>
        <v>46171</v>
      </c>
      <c r="I77" s="32"/>
      <c r="J77" s="32"/>
      <c r="K77" s="32"/>
      <c r="L77" s="32"/>
      <c r="M77" s="32"/>
      <c r="N77" s="32"/>
      <c r="P77" s="27" t="str">
        <f t="shared" ca="1" si="14"/>
        <v/>
      </c>
      <c r="Q77" s="27" t="e" cm="1">
        <f t="array" aca="1" ref="Q77" ca="1">IF(I77="",_xlfn.LET(
    _xlpm.vals,_xlfn._xlws.FILTER($J$4:J76,$J$4:J76&lt;&gt;"",""),
    _xlpm.avgJ,IF(COUNTA(_xlpm.vals)=0,0,AVERAGE(_xlfn.TAKE(_xlpm.vals,-MIN(7,ROWS(_xlpm.vals))))),
    _xlpm.addship,IF(P77="",0,P77),
    IF(
        AND(I76="",I77=""),
        Q76-_xlpm.avgJ+_xlpm.addship,
        IF(
            I77="",
            I76-_xlpm.avgJ+_xlpm.addship,
            ""
        )
    )
),I77)</f>
        <v>#NAME?</v>
      </c>
      <c r="R77" s="27" t="str">
        <f t="shared" ca="1" si="15"/>
        <v/>
      </c>
      <c r="S77" s="27" t="e" cm="1">
        <f t="array" aca="1" ref="S77" ca="1">IF(K77="",_xlfn.LET(
    _xlpm.vals,_xlfn._xlws.FILTER($L$4:L76,$L$4:L76&lt;&gt;"",""),
    _xlpm.avgJ,IF(COUNTA(_xlpm.vals)=0,0,AVERAGE(_xlfn.TAKE(_xlpm.vals,-MIN(7,ROWS(_xlpm.vals))))),
    _xlpm.addship,IF(R77="",0,R77),
    IF(
        AND(K76="",K77=""),
        S76-_xlpm.avgJ+_xlpm.addship,
        IF(
            K77="",
            K76-_xlpm.avgJ+_xlpm.addship,
            ""
        )
    )
),K77)</f>
        <v>#NAME?</v>
      </c>
      <c r="T77" s="27" t="str">
        <f t="shared" ca="1" si="16"/>
        <v/>
      </c>
      <c r="U77" s="27" t="e" cm="1">
        <f t="array" aca="1" ref="U77" ca="1">IF(M77="",_xlfn.LET(
    _xlpm.vals,_xlfn._xlws.FILTER($N$4:N76,$N$4:N76&lt;&gt;"",""),
    _xlpm.avgJ,IF(COUNTA(_xlpm.vals)=0,0,AVERAGE(_xlfn.TAKE(_xlpm.vals,-MIN(7,ROWS(_xlpm.vals))))),
    _xlpm.addship,IF(T77="",0,T77),
    IF(
        AND(M76="",M77=""),
        U76-_xlpm.avgJ+_xlpm.addship,
        IF(
            M77="",
            M76-_xlpm.avgJ+_xlpm.addship,
            ""
        )
    )
),M77)</f>
        <v>#NAME?</v>
      </c>
      <c r="V77" s="4" t="e">
        <f ca="1">IF(AND(Q77="",S77="",U77=""),"",
_xlfn.LET(
_xlpm.msgs,
_xlfn.TEXTJOIN(" | ",TRUE,
IF(Q77&gt;$C$20,"Petrol over capacity",""),
IF(Q77&lt;$C$21,"Petrol stock out",""),
IF(S77&gt;$D$20,"Diesel over capacity",""),
IF(S77&lt;$D$21,"Diesel stock out",""),
IF(U77&gt;$E$20,"Kero over capacity",""),
IF(U77&lt;$E$21,"Kero stock out","")),
IF(_xlpm.msgs="","",_xlpm.msgs)
))</f>
        <v>#NAME?</v>
      </c>
      <c r="AE77" s="51">
        <f t="shared" si="17"/>
        <v>47000</v>
      </c>
      <c r="AF77" s="51">
        <f t="shared" si="18"/>
        <v>1223106</v>
      </c>
      <c r="AG77" s="51">
        <f t="shared" si="19"/>
        <v>45000</v>
      </c>
      <c r="AH77" s="51">
        <f t="shared" si="20"/>
        <v>858361</v>
      </c>
      <c r="AI77" s="51">
        <f t="shared" si="21"/>
        <v>24500</v>
      </c>
      <c r="AJ77" s="51">
        <f t="shared" si="22"/>
        <v>589571</v>
      </c>
    </row>
    <row r="78" spans="8:36" ht="18" customHeight="1" x14ac:dyDescent="0.3">
      <c r="H78" s="37">
        <f t="shared" si="11"/>
        <v>46172</v>
      </c>
      <c r="I78" s="32"/>
      <c r="J78" s="32"/>
      <c r="K78" s="32"/>
      <c r="L78" s="32"/>
      <c r="M78" s="32"/>
      <c r="N78" s="32"/>
      <c r="P78" s="27" t="str">
        <f t="shared" ca="1" si="14"/>
        <v/>
      </c>
      <c r="Q78" s="27" t="e" cm="1">
        <f t="array" aca="1" ref="Q78" ca="1">IF(I78="",_xlfn.LET(
    _xlpm.vals,_xlfn._xlws.FILTER($J$4:J77,$J$4:J77&lt;&gt;"",""),
    _xlpm.avgJ,IF(COUNTA(_xlpm.vals)=0,0,AVERAGE(_xlfn.TAKE(_xlpm.vals,-MIN(7,ROWS(_xlpm.vals))))),
    _xlpm.addship,IF(P78="",0,P78),
    IF(
        AND(I77="",I78=""),
        Q77-_xlpm.avgJ+_xlpm.addship,
        IF(
            I78="",
            I77-_xlpm.avgJ+_xlpm.addship,
            ""
        )
    )
),I78)</f>
        <v>#NAME?</v>
      </c>
      <c r="R78" s="27" t="str">
        <f t="shared" ca="1" si="15"/>
        <v/>
      </c>
      <c r="S78" s="27" t="e" cm="1">
        <f t="array" aca="1" ref="S78" ca="1">IF(K78="",_xlfn.LET(
    _xlpm.vals,_xlfn._xlws.FILTER($L$4:L77,$L$4:L77&lt;&gt;"",""),
    _xlpm.avgJ,IF(COUNTA(_xlpm.vals)=0,0,AVERAGE(_xlfn.TAKE(_xlpm.vals,-MIN(7,ROWS(_xlpm.vals))))),
    _xlpm.addship,IF(R78="",0,R78),
    IF(
        AND(K77="",K78=""),
        S77-_xlpm.avgJ+_xlpm.addship,
        IF(
            K78="",
            K77-_xlpm.avgJ+_xlpm.addship,
            ""
        )
    )
),K78)</f>
        <v>#NAME?</v>
      </c>
      <c r="T78" s="27" t="str">
        <f t="shared" ca="1" si="16"/>
        <v/>
      </c>
      <c r="U78" s="27" t="e" cm="1">
        <f t="array" aca="1" ref="U78" ca="1">IF(M78="",_xlfn.LET(
    _xlpm.vals,_xlfn._xlws.FILTER($N$4:N77,$N$4:N77&lt;&gt;"",""),
    _xlpm.avgJ,IF(COUNTA(_xlpm.vals)=0,0,AVERAGE(_xlfn.TAKE(_xlpm.vals,-MIN(7,ROWS(_xlpm.vals))))),
    _xlpm.addship,IF(T78="",0,T78),
    IF(
        AND(M77="",M78=""),
        U77-_xlpm.avgJ+_xlpm.addship,
        IF(
            M78="",
            M77-_xlpm.avgJ+_xlpm.addship,
            ""
        )
    )
),M78)</f>
        <v>#NAME?</v>
      </c>
      <c r="V78" s="4" t="e">
        <f ca="1">IF(AND(Q78="",S78="",U78=""),"",
_xlfn.LET(
_xlpm.msgs,
_xlfn.TEXTJOIN(" | ",TRUE,
IF(Q78&gt;$C$20,"Petrol over capacity",""),
IF(Q78&lt;$C$21,"Petrol stock out",""),
IF(S78&gt;$D$20,"Diesel over capacity",""),
IF(S78&lt;$D$21,"Diesel stock out",""),
IF(U78&gt;$E$20,"Kero over capacity",""),
IF(U78&lt;$E$21,"Kero stock out","")),
IF(_xlpm.msgs="","",_xlpm.msgs)
))</f>
        <v>#NAME?</v>
      </c>
      <c r="AE78" s="51">
        <f t="shared" si="17"/>
        <v>47000</v>
      </c>
      <c r="AF78" s="51">
        <f t="shared" si="18"/>
        <v>1223106</v>
      </c>
      <c r="AG78" s="51">
        <f t="shared" si="19"/>
        <v>45000</v>
      </c>
      <c r="AH78" s="51">
        <f t="shared" si="20"/>
        <v>858361</v>
      </c>
      <c r="AI78" s="51">
        <f t="shared" si="21"/>
        <v>24500</v>
      </c>
      <c r="AJ78" s="51">
        <f t="shared" si="22"/>
        <v>589571</v>
      </c>
    </row>
    <row r="79" spans="8:36" ht="18" customHeight="1" x14ac:dyDescent="0.3">
      <c r="H79" s="37">
        <f t="shared" si="11"/>
        <v>46173</v>
      </c>
      <c r="I79" s="32"/>
      <c r="J79" s="32"/>
      <c r="K79" s="32"/>
      <c r="L79" s="32"/>
      <c r="M79" s="32"/>
      <c r="N79" s="32"/>
      <c r="P79" s="27" t="str">
        <f t="shared" ca="1" si="14"/>
        <v/>
      </c>
      <c r="Q79" s="27" t="e" cm="1">
        <f t="array" aca="1" ref="Q79" ca="1">IF(I79="",_xlfn.LET(
    _xlpm.vals,_xlfn._xlws.FILTER($J$4:J78,$J$4:J78&lt;&gt;"",""),
    _xlpm.avgJ,IF(COUNTA(_xlpm.vals)=0,0,AVERAGE(_xlfn.TAKE(_xlpm.vals,-MIN(7,ROWS(_xlpm.vals))))),
    _xlpm.addship,IF(P79="",0,P79),
    IF(
        AND(I78="",I79=""),
        Q78-_xlpm.avgJ+_xlpm.addship,
        IF(
            I79="",
            I78-_xlpm.avgJ+_xlpm.addship,
            ""
        )
    )
),I79)</f>
        <v>#NAME?</v>
      </c>
      <c r="R79" s="27" t="str">
        <f t="shared" ca="1" si="15"/>
        <v/>
      </c>
      <c r="S79" s="27" t="e" cm="1">
        <f t="array" aca="1" ref="S79" ca="1">IF(K79="",_xlfn.LET(
    _xlpm.vals,_xlfn._xlws.FILTER($L$4:L78,$L$4:L78&lt;&gt;"",""),
    _xlpm.avgJ,IF(COUNTA(_xlpm.vals)=0,0,AVERAGE(_xlfn.TAKE(_xlpm.vals,-MIN(7,ROWS(_xlpm.vals))))),
    _xlpm.addship,IF(R79="",0,R79),
    IF(
        AND(K78="",K79=""),
        S78-_xlpm.avgJ+_xlpm.addship,
        IF(
            K79="",
            K78-_xlpm.avgJ+_xlpm.addship,
            ""
        )
    )
),K79)</f>
        <v>#NAME?</v>
      </c>
      <c r="T79" s="27" t="str">
        <f t="shared" ca="1" si="16"/>
        <v/>
      </c>
      <c r="U79" s="27" t="e" cm="1">
        <f t="array" aca="1" ref="U79" ca="1">IF(M79="",_xlfn.LET(
    _xlpm.vals,_xlfn._xlws.FILTER($N$4:N78,$N$4:N78&lt;&gt;"",""),
    _xlpm.avgJ,IF(COUNTA(_xlpm.vals)=0,0,AVERAGE(_xlfn.TAKE(_xlpm.vals,-MIN(7,ROWS(_xlpm.vals))))),
    _xlpm.addship,IF(T79="",0,T79),
    IF(
        AND(M78="",M79=""),
        U78-_xlpm.avgJ+_xlpm.addship,
        IF(
            M79="",
            M78-_xlpm.avgJ+_xlpm.addship,
            ""
        )
    )
),M79)</f>
        <v>#NAME?</v>
      </c>
      <c r="V79" s="4" t="e">
        <f ca="1">IF(AND(Q79="",S79="",U79=""),"",
_xlfn.LET(
_xlpm.msgs,
_xlfn.TEXTJOIN(" | ",TRUE,
IF(Q79&gt;$C$20,"Petrol over capacity",""),
IF(Q79&lt;$C$21,"Petrol stock out",""),
IF(S79&gt;$D$20,"Diesel over capacity",""),
IF(S79&lt;$D$21,"Diesel stock out",""),
IF(U79&gt;$E$20,"Kero over capacity",""),
IF(U79&lt;$E$21,"Kero stock out","")),
IF(_xlpm.msgs="","",_xlpm.msgs)
))</f>
        <v>#NAME?</v>
      </c>
      <c r="AE79" s="51">
        <f t="shared" si="17"/>
        <v>47000</v>
      </c>
      <c r="AF79" s="51">
        <f t="shared" si="18"/>
        <v>1223106</v>
      </c>
      <c r="AG79" s="51">
        <f t="shared" si="19"/>
        <v>45000</v>
      </c>
      <c r="AH79" s="51">
        <f t="shared" si="20"/>
        <v>858361</v>
      </c>
      <c r="AI79" s="51">
        <f t="shared" si="21"/>
        <v>24500</v>
      </c>
      <c r="AJ79" s="51">
        <f t="shared" si="22"/>
        <v>589571</v>
      </c>
    </row>
    <row r="80" spans="8:36" ht="18" customHeight="1" x14ac:dyDescent="0.3">
      <c r="H80" s="37">
        <f t="shared" si="11"/>
        <v>46174</v>
      </c>
      <c r="I80" s="32"/>
      <c r="J80" s="32"/>
      <c r="K80" s="32"/>
      <c r="L80" s="32"/>
      <c r="M80" s="32"/>
      <c r="N80" s="32"/>
      <c r="P80" s="27" t="str">
        <f t="shared" ca="1" si="14"/>
        <v/>
      </c>
      <c r="Q80" s="27" t="e" cm="1">
        <f t="array" aca="1" ref="Q80" ca="1">IF(I80="",_xlfn.LET(
    _xlpm.vals,_xlfn._xlws.FILTER($J$4:J79,$J$4:J79&lt;&gt;"",""),
    _xlpm.avgJ,IF(COUNTA(_xlpm.vals)=0,0,AVERAGE(_xlfn.TAKE(_xlpm.vals,-MIN(7,ROWS(_xlpm.vals))))),
    _xlpm.addship,IF(P80="",0,P80),
    IF(
        AND(I79="",I80=""),
        Q79-_xlpm.avgJ+_xlpm.addship,
        IF(
            I80="",
            I79-_xlpm.avgJ+_xlpm.addship,
            ""
        )
    )
),I80)</f>
        <v>#NAME?</v>
      </c>
      <c r="R80" s="27" t="str">
        <f t="shared" ca="1" si="15"/>
        <v/>
      </c>
      <c r="S80" s="27" t="e" cm="1">
        <f t="array" aca="1" ref="S80" ca="1">IF(K80="",_xlfn.LET(
    _xlpm.vals,_xlfn._xlws.FILTER($L$4:L79,$L$4:L79&lt;&gt;"",""),
    _xlpm.avgJ,IF(COUNTA(_xlpm.vals)=0,0,AVERAGE(_xlfn.TAKE(_xlpm.vals,-MIN(7,ROWS(_xlpm.vals))))),
    _xlpm.addship,IF(R80="",0,R80),
    IF(
        AND(K79="",K80=""),
        S79-_xlpm.avgJ+_xlpm.addship,
        IF(
            K80="",
            K79-_xlpm.avgJ+_xlpm.addship,
            ""
        )
    )
),K80)</f>
        <v>#NAME?</v>
      </c>
      <c r="T80" s="27" t="str">
        <f t="shared" ca="1" si="16"/>
        <v/>
      </c>
      <c r="U80" s="27" t="e" cm="1">
        <f t="array" aca="1" ref="U80" ca="1">IF(M80="",_xlfn.LET(
    _xlpm.vals,_xlfn._xlws.FILTER($N$4:N79,$N$4:N79&lt;&gt;"",""),
    _xlpm.avgJ,IF(COUNTA(_xlpm.vals)=0,0,AVERAGE(_xlfn.TAKE(_xlpm.vals,-MIN(7,ROWS(_xlpm.vals))))),
    _xlpm.addship,IF(T80="",0,T80),
    IF(
        AND(M79="",M80=""),
        U79-_xlpm.avgJ+_xlpm.addship,
        IF(
            M80="",
            M79-_xlpm.avgJ+_xlpm.addship,
            ""
        )
    )
),M80)</f>
        <v>#NAME?</v>
      </c>
      <c r="V80" s="4" t="e">
        <f ca="1">IF(AND(Q80="",S80="",U80=""),"",
_xlfn.LET(
_xlpm.msgs,
_xlfn.TEXTJOIN(" | ",TRUE,
IF(Q80&gt;$C$20,"Petrol over capacity",""),
IF(Q80&lt;$C$21,"Petrol stock out",""),
IF(S80&gt;$D$20,"Diesel over capacity",""),
IF(S80&lt;$D$21,"Diesel stock out",""),
IF(U80&gt;$E$20,"Kero over capacity",""),
IF(U80&lt;$E$21,"Kero stock out","")),
IF(_xlpm.msgs="","",_xlpm.msgs)
))</f>
        <v>#NAME?</v>
      </c>
      <c r="AE80" s="51">
        <f t="shared" si="17"/>
        <v>47000</v>
      </c>
      <c r="AF80" s="51">
        <f t="shared" si="18"/>
        <v>1223106</v>
      </c>
      <c r="AG80" s="51">
        <f t="shared" si="19"/>
        <v>45000</v>
      </c>
      <c r="AH80" s="51">
        <f t="shared" si="20"/>
        <v>858361</v>
      </c>
      <c r="AI80" s="51">
        <f t="shared" si="21"/>
        <v>24500</v>
      </c>
      <c r="AJ80" s="51">
        <f t="shared" si="22"/>
        <v>589571</v>
      </c>
    </row>
    <row r="81" spans="8:36" ht="18" customHeight="1" x14ac:dyDescent="0.3">
      <c r="H81" s="37">
        <f t="shared" si="11"/>
        <v>46175</v>
      </c>
      <c r="I81" s="32"/>
      <c r="J81" s="32"/>
      <c r="K81" s="32"/>
      <c r="L81" s="32"/>
      <c r="M81" s="32"/>
      <c r="N81" s="32"/>
      <c r="P81" s="27" t="str">
        <f t="shared" ca="1" si="14"/>
        <v/>
      </c>
      <c r="Q81" s="27" t="e" cm="1">
        <f t="array" aca="1" ref="Q81" ca="1">IF(I81="",_xlfn.LET(
    _xlpm.vals,_xlfn._xlws.FILTER($J$4:J80,$J$4:J80&lt;&gt;"",""),
    _xlpm.avgJ,IF(COUNTA(_xlpm.vals)=0,0,AVERAGE(_xlfn.TAKE(_xlpm.vals,-MIN(7,ROWS(_xlpm.vals))))),
    _xlpm.addship,IF(P81="",0,P81),
    IF(
        AND(I80="",I81=""),
        Q80-_xlpm.avgJ+_xlpm.addship,
        IF(
            I81="",
            I80-_xlpm.avgJ+_xlpm.addship,
            ""
        )
    )
),I81)</f>
        <v>#NAME?</v>
      </c>
      <c r="R81" s="27" t="str">
        <f t="shared" ca="1" si="15"/>
        <v/>
      </c>
      <c r="S81" s="27" t="e" cm="1">
        <f t="array" aca="1" ref="S81" ca="1">IF(K81="",_xlfn.LET(
    _xlpm.vals,_xlfn._xlws.FILTER($L$4:L80,$L$4:L80&lt;&gt;"",""),
    _xlpm.avgJ,IF(COUNTA(_xlpm.vals)=0,0,AVERAGE(_xlfn.TAKE(_xlpm.vals,-MIN(7,ROWS(_xlpm.vals))))),
    _xlpm.addship,IF(R81="",0,R81),
    IF(
        AND(K80="",K81=""),
        S80-_xlpm.avgJ+_xlpm.addship,
        IF(
            K81="",
            K80-_xlpm.avgJ+_xlpm.addship,
            ""
        )
    )
),K81)</f>
        <v>#NAME?</v>
      </c>
      <c r="T81" s="27" t="str">
        <f t="shared" ca="1" si="16"/>
        <v/>
      </c>
      <c r="U81" s="27" t="e" cm="1">
        <f t="array" aca="1" ref="U81" ca="1">IF(M81="",_xlfn.LET(
    _xlpm.vals,_xlfn._xlws.FILTER($N$4:N80,$N$4:N80&lt;&gt;"",""),
    _xlpm.avgJ,IF(COUNTA(_xlpm.vals)=0,0,AVERAGE(_xlfn.TAKE(_xlpm.vals,-MIN(7,ROWS(_xlpm.vals))))),
    _xlpm.addship,IF(T81="",0,T81),
    IF(
        AND(M80="",M81=""),
        U80-_xlpm.avgJ+_xlpm.addship,
        IF(
            M81="",
            M80-_xlpm.avgJ+_xlpm.addship,
            ""
        )
    )
),M81)</f>
        <v>#NAME?</v>
      </c>
      <c r="V81" s="4" t="e">
        <f ca="1">IF(AND(Q81="",S81="",U81=""),"",
_xlfn.LET(
_xlpm.msgs,
_xlfn.TEXTJOIN(" | ",TRUE,
IF(Q81&gt;$C$20,"Petrol over capacity",""),
IF(Q81&lt;$C$21,"Petrol stock out",""),
IF(S81&gt;$D$20,"Diesel over capacity",""),
IF(S81&lt;$D$21,"Diesel stock out",""),
IF(U81&gt;$E$20,"Kero over capacity",""),
IF(U81&lt;$E$21,"Kero stock out","")),
IF(_xlpm.msgs="","",_xlpm.msgs)
))</f>
        <v>#NAME?</v>
      </c>
      <c r="AE81" s="51">
        <f t="shared" si="17"/>
        <v>47000</v>
      </c>
      <c r="AF81" s="51">
        <f t="shared" si="18"/>
        <v>1223106</v>
      </c>
      <c r="AG81" s="51">
        <f t="shared" si="19"/>
        <v>45000</v>
      </c>
      <c r="AH81" s="51">
        <f t="shared" si="20"/>
        <v>858361</v>
      </c>
      <c r="AI81" s="51">
        <f t="shared" si="21"/>
        <v>24500</v>
      </c>
      <c r="AJ81" s="51">
        <f t="shared" si="22"/>
        <v>589571</v>
      </c>
    </row>
    <row r="82" spans="8:36" ht="18" customHeight="1" x14ac:dyDescent="0.3">
      <c r="H82" s="37">
        <f t="shared" si="11"/>
        <v>46176</v>
      </c>
      <c r="I82" s="32"/>
      <c r="J82" s="32"/>
      <c r="K82" s="32"/>
      <c r="L82" s="32"/>
      <c r="M82" s="32"/>
      <c r="N82" s="32"/>
      <c r="P82" s="27" t="str">
        <f t="shared" ca="1" si="14"/>
        <v/>
      </c>
      <c r="Q82" s="27" t="e" cm="1">
        <f t="array" aca="1" ref="Q82" ca="1">IF(I82="",_xlfn.LET(
    _xlpm.vals,_xlfn._xlws.FILTER($J$4:J81,$J$4:J81&lt;&gt;"",""),
    _xlpm.avgJ,IF(COUNTA(_xlpm.vals)=0,0,AVERAGE(_xlfn.TAKE(_xlpm.vals,-MIN(7,ROWS(_xlpm.vals))))),
    _xlpm.addship,IF(P82="",0,P82),
    IF(
        AND(I81="",I82=""),
        Q81-_xlpm.avgJ+_xlpm.addship,
        IF(
            I82="",
            I81-_xlpm.avgJ+_xlpm.addship,
            ""
        )
    )
),I82)</f>
        <v>#NAME?</v>
      </c>
      <c r="R82" s="27" t="str">
        <f t="shared" ca="1" si="15"/>
        <v/>
      </c>
      <c r="S82" s="27" t="e" cm="1">
        <f t="array" aca="1" ref="S82" ca="1">IF(K82="",_xlfn.LET(
    _xlpm.vals,_xlfn._xlws.FILTER($L$4:L81,$L$4:L81&lt;&gt;"",""),
    _xlpm.avgJ,IF(COUNTA(_xlpm.vals)=0,0,AVERAGE(_xlfn.TAKE(_xlpm.vals,-MIN(7,ROWS(_xlpm.vals))))),
    _xlpm.addship,IF(R82="",0,R82),
    IF(
        AND(K81="",K82=""),
        S81-_xlpm.avgJ+_xlpm.addship,
        IF(
            K82="",
            K81-_xlpm.avgJ+_xlpm.addship,
            ""
        )
    )
),K82)</f>
        <v>#NAME?</v>
      </c>
      <c r="T82" s="27" t="str">
        <f t="shared" ca="1" si="16"/>
        <v/>
      </c>
      <c r="U82" s="27" t="e" cm="1">
        <f t="array" aca="1" ref="U82" ca="1">IF(M82="",_xlfn.LET(
    _xlpm.vals,_xlfn._xlws.FILTER($N$4:N81,$N$4:N81&lt;&gt;"",""),
    _xlpm.avgJ,IF(COUNTA(_xlpm.vals)=0,0,AVERAGE(_xlfn.TAKE(_xlpm.vals,-MIN(7,ROWS(_xlpm.vals))))),
    _xlpm.addship,IF(T82="",0,T82),
    IF(
        AND(M81="",M82=""),
        U81-_xlpm.avgJ+_xlpm.addship,
        IF(
            M82="",
            M81-_xlpm.avgJ+_xlpm.addship,
            ""
        )
    )
),M82)</f>
        <v>#NAME?</v>
      </c>
      <c r="V82" s="4" t="e">
        <f ca="1">IF(AND(Q82="",S82="",U82=""),"",
_xlfn.LET(
_xlpm.msgs,
_xlfn.TEXTJOIN(" | ",TRUE,
IF(Q82&gt;$C$20,"Petrol over capacity",""),
IF(Q82&lt;$C$21,"Petrol stock out",""),
IF(S82&gt;$D$20,"Diesel over capacity",""),
IF(S82&lt;$D$21,"Diesel stock out",""),
IF(U82&gt;$E$20,"Kero over capacity",""),
IF(U82&lt;$E$21,"Kero stock out","")),
IF(_xlpm.msgs="","",_xlpm.msgs)
))</f>
        <v>#NAME?</v>
      </c>
      <c r="AE82" s="51">
        <f t="shared" si="17"/>
        <v>47000</v>
      </c>
      <c r="AF82" s="51">
        <f t="shared" si="18"/>
        <v>1223106</v>
      </c>
      <c r="AG82" s="51">
        <f t="shared" si="19"/>
        <v>45000</v>
      </c>
      <c r="AH82" s="51">
        <f t="shared" si="20"/>
        <v>858361</v>
      </c>
      <c r="AI82" s="51">
        <f t="shared" si="21"/>
        <v>24500</v>
      </c>
      <c r="AJ82" s="51">
        <f t="shared" si="22"/>
        <v>589571</v>
      </c>
    </row>
    <row r="83" spans="8:36" ht="18" customHeight="1" x14ac:dyDescent="0.3">
      <c r="H83" s="37">
        <f t="shared" si="11"/>
        <v>46177</v>
      </c>
      <c r="I83" s="32"/>
      <c r="J83" s="32"/>
      <c r="K83" s="32"/>
      <c r="L83" s="32"/>
      <c r="M83" s="32"/>
      <c r="N83" s="32"/>
      <c r="P83" s="27" t="str">
        <f t="shared" ca="1" si="14"/>
        <v/>
      </c>
      <c r="Q83" s="27" t="e" cm="1">
        <f t="array" aca="1" ref="Q83" ca="1">IF(I83="",_xlfn.LET(
    _xlpm.vals,_xlfn._xlws.FILTER($J$4:J82,$J$4:J82&lt;&gt;"",""),
    _xlpm.avgJ,IF(COUNTA(_xlpm.vals)=0,0,AVERAGE(_xlfn.TAKE(_xlpm.vals,-MIN(7,ROWS(_xlpm.vals))))),
    _xlpm.addship,IF(P83="",0,P83),
    IF(
        AND(I82="",I83=""),
        Q82-_xlpm.avgJ+_xlpm.addship,
        IF(
            I83="",
            I82-_xlpm.avgJ+_xlpm.addship,
            ""
        )
    )
),I83)</f>
        <v>#NAME?</v>
      </c>
      <c r="R83" s="27" t="str">
        <f t="shared" ca="1" si="15"/>
        <v/>
      </c>
      <c r="S83" s="27" t="e" cm="1">
        <f t="array" aca="1" ref="S83" ca="1">IF(K83="",_xlfn.LET(
    _xlpm.vals,_xlfn._xlws.FILTER($L$4:L82,$L$4:L82&lt;&gt;"",""),
    _xlpm.avgJ,IF(COUNTA(_xlpm.vals)=0,0,AVERAGE(_xlfn.TAKE(_xlpm.vals,-MIN(7,ROWS(_xlpm.vals))))),
    _xlpm.addship,IF(R83="",0,R83),
    IF(
        AND(K82="",K83=""),
        S82-_xlpm.avgJ+_xlpm.addship,
        IF(
            K83="",
            K82-_xlpm.avgJ+_xlpm.addship,
            ""
        )
    )
),K83)</f>
        <v>#NAME?</v>
      </c>
      <c r="T83" s="27" t="str">
        <f t="shared" ca="1" si="16"/>
        <v/>
      </c>
      <c r="U83" s="27" t="e" cm="1">
        <f t="array" aca="1" ref="U83" ca="1">IF(M83="",_xlfn.LET(
    _xlpm.vals,_xlfn._xlws.FILTER($N$4:N82,$N$4:N82&lt;&gt;"",""),
    _xlpm.avgJ,IF(COUNTA(_xlpm.vals)=0,0,AVERAGE(_xlfn.TAKE(_xlpm.vals,-MIN(7,ROWS(_xlpm.vals))))),
    _xlpm.addship,IF(T83="",0,T83),
    IF(
        AND(M82="",M83=""),
        U82-_xlpm.avgJ+_xlpm.addship,
        IF(
            M83="",
            M82-_xlpm.avgJ+_xlpm.addship,
            ""
        )
    )
),M83)</f>
        <v>#NAME?</v>
      </c>
      <c r="V83" s="4" t="e">
        <f ca="1">IF(AND(Q83="",S83="",U83=""),"",
_xlfn.LET(
_xlpm.msgs,
_xlfn.TEXTJOIN(" | ",TRUE,
IF(Q83&gt;$C$20,"Petrol over capacity",""),
IF(Q83&lt;$C$21,"Petrol stock out",""),
IF(S83&gt;$D$20,"Diesel over capacity",""),
IF(S83&lt;$D$21,"Diesel stock out",""),
IF(U83&gt;$E$20,"Kero over capacity",""),
IF(U83&lt;$E$21,"Kero stock out","")),
IF(_xlpm.msgs="","",_xlpm.msgs)
))</f>
        <v>#NAME?</v>
      </c>
      <c r="AE83" s="51">
        <f t="shared" si="17"/>
        <v>47000</v>
      </c>
      <c r="AF83" s="51">
        <f t="shared" si="18"/>
        <v>1223106</v>
      </c>
      <c r="AG83" s="51">
        <f t="shared" si="19"/>
        <v>45000</v>
      </c>
      <c r="AH83" s="51">
        <f t="shared" si="20"/>
        <v>858361</v>
      </c>
      <c r="AI83" s="51">
        <f t="shared" si="21"/>
        <v>24500</v>
      </c>
      <c r="AJ83" s="51">
        <f t="shared" si="22"/>
        <v>589571</v>
      </c>
    </row>
    <row r="84" spans="8:36" ht="18" customHeight="1" x14ac:dyDescent="0.3">
      <c r="H84" s="37">
        <f t="shared" si="11"/>
        <v>46178</v>
      </c>
      <c r="I84" s="32"/>
      <c r="J84" s="32"/>
      <c r="K84" s="32"/>
      <c r="L84" s="32"/>
      <c r="M84" s="32"/>
      <c r="N84" s="32"/>
      <c r="P84" s="27" t="str">
        <f t="shared" ca="1" si="14"/>
        <v/>
      </c>
      <c r="Q84" s="27" t="e" cm="1">
        <f t="array" aca="1" ref="Q84" ca="1">IF(I84="",_xlfn.LET(
    _xlpm.vals,_xlfn._xlws.FILTER($J$4:J83,$J$4:J83&lt;&gt;"",""),
    _xlpm.avgJ,IF(COUNTA(_xlpm.vals)=0,0,AVERAGE(_xlfn.TAKE(_xlpm.vals,-MIN(7,ROWS(_xlpm.vals))))),
    _xlpm.addship,IF(P84="",0,P84),
    IF(
        AND(I83="",I84=""),
        Q83-_xlpm.avgJ+_xlpm.addship,
        IF(
            I84="",
            I83-_xlpm.avgJ+_xlpm.addship,
            ""
        )
    )
),I84)</f>
        <v>#NAME?</v>
      </c>
      <c r="R84" s="27" t="str">
        <f t="shared" ca="1" si="15"/>
        <v/>
      </c>
      <c r="S84" s="27" t="e" cm="1">
        <f t="array" aca="1" ref="S84" ca="1">IF(K84="",_xlfn.LET(
    _xlpm.vals,_xlfn._xlws.FILTER($L$4:L83,$L$4:L83&lt;&gt;"",""),
    _xlpm.avgJ,IF(COUNTA(_xlpm.vals)=0,0,AVERAGE(_xlfn.TAKE(_xlpm.vals,-MIN(7,ROWS(_xlpm.vals))))),
    _xlpm.addship,IF(R84="",0,R84),
    IF(
        AND(K83="",K84=""),
        S83-_xlpm.avgJ+_xlpm.addship,
        IF(
            K84="",
            K83-_xlpm.avgJ+_xlpm.addship,
            ""
        )
    )
),K84)</f>
        <v>#NAME?</v>
      </c>
      <c r="T84" s="27" t="str">
        <f t="shared" ca="1" si="16"/>
        <v/>
      </c>
      <c r="U84" s="27" t="e" cm="1">
        <f t="array" aca="1" ref="U84" ca="1">IF(M84="",_xlfn.LET(
    _xlpm.vals,_xlfn._xlws.FILTER($N$4:N83,$N$4:N83&lt;&gt;"",""),
    _xlpm.avgJ,IF(COUNTA(_xlpm.vals)=0,0,AVERAGE(_xlfn.TAKE(_xlpm.vals,-MIN(7,ROWS(_xlpm.vals))))),
    _xlpm.addship,IF(T84="",0,T84),
    IF(
        AND(M83="",M84=""),
        U83-_xlpm.avgJ+_xlpm.addship,
        IF(
            M84="",
            M83-_xlpm.avgJ+_xlpm.addship,
            ""
        )
    )
),M84)</f>
        <v>#NAME?</v>
      </c>
      <c r="V84" s="4" t="e">
        <f ca="1">IF(AND(Q84="",S84="",U84=""),"",
_xlfn.LET(
_xlpm.msgs,
_xlfn.TEXTJOIN(" | ",TRUE,
IF(Q84&gt;$C$20,"Petrol over capacity",""),
IF(Q84&lt;$C$21,"Petrol stock out",""),
IF(S84&gt;$D$20,"Diesel over capacity",""),
IF(S84&lt;$D$21,"Diesel stock out",""),
IF(U84&gt;$E$20,"Kero over capacity",""),
IF(U84&lt;$E$21,"Kero stock out","")),
IF(_xlpm.msgs="","",_xlpm.msgs)
))</f>
        <v>#NAME?</v>
      </c>
      <c r="AE84" s="51">
        <f t="shared" si="17"/>
        <v>47000</v>
      </c>
      <c r="AF84" s="51">
        <f t="shared" si="18"/>
        <v>1223106</v>
      </c>
      <c r="AG84" s="51">
        <f t="shared" si="19"/>
        <v>45000</v>
      </c>
      <c r="AH84" s="51">
        <f t="shared" si="20"/>
        <v>858361</v>
      </c>
      <c r="AI84" s="51">
        <f t="shared" si="21"/>
        <v>24500</v>
      </c>
      <c r="AJ84" s="51">
        <f t="shared" si="22"/>
        <v>589571</v>
      </c>
    </row>
    <row r="85" spans="8:36" ht="18" customHeight="1" x14ac:dyDescent="0.3">
      <c r="H85" s="37">
        <f t="shared" si="11"/>
        <v>46179</v>
      </c>
      <c r="I85" s="32"/>
      <c r="J85" s="32"/>
      <c r="K85" s="32"/>
      <c r="L85" s="32"/>
      <c r="M85" s="32"/>
      <c r="N85" s="32"/>
      <c r="P85" s="27" t="str">
        <f t="shared" ca="1" si="14"/>
        <v/>
      </c>
      <c r="Q85" s="27" t="e" cm="1">
        <f t="array" aca="1" ref="Q85" ca="1">IF(I85="",_xlfn.LET(
    _xlpm.vals,_xlfn._xlws.FILTER($J$4:J84,$J$4:J84&lt;&gt;"",""),
    _xlpm.avgJ,IF(COUNTA(_xlpm.vals)=0,0,AVERAGE(_xlfn.TAKE(_xlpm.vals,-MIN(7,ROWS(_xlpm.vals))))),
    _xlpm.addship,IF(P85="",0,P85),
    IF(
        AND(I84="",I85=""),
        Q84-_xlpm.avgJ+_xlpm.addship,
        IF(
            I85="",
            I84-_xlpm.avgJ+_xlpm.addship,
            ""
        )
    )
),I85)</f>
        <v>#NAME?</v>
      </c>
      <c r="R85" s="27" t="str">
        <f t="shared" ca="1" si="15"/>
        <v/>
      </c>
      <c r="S85" s="27" t="e" cm="1">
        <f t="array" aca="1" ref="S85" ca="1">IF(K85="",_xlfn.LET(
    _xlpm.vals,_xlfn._xlws.FILTER($L$4:L84,$L$4:L84&lt;&gt;"",""),
    _xlpm.avgJ,IF(COUNTA(_xlpm.vals)=0,0,AVERAGE(_xlfn.TAKE(_xlpm.vals,-MIN(7,ROWS(_xlpm.vals))))),
    _xlpm.addship,IF(R85="",0,R85),
    IF(
        AND(K84="",K85=""),
        S84-_xlpm.avgJ+_xlpm.addship,
        IF(
            K85="",
            K84-_xlpm.avgJ+_xlpm.addship,
            ""
        )
    )
),K85)</f>
        <v>#NAME?</v>
      </c>
      <c r="T85" s="27" t="str">
        <f t="shared" ca="1" si="16"/>
        <v/>
      </c>
      <c r="U85" s="27" t="e" cm="1">
        <f t="array" aca="1" ref="U85" ca="1">IF(M85="",_xlfn.LET(
    _xlpm.vals,_xlfn._xlws.FILTER($N$4:N84,$N$4:N84&lt;&gt;"",""),
    _xlpm.avgJ,IF(COUNTA(_xlpm.vals)=0,0,AVERAGE(_xlfn.TAKE(_xlpm.vals,-MIN(7,ROWS(_xlpm.vals))))),
    _xlpm.addship,IF(T85="",0,T85),
    IF(
        AND(M84="",M85=""),
        U84-_xlpm.avgJ+_xlpm.addship,
        IF(
            M85="",
            M84-_xlpm.avgJ+_xlpm.addship,
            ""
        )
    )
),M85)</f>
        <v>#NAME?</v>
      </c>
      <c r="V85" s="4" t="e">
        <f ca="1">IF(AND(Q85="",S85="",U85=""),"",
_xlfn.LET(
_xlpm.msgs,
_xlfn.TEXTJOIN(" | ",TRUE,
IF(Q85&gt;$C$20,"Petrol over capacity",""),
IF(Q85&lt;$C$21,"Petrol stock out",""),
IF(S85&gt;$D$20,"Diesel over capacity",""),
IF(S85&lt;$D$21,"Diesel stock out",""),
IF(U85&gt;$E$20,"Kero over capacity",""),
IF(U85&lt;$E$21,"Kero stock out","")),
IF(_xlpm.msgs="","",_xlpm.msgs)
))</f>
        <v>#NAME?</v>
      </c>
      <c r="AE85" s="51">
        <f t="shared" si="17"/>
        <v>47000</v>
      </c>
      <c r="AF85" s="51">
        <f t="shared" si="18"/>
        <v>1223106</v>
      </c>
      <c r="AG85" s="51">
        <f t="shared" si="19"/>
        <v>45000</v>
      </c>
      <c r="AH85" s="51">
        <f t="shared" si="20"/>
        <v>858361</v>
      </c>
      <c r="AI85" s="51">
        <f t="shared" si="21"/>
        <v>24500</v>
      </c>
      <c r="AJ85" s="51">
        <f t="shared" si="22"/>
        <v>589571</v>
      </c>
    </row>
    <row r="86" spans="8:36" ht="18" customHeight="1" x14ac:dyDescent="0.3">
      <c r="H86" s="37">
        <f t="shared" si="11"/>
        <v>46180</v>
      </c>
      <c r="I86" s="32"/>
      <c r="J86" s="32"/>
      <c r="K86" s="32"/>
      <c r="L86" s="32"/>
      <c r="M86" s="32"/>
      <c r="N86" s="32"/>
      <c r="P86" s="27" t="str">
        <f t="shared" ca="1" si="14"/>
        <v/>
      </c>
      <c r="Q86" s="27" t="e" cm="1">
        <f t="array" aca="1" ref="Q86" ca="1">IF(I86="",_xlfn.LET(
    _xlpm.vals,_xlfn._xlws.FILTER($J$4:J85,$J$4:J85&lt;&gt;"",""),
    _xlpm.avgJ,IF(COUNTA(_xlpm.vals)=0,0,AVERAGE(_xlfn.TAKE(_xlpm.vals,-MIN(7,ROWS(_xlpm.vals))))),
    _xlpm.addship,IF(P86="",0,P86),
    IF(
        AND(I85="",I86=""),
        Q85-_xlpm.avgJ+_xlpm.addship,
        IF(
            I86="",
            I85-_xlpm.avgJ+_xlpm.addship,
            ""
        )
    )
),I86)</f>
        <v>#NAME?</v>
      </c>
      <c r="R86" s="27" t="str">
        <f t="shared" ca="1" si="15"/>
        <v/>
      </c>
      <c r="S86" s="27" t="e" cm="1">
        <f t="array" aca="1" ref="S86" ca="1">IF(K86="",_xlfn.LET(
    _xlpm.vals,_xlfn._xlws.FILTER($L$4:L85,$L$4:L85&lt;&gt;"",""),
    _xlpm.avgJ,IF(COUNTA(_xlpm.vals)=0,0,AVERAGE(_xlfn.TAKE(_xlpm.vals,-MIN(7,ROWS(_xlpm.vals))))),
    _xlpm.addship,IF(R86="",0,R86),
    IF(
        AND(K85="",K86=""),
        S85-_xlpm.avgJ+_xlpm.addship,
        IF(
            K86="",
            K85-_xlpm.avgJ+_xlpm.addship,
            ""
        )
    )
),K86)</f>
        <v>#NAME?</v>
      </c>
      <c r="T86" s="27" t="str">
        <f t="shared" ca="1" si="16"/>
        <v/>
      </c>
      <c r="U86" s="27" t="e" cm="1">
        <f t="array" aca="1" ref="U86" ca="1">IF(M86="",_xlfn.LET(
    _xlpm.vals,_xlfn._xlws.FILTER($N$4:N85,$N$4:N85&lt;&gt;"",""),
    _xlpm.avgJ,IF(COUNTA(_xlpm.vals)=0,0,AVERAGE(_xlfn.TAKE(_xlpm.vals,-MIN(7,ROWS(_xlpm.vals))))),
    _xlpm.addship,IF(T86="",0,T86),
    IF(
        AND(M85="",M86=""),
        U85-_xlpm.avgJ+_xlpm.addship,
        IF(
            M86="",
            M85-_xlpm.avgJ+_xlpm.addship,
            ""
        )
    )
),M86)</f>
        <v>#NAME?</v>
      </c>
      <c r="V86" s="4" t="e">
        <f ca="1">IF(AND(Q86="",S86="",U86=""),"",
_xlfn.LET(
_xlpm.msgs,
_xlfn.TEXTJOIN(" | ",TRUE,
IF(Q86&gt;$C$20,"Petrol over capacity",""),
IF(Q86&lt;$C$21,"Petrol stock out",""),
IF(S86&gt;$D$20,"Diesel over capacity",""),
IF(S86&lt;$D$21,"Diesel stock out",""),
IF(U86&gt;$E$20,"Kero over capacity",""),
IF(U86&lt;$E$21,"Kero stock out","")),
IF(_xlpm.msgs="","",_xlpm.msgs)
))</f>
        <v>#NAME?</v>
      </c>
      <c r="AE86" s="51">
        <f t="shared" si="17"/>
        <v>47000</v>
      </c>
      <c r="AF86" s="51">
        <f t="shared" si="18"/>
        <v>1223106</v>
      </c>
      <c r="AG86" s="51">
        <f t="shared" si="19"/>
        <v>45000</v>
      </c>
      <c r="AH86" s="51">
        <f t="shared" si="20"/>
        <v>858361</v>
      </c>
      <c r="AI86" s="51">
        <f t="shared" si="21"/>
        <v>24500</v>
      </c>
      <c r="AJ86" s="51">
        <f t="shared" si="22"/>
        <v>589571</v>
      </c>
    </row>
    <row r="87" spans="8:36" ht="18" customHeight="1" x14ac:dyDescent="0.3">
      <c r="H87" s="37">
        <f t="shared" si="11"/>
        <v>46181</v>
      </c>
      <c r="I87" s="32"/>
      <c r="J87" s="32"/>
      <c r="K87" s="32"/>
      <c r="L87" s="32"/>
      <c r="M87" s="32"/>
      <c r="N87" s="32"/>
      <c r="P87" s="27" t="str">
        <f t="shared" ca="1" si="14"/>
        <v/>
      </c>
      <c r="Q87" s="27" t="e" cm="1">
        <f t="array" aca="1" ref="Q87" ca="1">IF(I87="",_xlfn.LET(
    _xlpm.vals,_xlfn._xlws.FILTER($J$4:J86,$J$4:J86&lt;&gt;"",""),
    _xlpm.avgJ,IF(COUNTA(_xlpm.vals)=0,0,AVERAGE(_xlfn.TAKE(_xlpm.vals,-MIN(7,ROWS(_xlpm.vals))))),
    _xlpm.addship,IF(P87="",0,P87),
    IF(
        AND(I86="",I87=""),
        Q86-_xlpm.avgJ+_xlpm.addship,
        IF(
            I87="",
            I86-_xlpm.avgJ+_xlpm.addship,
            ""
        )
    )
),I87)</f>
        <v>#NAME?</v>
      </c>
      <c r="R87" s="27" t="str">
        <f t="shared" ca="1" si="15"/>
        <v/>
      </c>
      <c r="S87" s="27" t="e" cm="1">
        <f t="array" aca="1" ref="S87" ca="1">IF(K87="",_xlfn.LET(
    _xlpm.vals,_xlfn._xlws.FILTER($L$4:L86,$L$4:L86&lt;&gt;"",""),
    _xlpm.avgJ,IF(COUNTA(_xlpm.vals)=0,0,AVERAGE(_xlfn.TAKE(_xlpm.vals,-MIN(7,ROWS(_xlpm.vals))))),
    _xlpm.addship,IF(R87="",0,R87),
    IF(
        AND(K86="",K87=""),
        S86-_xlpm.avgJ+_xlpm.addship,
        IF(
            K87="",
            K86-_xlpm.avgJ+_xlpm.addship,
            ""
        )
    )
),K87)</f>
        <v>#NAME?</v>
      </c>
      <c r="T87" s="27" t="str">
        <f t="shared" ca="1" si="16"/>
        <v/>
      </c>
      <c r="U87" s="27" t="e" cm="1">
        <f t="array" aca="1" ref="U87" ca="1">IF(M87="",_xlfn.LET(
    _xlpm.vals,_xlfn._xlws.FILTER($N$4:N86,$N$4:N86&lt;&gt;"",""),
    _xlpm.avgJ,IF(COUNTA(_xlpm.vals)=0,0,AVERAGE(_xlfn.TAKE(_xlpm.vals,-MIN(7,ROWS(_xlpm.vals))))),
    _xlpm.addship,IF(T87="",0,T87),
    IF(
        AND(M86="",M87=""),
        U86-_xlpm.avgJ+_xlpm.addship,
        IF(
            M87="",
            M86-_xlpm.avgJ+_xlpm.addship,
            ""
        )
    )
),M87)</f>
        <v>#NAME?</v>
      </c>
      <c r="V87" s="4" t="e">
        <f ca="1">IF(AND(Q87="",S87="",U87=""),"",
_xlfn.LET(
_xlpm.msgs,
_xlfn.TEXTJOIN(" | ",TRUE,
IF(Q87&gt;$C$20,"Petrol over capacity",""),
IF(Q87&lt;$C$21,"Petrol stock out",""),
IF(S87&gt;$D$20,"Diesel over capacity",""),
IF(S87&lt;$D$21,"Diesel stock out",""),
IF(U87&gt;$E$20,"Kero over capacity",""),
IF(U87&lt;$E$21,"Kero stock out","")),
IF(_xlpm.msgs="","",_xlpm.msgs)
))</f>
        <v>#NAME?</v>
      </c>
      <c r="AE87" s="51">
        <f t="shared" si="17"/>
        <v>47000</v>
      </c>
      <c r="AF87" s="51">
        <f t="shared" si="18"/>
        <v>1223106</v>
      </c>
      <c r="AG87" s="51">
        <f t="shared" si="19"/>
        <v>45000</v>
      </c>
      <c r="AH87" s="51">
        <f t="shared" si="20"/>
        <v>858361</v>
      </c>
      <c r="AI87" s="51">
        <f t="shared" si="21"/>
        <v>24500</v>
      </c>
      <c r="AJ87" s="51">
        <f t="shared" si="22"/>
        <v>589571</v>
      </c>
    </row>
    <row r="88" spans="8:36" ht="18" customHeight="1" x14ac:dyDescent="0.3">
      <c r="H88" s="37">
        <f t="shared" si="11"/>
        <v>46182</v>
      </c>
      <c r="I88" s="32"/>
      <c r="J88" s="32"/>
      <c r="K88" s="32"/>
      <c r="L88" s="32"/>
      <c r="M88" s="32"/>
      <c r="N88" s="32"/>
      <c r="P88" s="27" t="str">
        <f t="shared" ca="1" si="14"/>
        <v/>
      </c>
      <c r="Q88" s="27" t="e" cm="1">
        <f t="array" aca="1" ref="Q88" ca="1">IF(I88="",_xlfn.LET(
    _xlpm.vals,_xlfn._xlws.FILTER($J$4:J87,$J$4:J87&lt;&gt;"",""),
    _xlpm.avgJ,IF(COUNTA(_xlpm.vals)=0,0,AVERAGE(_xlfn.TAKE(_xlpm.vals,-MIN(7,ROWS(_xlpm.vals))))),
    _xlpm.addship,IF(P88="",0,P88),
    IF(
        AND(I87="",I88=""),
        Q87-_xlpm.avgJ+_xlpm.addship,
        IF(
            I88="",
            I87-_xlpm.avgJ+_xlpm.addship,
            ""
        )
    )
),I88)</f>
        <v>#NAME?</v>
      </c>
      <c r="R88" s="27" t="str">
        <f t="shared" ca="1" si="15"/>
        <v/>
      </c>
      <c r="S88" s="27" t="e" cm="1">
        <f t="array" aca="1" ref="S88" ca="1">IF(K88="",_xlfn.LET(
    _xlpm.vals,_xlfn._xlws.FILTER($L$4:L87,$L$4:L87&lt;&gt;"",""),
    _xlpm.avgJ,IF(COUNTA(_xlpm.vals)=0,0,AVERAGE(_xlfn.TAKE(_xlpm.vals,-MIN(7,ROWS(_xlpm.vals))))),
    _xlpm.addship,IF(R88="",0,R88),
    IF(
        AND(K87="",K88=""),
        S87-_xlpm.avgJ+_xlpm.addship,
        IF(
            K88="",
            K87-_xlpm.avgJ+_xlpm.addship,
            ""
        )
    )
),K88)</f>
        <v>#NAME?</v>
      </c>
      <c r="T88" s="27" t="str">
        <f t="shared" ca="1" si="16"/>
        <v/>
      </c>
      <c r="U88" s="27" t="e" cm="1">
        <f t="array" aca="1" ref="U88" ca="1">IF(M88="",_xlfn.LET(
    _xlpm.vals,_xlfn._xlws.FILTER($N$4:N87,$N$4:N87&lt;&gt;"",""),
    _xlpm.avgJ,IF(COUNTA(_xlpm.vals)=0,0,AVERAGE(_xlfn.TAKE(_xlpm.vals,-MIN(7,ROWS(_xlpm.vals))))),
    _xlpm.addship,IF(T88="",0,T88),
    IF(
        AND(M87="",M88=""),
        U87-_xlpm.avgJ+_xlpm.addship,
        IF(
            M88="",
            M87-_xlpm.avgJ+_xlpm.addship,
            ""
        )
    )
),M88)</f>
        <v>#NAME?</v>
      </c>
      <c r="V88" s="4" t="e">
        <f ca="1">IF(AND(Q88="",S88="",U88=""),"",
_xlfn.LET(
_xlpm.msgs,
_xlfn.TEXTJOIN(" | ",TRUE,
IF(Q88&gt;$C$20,"Petrol over capacity",""),
IF(Q88&lt;$C$21,"Petrol stock out",""),
IF(S88&gt;$D$20,"Diesel over capacity",""),
IF(S88&lt;$D$21,"Diesel stock out",""),
IF(U88&gt;$E$20,"Kero over capacity",""),
IF(U88&lt;$E$21,"Kero stock out","")),
IF(_xlpm.msgs="","",_xlpm.msgs)
))</f>
        <v>#NAME?</v>
      </c>
      <c r="AE88" s="51">
        <f t="shared" si="17"/>
        <v>47000</v>
      </c>
      <c r="AF88" s="51">
        <f t="shared" si="18"/>
        <v>1223106</v>
      </c>
      <c r="AG88" s="51">
        <f t="shared" si="19"/>
        <v>45000</v>
      </c>
      <c r="AH88" s="51">
        <f t="shared" si="20"/>
        <v>858361</v>
      </c>
      <c r="AI88" s="51">
        <f t="shared" si="21"/>
        <v>24500</v>
      </c>
      <c r="AJ88" s="51">
        <f t="shared" si="22"/>
        <v>589571</v>
      </c>
    </row>
    <row r="89" spans="8:36" ht="18" customHeight="1" x14ac:dyDescent="0.3">
      <c r="H89" s="37">
        <f t="shared" si="11"/>
        <v>46183</v>
      </c>
      <c r="I89" s="32"/>
      <c r="J89" s="32"/>
      <c r="K89" s="32"/>
      <c r="L89" s="32"/>
      <c r="M89" s="32"/>
      <c r="N89" s="32"/>
      <c r="P89" s="27" t="str">
        <f t="shared" ca="1" si="14"/>
        <v/>
      </c>
      <c r="Q89" s="27" t="e" cm="1">
        <f t="array" aca="1" ref="Q89" ca="1">IF(I89="",_xlfn.LET(
    _xlpm.vals,_xlfn._xlws.FILTER($J$4:J88,$J$4:J88&lt;&gt;"",""),
    _xlpm.avgJ,IF(COUNTA(_xlpm.vals)=0,0,AVERAGE(_xlfn.TAKE(_xlpm.vals,-MIN(7,ROWS(_xlpm.vals))))),
    _xlpm.addship,IF(P89="",0,P89),
    IF(
        AND(I88="",I89=""),
        Q88-_xlpm.avgJ+_xlpm.addship,
        IF(
            I89="",
            I88-_xlpm.avgJ+_xlpm.addship,
            ""
        )
    )
),I89)</f>
        <v>#NAME?</v>
      </c>
      <c r="R89" s="27" t="str">
        <f t="shared" ca="1" si="15"/>
        <v/>
      </c>
      <c r="S89" s="27" t="e" cm="1">
        <f t="array" aca="1" ref="S89" ca="1">IF(K89="",_xlfn.LET(
    _xlpm.vals,_xlfn._xlws.FILTER($L$4:L88,$L$4:L88&lt;&gt;"",""),
    _xlpm.avgJ,IF(COUNTA(_xlpm.vals)=0,0,AVERAGE(_xlfn.TAKE(_xlpm.vals,-MIN(7,ROWS(_xlpm.vals))))),
    _xlpm.addship,IF(R89="",0,R89),
    IF(
        AND(K88="",K89=""),
        S88-_xlpm.avgJ+_xlpm.addship,
        IF(
            K89="",
            K88-_xlpm.avgJ+_xlpm.addship,
            ""
        )
    )
),K89)</f>
        <v>#NAME?</v>
      </c>
      <c r="T89" s="27" t="str">
        <f t="shared" ca="1" si="16"/>
        <v/>
      </c>
      <c r="U89" s="27" t="e" cm="1">
        <f t="array" aca="1" ref="U89" ca="1">IF(M89="",_xlfn.LET(
    _xlpm.vals,_xlfn._xlws.FILTER($N$4:N88,$N$4:N88&lt;&gt;"",""),
    _xlpm.avgJ,IF(COUNTA(_xlpm.vals)=0,0,AVERAGE(_xlfn.TAKE(_xlpm.vals,-MIN(7,ROWS(_xlpm.vals))))),
    _xlpm.addship,IF(T89="",0,T89),
    IF(
        AND(M88="",M89=""),
        U88-_xlpm.avgJ+_xlpm.addship,
        IF(
            M89="",
            M88-_xlpm.avgJ+_xlpm.addship,
            ""
        )
    )
),M89)</f>
        <v>#NAME?</v>
      </c>
      <c r="V89" s="4" t="e">
        <f ca="1">IF(AND(Q89="",S89="",U89=""),"",
_xlfn.LET(
_xlpm.msgs,
_xlfn.TEXTJOIN(" | ",TRUE,
IF(Q89&gt;$C$20,"Petrol over capacity",""),
IF(Q89&lt;$C$21,"Petrol stock out",""),
IF(S89&gt;$D$20,"Diesel over capacity",""),
IF(S89&lt;$D$21,"Diesel stock out",""),
IF(U89&gt;$E$20,"Kero over capacity",""),
IF(U89&lt;$E$21,"Kero stock out","")),
IF(_xlpm.msgs="","",_xlpm.msgs)
))</f>
        <v>#NAME?</v>
      </c>
      <c r="AE89" s="51">
        <f t="shared" si="17"/>
        <v>47000</v>
      </c>
      <c r="AF89" s="51">
        <f t="shared" si="18"/>
        <v>1223106</v>
      </c>
      <c r="AG89" s="51">
        <f t="shared" si="19"/>
        <v>45000</v>
      </c>
      <c r="AH89" s="51">
        <f t="shared" si="20"/>
        <v>858361</v>
      </c>
      <c r="AI89" s="51">
        <f t="shared" si="21"/>
        <v>24500</v>
      </c>
      <c r="AJ89" s="51">
        <f t="shared" si="22"/>
        <v>589571</v>
      </c>
    </row>
    <row r="90" spans="8:36" ht="18" customHeight="1" x14ac:dyDescent="0.3">
      <c r="H90" s="37">
        <f t="shared" si="11"/>
        <v>46184</v>
      </c>
      <c r="I90" s="32"/>
      <c r="J90" s="32"/>
      <c r="K90" s="32"/>
      <c r="L90" s="32"/>
      <c r="M90" s="32"/>
      <c r="N90" s="32"/>
      <c r="P90" s="27" t="str">
        <f t="shared" ca="1" si="14"/>
        <v/>
      </c>
      <c r="Q90" s="27" t="e" cm="1">
        <f t="array" aca="1" ref="Q90" ca="1">IF(I90="",_xlfn.LET(
    _xlpm.vals,_xlfn._xlws.FILTER($J$4:J89,$J$4:J89&lt;&gt;"",""),
    _xlpm.avgJ,IF(COUNTA(_xlpm.vals)=0,0,AVERAGE(_xlfn.TAKE(_xlpm.vals,-MIN(7,ROWS(_xlpm.vals))))),
    _xlpm.addship,IF(P90="",0,P90),
    IF(
        AND(I89="",I90=""),
        Q89-_xlpm.avgJ+_xlpm.addship,
        IF(
            I90="",
            I89-_xlpm.avgJ+_xlpm.addship,
            ""
        )
    )
),I90)</f>
        <v>#NAME?</v>
      </c>
      <c r="R90" s="27" t="str">
        <f t="shared" ca="1" si="15"/>
        <v/>
      </c>
      <c r="S90" s="27" t="e" cm="1">
        <f t="array" aca="1" ref="S90" ca="1">IF(K90="",_xlfn.LET(
    _xlpm.vals,_xlfn._xlws.FILTER($L$4:L89,$L$4:L89&lt;&gt;"",""),
    _xlpm.avgJ,IF(COUNTA(_xlpm.vals)=0,0,AVERAGE(_xlfn.TAKE(_xlpm.vals,-MIN(7,ROWS(_xlpm.vals))))),
    _xlpm.addship,IF(R90="",0,R90),
    IF(
        AND(K89="",K90=""),
        S89-_xlpm.avgJ+_xlpm.addship,
        IF(
            K90="",
            K89-_xlpm.avgJ+_xlpm.addship,
            ""
        )
    )
),K90)</f>
        <v>#NAME?</v>
      </c>
      <c r="T90" s="27" t="str">
        <f t="shared" ca="1" si="16"/>
        <v/>
      </c>
      <c r="U90" s="27" t="e" cm="1">
        <f t="array" aca="1" ref="U90" ca="1">IF(M90="",_xlfn.LET(
    _xlpm.vals,_xlfn._xlws.FILTER($N$4:N89,$N$4:N89&lt;&gt;"",""),
    _xlpm.avgJ,IF(COUNTA(_xlpm.vals)=0,0,AVERAGE(_xlfn.TAKE(_xlpm.vals,-MIN(7,ROWS(_xlpm.vals))))),
    _xlpm.addship,IF(T90="",0,T90),
    IF(
        AND(M89="",M90=""),
        U89-_xlpm.avgJ+_xlpm.addship,
        IF(
            M90="",
            M89-_xlpm.avgJ+_xlpm.addship,
            ""
        )
    )
),M90)</f>
        <v>#NAME?</v>
      </c>
      <c r="V90" s="4" t="e">
        <f ca="1">IF(AND(Q90="",S90="",U90=""),"",
_xlfn.LET(
_xlpm.msgs,
_xlfn.TEXTJOIN(" | ",TRUE,
IF(Q90&gt;$C$20,"Petrol over capacity",""),
IF(Q90&lt;$C$21,"Petrol stock out",""),
IF(S90&gt;$D$20,"Diesel over capacity",""),
IF(S90&lt;$D$21,"Diesel stock out",""),
IF(U90&gt;$E$20,"Kero over capacity",""),
IF(U90&lt;$E$21,"Kero stock out","")),
IF(_xlpm.msgs="","",_xlpm.msgs)
))</f>
        <v>#NAME?</v>
      </c>
      <c r="AE90" s="51">
        <f t="shared" si="17"/>
        <v>47000</v>
      </c>
      <c r="AF90" s="51">
        <f t="shared" si="18"/>
        <v>1223106</v>
      </c>
      <c r="AG90" s="51">
        <f t="shared" si="19"/>
        <v>45000</v>
      </c>
      <c r="AH90" s="51">
        <f t="shared" si="20"/>
        <v>858361</v>
      </c>
      <c r="AI90" s="51">
        <f t="shared" si="21"/>
        <v>24500</v>
      </c>
      <c r="AJ90" s="51">
        <f t="shared" si="22"/>
        <v>589571</v>
      </c>
    </row>
    <row r="91" spans="8:36" ht="18" customHeight="1" x14ac:dyDescent="0.3">
      <c r="H91" s="37">
        <f t="shared" si="11"/>
        <v>46185</v>
      </c>
      <c r="I91" s="32"/>
      <c r="J91" s="32"/>
      <c r="K91" s="32"/>
      <c r="L91" s="32"/>
      <c r="M91" s="32"/>
      <c r="N91" s="32"/>
      <c r="P91" s="27" t="str">
        <f t="shared" ca="1" si="14"/>
        <v/>
      </c>
      <c r="Q91" s="27" t="e" cm="1">
        <f t="array" aca="1" ref="Q91" ca="1">IF(I91="",_xlfn.LET(
    _xlpm.vals,_xlfn._xlws.FILTER($J$4:J90,$J$4:J90&lt;&gt;"",""),
    _xlpm.avgJ,IF(COUNTA(_xlpm.vals)=0,0,AVERAGE(_xlfn.TAKE(_xlpm.vals,-MIN(7,ROWS(_xlpm.vals))))),
    _xlpm.addship,IF(P91="",0,P91),
    IF(
        AND(I90="",I91=""),
        Q90-_xlpm.avgJ+_xlpm.addship,
        IF(
            I91="",
            I90-_xlpm.avgJ+_xlpm.addship,
            ""
        )
    )
),I91)</f>
        <v>#NAME?</v>
      </c>
      <c r="R91" s="27" t="str">
        <f t="shared" ca="1" si="15"/>
        <v/>
      </c>
      <c r="S91" s="27" t="e" cm="1">
        <f t="array" aca="1" ref="S91" ca="1">IF(K91="",_xlfn.LET(
    _xlpm.vals,_xlfn._xlws.FILTER($L$4:L90,$L$4:L90&lt;&gt;"",""),
    _xlpm.avgJ,IF(COUNTA(_xlpm.vals)=0,0,AVERAGE(_xlfn.TAKE(_xlpm.vals,-MIN(7,ROWS(_xlpm.vals))))),
    _xlpm.addship,IF(R91="",0,R91),
    IF(
        AND(K90="",K91=""),
        S90-_xlpm.avgJ+_xlpm.addship,
        IF(
            K91="",
            K90-_xlpm.avgJ+_xlpm.addship,
            ""
        )
    )
),K91)</f>
        <v>#NAME?</v>
      </c>
      <c r="T91" s="27" t="str">
        <f t="shared" ca="1" si="16"/>
        <v/>
      </c>
      <c r="U91" s="27" t="e" cm="1">
        <f t="array" aca="1" ref="U91" ca="1">IF(M91="",_xlfn.LET(
    _xlpm.vals,_xlfn._xlws.FILTER($N$4:N90,$N$4:N90&lt;&gt;"",""),
    _xlpm.avgJ,IF(COUNTA(_xlpm.vals)=0,0,AVERAGE(_xlfn.TAKE(_xlpm.vals,-MIN(7,ROWS(_xlpm.vals))))),
    _xlpm.addship,IF(T91="",0,T91),
    IF(
        AND(M90="",M91=""),
        U90-_xlpm.avgJ+_xlpm.addship,
        IF(
            M91="",
            M90-_xlpm.avgJ+_xlpm.addship,
            ""
        )
    )
),M91)</f>
        <v>#NAME?</v>
      </c>
      <c r="V91" s="4" t="e">
        <f ca="1">IF(AND(Q91="",S91="",U91=""),"",
_xlfn.LET(
_xlpm.msgs,
_xlfn.TEXTJOIN(" | ",TRUE,
IF(Q91&gt;$C$20,"Petrol over capacity",""),
IF(Q91&lt;$C$21,"Petrol stock out",""),
IF(S91&gt;$D$20,"Diesel over capacity",""),
IF(S91&lt;$D$21,"Diesel stock out",""),
IF(U91&gt;$E$20,"Kero over capacity",""),
IF(U91&lt;$E$21,"Kero stock out","")),
IF(_xlpm.msgs="","",_xlpm.msgs)
))</f>
        <v>#NAME?</v>
      </c>
      <c r="AE91" s="51">
        <f t="shared" si="17"/>
        <v>47000</v>
      </c>
      <c r="AF91" s="51">
        <f t="shared" si="18"/>
        <v>1223106</v>
      </c>
      <c r="AG91" s="51">
        <f t="shared" si="19"/>
        <v>45000</v>
      </c>
      <c r="AH91" s="51">
        <f t="shared" si="20"/>
        <v>858361</v>
      </c>
      <c r="AI91" s="51">
        <f t="shared" si="21"/>
        <v>24500</v>
      </c>
      <c r="AJ91" s="51">
        <f t="shared" si="22"/>
        <v>589571</v>
      </c>
    </row>
    <row r="92" spans="8:36" ht="18" customHeight="1" x14ac:dyDescent="0.3">
      <c r="H92" s="37">
        <f t="shared" ref="H92:H109" si="23">H91+1</f>
        <v>46186</v>
      </c>
      <c r="I92" s="32"/>
      <c r="J92" s="32"/>
      <c r="K92" s="32"/>
      <c r="L92" s="32"/>
      <c r="M92" s="32"/>
      <c r="N92" s="32"/>
      <c r="P92" s="27" t="str">
        <f t="shared" ca="1" si="14"/>
        <v/>
      </c>
      <c r="Q92" s="27" t="e" cm="1">
        <f t="array" aca="1" ref="Q92" ca="1">IF(I92="",_xlfn.LET(
    _xlpm.vals,_xlfn._xlws.FILTER($J$4:J91,$J$4:J91&lt;&gt;"",""),
    _xlpm.avgJ,IF(COUNTA(_xlpm.vals)=0,0,AVERAGE(_xlfn.TAKE(_xlpm.vals,-MIN(7,ROWS(_xlpm.vals))))),
    _xlpm.addship,IF(P92="",0,P92),
    IF(
        AND(I91="",I92=""),
        Q91-_xlpm.avgJ+_xlpm.addship,
        IF(
            I92="",
            I91-_xlpm.avgJ+_xlpm.addship,
            ""
        )
    )
),I92)</f>
        <v>#NAME?</v>
      </c>
      <c r="R92" s="27" t="str">
        <f t="shared" ca="1" si="15"/>
        <v/>
      </c>
      <c r="S92" s="27" t="e" cm="1">
        <f t="array" aca="1" ref="S92" ca="1">IF(K92="",_xlfn.LET(
    _xlpm.vals,_xlfn._xlws.FILTER($L$4:L91,$L$4:L91&lt;&gt;"",""),
    _xlpm.avgJ,IF(COUNTA(_xlpm.vals)=0,0,AVERAGE(_xlfn.TAKE(_xlpm.vals,-MIN(7,ROWS(_xlpm.vals))))),
    _xlpm.addship,IF(R92="",0,R92),
    IF(
        AND(K91="",K92=""),
        S91-_xlpm.avgJ+_xlpm.addship,
        IF(
            K92="",
            K91-_xlpm.avgJ+_xlpm.addship,
            ""
        )
    )
),K92)</f>
        <v>#NAME?</v>
      </c>
      <c r="T92" s="27" t="str">
        <f t="shared" ca="1" si="16"/>
        <v/>
      </c>
      <c r="U92" s="27" t="e" cm="1">
        <f t="array" aca="1" ref="U92" ca="1">IF(M92="",_xlfn.LET(
    _xlpm.vals,_xlfn._xlws.FILTER($N$4:N91,$N$4:N91&lt;&gt;"",""),
    _xlpm.avgJ,IF(COUNTA(_xlpm.vals)=0,0,AVERAGE(_xlfn.TAKE(_xlpm.vals,-MIN(7,ROWS(_xlpm.vals))))),
    _xlpm.addship,IF(T92="",0,T92),
    IF(
        AND(M91="",M92=""),
        U91-_xlpm.avgJ+_xlpm.addship,
        IF(
            M92="",
            M91-_xlpm.avgJ+_xlpm.addship,
            ""
        )
    )
),M92)</f>
        <v>#NAME?</v>
      </c>
      <c r="V92" s="4" t="e">
        <f ca="1">IF(AND(Q92="",S92="",U92=""),"",
_xlfn.LET(
_xlpm.msgs,
_xlfn.TEXTJOIN(" | ",TRUE,
IF(Q92&gt;$C$20,"Petrol over capacity",""),
IF(Q92&lt;$C$21,"Petrol stock out",""),
IF(S92&gt;$D$20,"Diesel over capacity",""),
IF(S92&lt;$D$21,"Diesel stock out",""),
IF(U92&gt;$E$20,"Kero over capacity",""),
IF(U92&lt;$E$21,"Kero stock out","")),
IF(_xlpm.msgs="","",_xlpm.msgs)
))</f>
        <v>#NAME?</v>
      </c>
      <c r="AE92" s="51">
        <f t="shared" si="17"/>
        <v>47000</v>
      </c>
      <c r="AF92" s="51">
        <f t="shared" si="18"/>
        <v>1223106</v>
      </c>
      <c r="AG92" s="51">
        <f t="shared" si="19"/>
        <v>45000</v>
      </c>
      <c r="AH92" s="51">
        <f t="shared" si="20"/>
        <v>858361</v>
      </c>
      <c r="AI92" s="51">
        <f t="shared" si="21"/>
        <v>24500</v>
      </c>
      <c r="AJ92" s="51">
        <f t="shared" si="22"/>
        <v>589571</v>
      </c>
    </row>
    <row r="93" spans="8:36" ht="18" customHeight="1" x14ac:dyDescent="0.3">
      <c r="H93" s="37">
        <f t="shared" si="23"/>
        <v>46187</v>
      </c>
      <c r="I93" s="32"/>
      <c r="J93" s="32"/>
      <c r="K93" s="32"/>
      <c r="L93" s="32"/>
      <c r="M93" s="32"/>
      <c r="N93" s="32"/>
      <c r="P93" s="27" t="str">
        <f t="shared" ca="1" si="14"/>
        <v/>
      </c>
      <c r="Q93" s="27" t="e" cm="1">
        <f t="array" aca="1" ref="Q93" ca="1">IF(I93="",_xlfn.LET(
    _xlpm.vals,_xlfn._xlws.FILTER($J$4:J92,$J$4:J92&lt;&gt;"",""),
    _xlpm.avgJ,IF(COUNTA(_xlpm.vals)=0,0,AVERAGE(_xlfn.TAKE(_xlpm.vals,-MIN(7,ROWS(_xlpm.vals))))),
    _xlpm.addship,IF(P93="",0,P93),
    IF(
        AND(I92="",I93=""),
        Q92-_xlpm.avgJ+_xlpm.addship,
        IF(
            I93="",
            I92-_xlpm.avgJ+_xlpm.addship,
            ""
        )
    )
),I93)</f>
        <v>#NAME?</v>
      </c>
      <c r="R93" s="27" t="str">
        <f t="shared" ca="1" si="15"/>
        <v/>
      </c>
      <c r="S93" s="27" t="e" cm="1">
        <f t="array" aca="1" ref="S93" ca="1">IF(K93="",_xlfn.LET(
    _xlpm.vals,_xlfn._xlws.FILTER($L$4:L92,$L$4:L92&lt;&gt;"",""),
    _xlpm.avgJ,IF(COUNTA(_xlpm.vals)=0,0,AVERAGE(_xlfn.TAKE(_xlpm.vals,-MIN(7,ROWS(_xlpm.vals))))),
    _xlpm.addship,IF(R93="",0,R93),
    IF(
        AND(K92="",K93=""),
        S92-_xlpm.avgJ+_xlpm.addship,
        IF(
            K93="",
            K92-_xlpm.avgJ+_xlpm.addship,
            ""
        )
    )
),K93)</f>
        <v>#NAME?</v>
      </c>
      <c r="T93" s="27" t="str">
        <f t="shared" ca="1" si="16"/>
        <v/>
      </c>
      <c r="U93" s="27" t="e" cm="1">
        <f t="array" aca="1" ref="U93" ca="1">IF(M93="",_xlfn.LET(
    _xlpm.vals,_xlfn._xlws.FILTER($N$4:N92,$N$4:N92&lt;&gt;"",""),
    _xlpm.avgJ,IF(COUNTA(_xlpm.vals)=0,0,AVERAGE(_xlfn.TAKE(_xlpm.vals,-MIN(7,ROWS(_xlpm.vals))))),
    _xlpm.addship,IF(T93="",0,T93),
    IF(
        AND(M92="",M93=""),
        U92-_xlpm.avgJ+_xlpm.addship,
        IF(
            M93="",
            M92-_xlpm.avgJ+_xlpm.addship,
            ""
        )
    )
),M93)</f>
        <v>#NAME?</v>
      </c>
      <c r="V93" s="4" t="e">
        <f ca="1">IF(AND(Q93="",S93="",U93=""),"",
_xlfn.LET(
_xlpm.msgs,
_xlfn.TEXTJOIN(" | ",TRUE,
IF(Q93&gt;$C$20,"Petrol over capacity",""),
IF(Q93&lt;$C$21,"Petrol stock out",""),
IF(S93&gt;$D$20,"Diesel over capacity",""),
IF(S93&lt;$D$21,"Diesel stock out",""),
IF(U93&gt;$E$20,"Kero over capacity",""),
IF(U93&lt;$E$21,"Kero stock out","")),
IF(_xlpm.msgs="","",_xlpm.msgs)
))</f>
        <v>#NAME?</v>
      </c>
      <c r="AE93" s="51">
        <f t="shared" si="17"/>
        <v>47000</v>
      </c>
      <c r="AF93" s="51">
        <f t="shared" si="18"/>
        <v>1223106</v>
      </c>
      <c r="AG93" s="51">
        <f t="shared" si="19"/>
        <v>45000</v>
      </c>
      <c r="AH93" s="51">
        <f t="shared" si="20"/>
        <v>858361</v>
      </c>
      <c r="AI93" s="51">
        <f t="shared" si="21"/>
        <v>24500</v>
      </c>
      <c r="AJ93" s="51">
        <f t="shared" si="22"/>
        <v>589571</v>
      </c>
    </row>
    <row r="94" spans="8:36" ht="18" customHeight="1" x14ac:dyDescent="0.3">
      <c r="H94" s="37">
        <f t="shared" si="23"/>
        <v>46188</v>
      </c>
      <c r="I94" s="32"/>
      <c r="J94" s="32"/>
      <c r="K94" s="32"/>
      <c r="L94" s="32"/>
      <c r="M94" s="32"/>
      <c r="N94" s="32"/>
      <c r="P94" s="27" t="str">
        <f t="shared" ca="1" si="14"/>
        <v/>
      </c>
      <c r="Q94" s="27" t="e" cm="1">
        <f t="array" aca="1" ref="Q94" ca="1">IF(I94="",_xlfn.LET(
    _xlpm.vals,_xlfn._xlws.FILTER($J$4:J93,$J$4:J93&lt;&gt;"",""),
    _xlpm.avgJ,IF(COUNTA(_xlpm.vals)=0,0,AVERAGE(_xlfn.TAKE(_xlpm.vals,-MIN(7,ROWS(_xlpm.vals))))),
    _xlpm.addship,IF(P94="",0,P94),
    IF(
        AND(I93="",I94=""),
        Q93-_xlpm.avgJ+_xlpm.addship,
        IF(
            I94="",
            I93-_xlpm.avgJ+_xlpm.addship,
            ""
        )
    )
),I94)</f>
        <v>#NAME?</v>
      </c>
      <c r="R94" s="27" t="str">
        <f t="shared" ca="1" si="15"/>
        <v/>
      </c>
      <c r="S94" s="27" t="e" cm="1">
        <f t="array" aca="1" ref="S94" ca="1">IF(K94="",_xlfn.LET(
    _xlpm.vals,_xlfn._xlws.FILTER($L$4:L93,$L$4:L93&lt;&gt;"",""),
    _xlpm.avgJ,IF(COUNTA(_xlpm.vals)=0,0,AVERAGE(_xlfn.TAKE(_xlpm.vals,-MIN(7,ROWS(_xlpm.vals))))),
    _xlpm.addship,IF(R94="",0,R94),
    IF(
        AND(K93="",K94=""),
        S93-_xlpm.avgJ+_xlpm.addship,
        IF(
            K94="",
            K93-_xlpm.avgJ+_xlpm.addship,
            ""
        )
    )
),K94)</f>
        <v>#NAME?</v>
      </c>
      <c r="T94" s="27" t="str">
        <f t="shared" ca="1" si="16"/>
        <v/>
      </c>
      <c r="U94" s="27" t="e" cm="1">
        <f t="array" aca="1" ref="U94" ca="1">IF(M94="",_xlfn.LET(
    _xlpm.vals,_xlfn._xlws.FILTER($N$4:N93,$N$4:N93&lt;&gt;"",""),
    _xlpm.avgJ,IF(COUNTA(_xlpm.vals)=0,0,AVERAGE(_xlfn.TAKE(_xlpm.vals,-MIN(7,ROWS(_xlpm.vals))))),
    _xlpm.addship,IF(T94="",0,T94),
    IF(
        AND(M93="",M94=""),
        U93-_xlpm.avgJ+_xlpm.addship,
        IF(
            M94="",
            M93-_xlpm.avgJ+_xlpm.addship,
            ""
        )
    )
),M94)</f>
        <v>#NAME?</v>
      </c>
      <c r="V94" s="4" t="e">
        <f ca="1">IF(AND(Q94="",S94="",U94=""),"",
_xlfn.LET(
_xlpm.msgs,
_xlfn.TEXTJOIN(" | ",TRUE,
IF(Q94&gt;$C$20,"Petrol over capacity",""),
IF(Q94&lt;$C$21,"Petrol stock out",""),
IF(S94&gt;$D$20,"Diesel over capacity",""),
IF(S94&lt;$D$21,"Diesel stock out",""),
IF(U94&gt;$E$20,"Kero over capacity",""),
IF(U94&lt;$E$21,"Kero stock out","")),
IF(_xlpm.msgs="","",_xlpm.msgs)
))</f>
        <v>#NAME?</v>
      </c>
      <c r="AE94" s="51">
        <f t="shared" si="17"/>
        <v>47000</v>
      </c>
      <c r="AF94" s="51">
        <f t="shared" si="18"/>
        <v>1223106</v>
      </c>
      <c r="AG94" s="51">
        <f t="shared" si="19"/>
        <v>45000</v>
      </c>
      <c r="AH94" s="51">
        <f t="shared" si="20"/>
        <v>858361</v>
      </c>
      <c r="AI94" s="51">
        <f t="shared" si="21"/>
        <v>24500</v>
      </c>
      <c r="AJ94" s="51">
        <f t="shared" si="22"/>
        <v>589571</v>
      </c>
    </row>
    <row r="95" spans="8:36" ht="18" customHeight="1" x14ac:dyDescent="0.3">
      <c r="H95" s="37">
        <f t="shared" si="23"/>
        <v>46189</v>
      </c>
      <c r="I95" s="32"/>
      <c r="J95" s="32"/>
      <c r="K95" s="32"/>
      <c r="L95" s="32"/>
      <c r="M95" s="32"/>
      <c r="N95" s="32"/>
      <c r="P95" s="27" t="str">
        <f t="shared" ca="1" si="14"/>
        <v/>
      </c>
      <c r="Q95" s="27" t="e" cm="1">
        <f t="array" aca="1" ref="Q95" ca="1">IF(I95="",_xlfn.LET(
    _xlpm.vals,_xlfn._xlws.FILTER($J$4:J94,$J$4:J94&lt;&gt;"",""),
    _xlpm.avgJ,IF(COUNTA(_xlpm.vals)=0,0,AVERAGE(_xlfn.TAKE(_xlpm.vals,-MIN(7,ROWS(_xlpm.vals))))),
    _xlpm.addship,IF(P95="",0,P95),
    IF(
        AND(I94="",I95=""),
        Q94-_xlpm.avgJ+_xlpm.addship,
        IF(
            I95="",
            I94-_xlpm.avgJ+_xlpm.addship,
            ""
        )
    )
),I95)</f>
        <v>#NAME?</v>
      </c>
      <c r="R95" s="27" t="str">
        <f t="shared" ca="1" si="15"/>
        <v/>
      </c>
      <c r="S95" s="27" t="e" cm="1">
        <f t="array" aca="1" ref="S95" ca="1">IF(K95="",_xlfn.LET(
    _xlpm.vals,_xlfn._xlws.FILTER($L$4:L94,$L$4:L94&lt;&gt;"",""),
    _xlpm.avgJ,IF(COUNTA(_xlpm.vals)=0,0,AVERAGE(_xlfn.TAKE(_xlpm.vals,-MIN(7,ROWS(_xlpm.vals))))),
    _xlpm.addship,IF(R95="",0,R95),
    IF(
        AND(K94="",K95=""),
        S94-_xlpm.avgJ+_xlpm.addship,
        IF(
            K95="",
            K94-_xlpm.avgJ+_xlpm.addship,
            ""
        )
    )
),K95)</f>
        <v>#NAME?</v>
      </c>
      <c r="T95" s="27" t="str">
        <f t="shared" ca="1" si="16"/>
        <v/>
      </c>
      <c r="U95" s="27" t="e" cm="1">
        <f t="array" aca="1" ref="U95" ca="1">IF(M95="",_xlfn.LET(
    _xlpm.vals,_xlfn._xlws.FILTER($N$4:N94,$N$4:N94&lt;&gt;"",""),
    _xlpm.avgJ,IF(COUNTA(_xlpm.vals)=0,0,AVERAGE(_xlfn.TAKE(_xlpm.vals,-MIN(7,ROWS(_xlpm.vals))))),
    _xlpm.addship,IF(T95="",0,T95),
    IF(
        AND(M94="",M95=""),
        U94-_xlpm.avgJ+_xlpm.addship,
        IF(
            M95="",
            M94-_xlpm.avgJ+_xlpm.addship,
            ""
        )
    )
),M95)</f>
        <v>#NAME?</v>
      </c>
      <c r="V95" s="4" t="e">
        <f ca="1">IF(AND(Q95="",S95="",U95=""),"",
_xlfn.LET(
_xlpm.msgs,
_xlfn.TEXTJOIN(" | ",TRUE,
IF(Q95&gt;$C$20,"Petrol over capacity",""),
IF(Q95&lt;$C$21,"Petrol stock out",""),
IF(S95&gt;$D$20,"Diesel over capacity",""),
IF(S95&lt;$D$21,"Diesel stock out",""),
IF(U95&gt;$E$20,"Kero over capacity",""),
IF(U95&lt;$E$21,"Kero stock out","")),
IF(_xlpm.msgs="","",_xlpm.msgs)
))</f>
        <v>#NAME?</v>
      </c>
      <c r="AE95" s="51">
        <f t="shared" si="17"/>
        <v>47000</v>
      </c>
      <c r="AF95" s="51">
        <f t="shared" si="18"/>
        <v>1223106</v>
      </c>
      <c r="AG95" s="51">
        <f t="shared" si="19"/>
        <v>45000</v>
      </c>
      <c r="AH95" s="51">
        <f t="shared" si="20"/>
        <v>858361</v>
      </c>
      <c r="AI95" s="51">
        <f t="shared" si="21"/>
        <v>24500</v>
      </c>
      <c r="AJ95" s="51">
        <f t="shared" si="22"/>
        <v>589571</v>
      </c>
    </row>
    <row r="96" spans="8:36" ht="18" customHeight="1" x14ac:dyDescent="0.3">
      <c r="H96" s="37">
        <f t="shared" si="23"/>
        <v>46190</v>
      </c>
      <c r="I96" s="32"/>
      <c r="J96" s="32"/>
      <c r="K96" s="32"/>
      <c r="L96" s="32"/>
      <c r="M96" s="32"/>
      <c r="N96" s="32"/>
      <c r="P96" s="27" t="str">
        <f t="shared" ca="1" si="14"/>
        <v/>
      </c>
      <c r="Q96" s="27" t="e" cm="1">
        <f t="array" aca="1" ref="Q96" ca="1">IF(I96="",_xlfn.LET(
    _xlpm.vals,_xlfn._xlws.FILTER($J$4:J95,$J$4:J95&lt;&gt;"",""),
    _xlpm.avgJ,IF(COUNTA(_xlpm.vals)=0,0,AVERAGE(_xlfn.TAKE(_xlpm.vals,-MIN(7,ROWS(_xlpm.vals))))),
    _xlpm.addship,IF(P96="",0,P96),
    IF(
        AND(I95="",I96=""),
        Q95-_xlpm.avgJ+_xlpm.addship,
        IF(
            I96="",
            I95-_xlpm.avgJ+_xlpm.addship,
            ""
        )
    )
),I96)</f>
        <v>#NAME?</v>
      </c>
      <c r="R96" s="27" t="str">
        <f t="shared" ca="1" si="15"/>
        <v/>
      </c>
      <c r="S96" s="27" t="e" cm="1">
        <f t="array" aca="1" ref="S96" ca="1">IF(K96="",_xlfn.LET(
    _xlpm.vals,_xlfn._xlws.FILTER($L$4:L95,$L$4:L95&lt;&gt;"",""),
    _xlpm.avgJ,IF(COUNTA(_xlpm.vals)=0,0,AVERAGE(_xlfn.TAKE(_xlpm.vals,-MIN(7,ROWS(_xlpm.vals))))),
    _xlpm.addship,IF(R96="",0,R96),
    IF(
        AND(K95="",K96=""),
        S95-_xlpm.avgJ+_xlpm.addship,
        IF(
            K96="",
            K95-_xlpm.avgJ+_xlpm.addship,
            ""
        )
    )
),K96)</f>
        <v>#NAME?</v>
      </c>
      <c r="T96" s="27" t="str">
        <f t="shared" ca="1" si="16"/>
        <v/>
      </c>
      <c r="U96" s="27" t="e" cm="1">
        <f t="array" aca="1" ref="U96" ca="1">IF(M96="",_xlfn.LET(
    _xlpm.vals,_xlfn._xlws.FILTER($N$4:N95,$N$4:N95&lt;&gt;"",""),
    _xlpm.avgJ,IF(COUNTA(_xlpm.vals)=0,0,AVERAGE(_xlfn.TAKE(_xlpm.vals,-MIN(7,ROWS(_xlpm.vals))))),
    _xlpm.addship,IF(T96="",0,T96),
    IF(
        AND(M95="",M96=""),
        U95-_xlpm.avgJ+_xlpm.addship,
        IF(
            M96="",
            M95-_xlpm.avgJ+_xlpm.addship,
            ""
        )
    )
),M96)</f>
        <v>#NAME?</v>
      </c>
      <c r="V96" s="4" t="e">
        <f ca="1">IF(AND(Q96="",S96="",U96=""),"",
_xlfn.LET(
_xlpm.msgs,
_xlfn.TEXTJOIN(" | ",TRUE,
IF(Q96&gt;$C$20,"Petrol over capacity",""),
IF(Q96&lt;$C$21,"Petrol stock out",""),
IF(S96&gt;$D$20,"Diesel over capacity",""),
IF(S96&lt;$D$21,"Diesel stock out",""),
IF(U96&gt;$E$20,"Kero over capacity",""),
IF(U96&lt;$E$21,"Kero stock out","")),
IF(_xlpm.msgs="","",_xlpm.msgs)
))</f>
        <v>#NAME?</v>
      </c>
      <c r="AE96" s="51">
        <f t="shared" si="17"/>
        <v>47000</v>
      </c>
      <c r="AF96" s="51">
        <f t="shared" si="18"/>
        <v>1223106</v>
      </c>
      <c r="AG96" s="51">
        <f t="shared" si="19"/>
        <v>45000</v>
      </c>
      <c r="AH96" s="51">
        <f t="shared" si="20"/>
        <v>858361</v>
      </c>
      <c r="AI96" s="51">
        <f t="shared" si="21"/>
        <v>24500</v>
      </c>
      <c r="AJ96" s="51">
        <f t="shared" si="22"/>
        <v>589571</v>
      </c>
    </row>
    <row r="97" spans="8:36" ht="18" customHeight="1" x14ac:dyDescent="0.3">
      <c r="H97" s="37">
        <f t="shared" si="23"/>
        <v>46191</v>
      </c>
      <c r="I97" s="32"/>
      <c r="J97" s="32"/>
      <c r="K97" s="32"/>
      <c r="L97" s="32"/>
      <c r="M97" s="32"/>
      <c r="N97" s="32"/>
      <c r="P97" s="27" t="str">
        <f t="shared" ca="1" si="14"/>
        <v/>
      </c>
      <c r="Q97" s="27" t="e" cm="1">
        <f t="array" aca="1" ref="Q97" ca="1">IF(I97="",_xlfn.LET(
    _xlpm.vals,_xlfn._xlws.FILTER($J$4:J96,$J$4:J96&lt;&gt;"",""),
    _xlpm.avgJ,IF(COUNTA(_xlpm.vals)=0,0,AVERAGE(_xlfn.TAKE(_xlpm.vals,-MIN(7,ROWS(_xlpm.vals))))),
    _xlpm.addship,IF(P97="",0,P97),
    IF(
        AND(I96="",I97=""),
        Q96-_xlpm.avgJ+_xlpm.addship,
        IF(
            I97="",
            I96-_xlpm.avgJ+_xlpm.addship,
            ""
        )
    )
),I97)</f>
        <v>#NAME?</v>
      </c>
      <c r="R97" s="27" t="str">
        <f t="shared" ca="1" si="15"/>
        <v/>
      </c>
      <c r="S97" s="27" t="e" cm="1">
        <f t="array" aca="1" ref="S97" ca="1">IF(K97="",_xlfn.LET(
    _xlpm.vals,_xlfn._xlws.FILTER($L$4:L96,$L$4:L96&lt;&gt;"",""),
    _xlpm.avgJ,IF(COUNTA(_xlpm.vals)=0,0,AVERAGE(_xlfn.TAKE(_xlpm.vals,-MIN(7,ROWS(_xlpm.vals))))),
    _xlpm.addship,IF(R97="",0,R97),
    IF(
        AND(K96="",K97=""),
        S96-_xlpm.avgJ+_xlpm.addship,
        IF(
            K97="",
            K96-_xlpm.avgJ+_xlpm.addship,
            ""
        )
    )
),K97)</f>
        <v>#NAME?</v>
      </c>
      <c r="T97" s="27" t="str">
        <f t="shared" ca="1" si="16"/>
        <v/>
      </c>
      <c r="U97" s="27" t="e" cm="1">
        <f t="array" aca="1" ref="U97" ca="1">IF(M97="",_xlfn.LET(
    _xlpm.vals,_xlfn._xlws.FILTER($N$4:N96,$N$4:N96&lt;&gt;"",""),
    _xlpm.avgJ,IF(COUNTA(_xlpm.vals)=0,0,AVERAGE(_xlfn.TAKE(_xlpm.vals,-MIN(7,ROWS(_xlpm.vals))))),
    _xlpm.addship,IF(T97="",0,T97),
    IF(
        AND(M96="",M97=""),
        U96-_xlpm.avgJ+_xlpm.addship,
        IF(
            M97="",
            M96-_xlpm.avgJ+_xlpm.addship,
            ""
        )
    )
),M97)</f>
        <v>#NAME?</v>
      </c>
      <c r="V97" s="4" t="e">
        <f ca="1">IF(AND(Q97="",S97="",U97=""),"",
_xlfn.LET(
_xlpm.msgs,
_xlfn.TEXTJOIN(" | ",TRUE,
IF(Q97&gt;$C$20,"Petrol over capacity",""),
IF(Q97&lt;$C$21,"Petrol stock out",""),
IF(S97&gt;$D$20,"Diesel over capacity",""),
IF(S97&lt;$D$21,"Diesel stock out",""),
IF(U97&gt;$E$20,"Kero over capacity",""),
IF(U97&lt;$E$21,"Kero stock out","")),
IF(_xlpm.msgs="","",_xlpm.msgs)
))</f>
        <v>#NAME?</v>
      </c>
      <c r="AE97" s="51">
        <f t="shared" si="17"/>
        <v>47000</v>
      </c>
      <c r="AF97" s="51">
        <f t="shared" si="18"/>
        <v>1223106</v>
      </c>
      <c r="AG97" s="51">
        <f t="shared" si="19"/>
        <v>45000</v>
      </c>
      <c r="AH97" s="51">
        <f t="shared" si="20"/>
        <v>858361</v>
      </c>
      <c r="AI97" s="51">
        <f t="shared" si="21"/>
        <v>24500</v>
      </c>
      <c r="AJ97" s="51">
        <f t="shared" si="22"/>
        <v>589571</v>
      </c>
    </row>
    <row r="98" spans="8:36" ht="18" customHeight="1" x14ac:dyDescent="0.3">
      <c r="H98" s="37">
        <f t="shared" si="23"/>
        <v>46192</v>
      </c>
      <c r="I98" s="32"/>
      <c r="J98" s="32"/>
      <c r="K98" s="32"/>
      <c r="L98" s="32"/>
      <c r="M98" s="32"/>
      <c r="N98" s="32"/>
      <c r="P98" s="27" t="str">
        <f t="shared" ca="1" si="14"/>
        <v/>
      </c>
      <c r="Q98" s="27" t="e" cm="1">
        <f t="array" aca="1" ref="Q98" ca="1">IF(I98="",_xlfn.LET(
    _xlpm.vals,_xlfn._xlws.FILTER($J$4:J97,$J$4:J97&lt;&gt;"",""),
    _xlpm.avgJ,IF(COUNTA(_xlpm.vals)=0,0,AVERAGE(_xlfn.TAKE(_xlpm.vals,-MIN(7,ROWS(_xlpm.vals))))),
    _xlpm.addship,IF(P98="",0,P98),
    IF(
        AND(I97="",I98=""),
        Q97-_xlpm.avgJ+_xlpm.addship,
        IF(
            I98="",
            I97-_xlpm.avgJ+_xlpm.addship,
            ""
        )
    )
),I98)</f>
        <v>#NAME?</v>
      </c>
      <c r="R98" s="27" t="str">
        <f t="shared" ca="1" si="15"/>
        <v/>
      </c>
      <c r="S98" s="27" t="e" cm="1">
        <f t="array" aca="1" ref="S98" ca="1">IF(K98="",_xlfn.LET(
    _xlpm.vals,_xlfn._xlws.FILTER($L$4:L97,$L$4:L97&lt;&gt;"",""),
    _xlpm.avgJ,IF(COUNTA(_xlpm.vals)=0,0,AVERAGE(_xlfn.TAKE(_xlpm.vals,-MIN(7,ROWS(_xlpm.vals))))),
    _xlpm.addship,IF(R98="",0,R98),
    IF(
        AND(K97="",K98=""),
        S97-_xlpm.avgJ+_xlpm.addship,
        IF(
            K98="",
            K97-_xlpm.avgJ+_xlpm.addship,
            ""
        )
    )
),K98)</f>
        <v>#NAME?</v>
      </c>
      <c r="T98" s="27" t="str">
        <f t="shared" ca="1" si="16"/>
        <v/>
      </c>
      <c r="U98" s="27" t="e" cm="1">
        <f t="array" aca="1" ref="U98" ca="1">IF(M98="",_xlfn.LET(
    _xlpm.vals,_xlfn._xlws.FILTER($N$4:N97,$N$4:N97&lt;&gt;"",""),
    _xlpm.avgJ,IF(COUNTA(_xlpm.vals)=0,0,AVERAGE(_xlfn.TAKE(_xlpm.vals,-MIN(7,ROWS(_xlpm.vals))))),
    _xlpm.addship,IF(T98="",0,T98),
    IF(
        AND(M97="",M98=""),
        U97-_xlpm.avgJ+_xlpm.addship,
        IF(
            M98="",
            M97-_xlpm.avgJ+_xlpm.addship,
            ""
        )
    )
),M98)</f>
        <v>#NAME?</v>
      </c>
      <c r="V98" s="4" t="e">
        <f ca="1">IF(AND(Q98="",S98="",U98=""),"",
_xlfn.LET(
_xlpm.msgs,
_xlfn.TEXTJOIN(" | ",TRUE,
IF(Q98&gt;$C$20,"Petrol over capacity",""),
IF(Q98&lt;$C$21,"Petrol stock out",""),
IF(S98&gt;$D$20,"Diesel over capacity",""),
IF(S98&lt;$D$21,"Diesel stock out",""),
IF(U98&gt;$E$20,"Kero over capacity",""),
IF(U98&lt;$E$21,"Kero stock out","")),
IF(_xlpm.msgs="","",_xlpm.msgs)
))</f>
        <v>#NAME?</v>
      </c>
      <c r="AE98" s="51">
        <f t="shared" si="17"/>
        <v>47000</v>
      </c>
      <c r="AF98" s="51">
        <f t="shared" si="18"/>
        <v>1223106</v>
      </c>
      <c r="AG98" s="51">
        <f t="shared" si="19"/>
        <v>45000</v>
      </c>
      <c r="AH98" s="51">
        <f t="shared" si="20"/>
        <v>858361</v>
      </c>
      <c r="AI98" s="51">
        <f t="shared" si="21"/>
        <v>24500</v>
      </c>
      <c r="AJ98" s="51">
        <f t="shared" si="22"/>
        <v>589571</v>
      </c>
    </row>
    <row r="99" spans="8:36" ht="18" customHeight="1" x14ac:dyDescent="0.3">
      <c r="H99" s="37">
        <f t="shared" si="23"/>
        <v>46193</v>
      </c>
      <c r="I99" s="32"/>
      <c r="J99" s="32"/>
      <c r="K99" s="32"/>
      <c r="L99" s="32"/>
      <c r="M99" s="32"/>
      <c r="N99" s="32"/>
      <c r="P99" s="27" t="str">
        <f t="shared" ca="1" si="14"/>
        <v/>
      </c>
      <c r="Q99" s="27" t="e" cm="1">
        <f t="array" aca="1" ref="Q99" ca="1">IF(I99="",_xlfn.LET(
    _xlpm.vals,_xlfn._xlws.FILTER($J$4:J98,$J$4:J98&lt;&gt;"",""),
    _xlpm.avgJ,IF(COUNTA(_xlpm.vals)=0,0,AVERAGE(_xlfn.TAKE(_xlpm.vals,-MIN(7,ROWS(_xlpm.vals))))),
    _xlpm.addship,IF(P99="",0,P99),
    IF(
        AND(I98="",I99=""),
        Q98-_xlpm.avgJ+_xlpm.addship,
        IF(
            I99="",
            I98-_xlpm.avgJ+_xlpm.addship,
            ""
        )
    )
),I99)</f>
        <v>#NAME?</v>
      </c>
      <c r="R99" s="27" t="str">
        <f t="shared" ca="1" si="15"/>
        <v/>
      </c>
      <c r="S99" s="27" t="e" cm="1">
        <f t="array" aca="1" ref="S99" ca="1">IF(K99="",_xlfn.LET(
    _xlpm.vals,_xlfn._xlws.FILTER($L$4:L98,$L$4:L98&lt;&gt;"",""),
    _xlpm.avgJ,IF(COUNTA(_xlpm.vals)=0,0,AVERAGE(_xlfn.TAKE(_xlpm.vals,-MIN(7,ROWS(_xlpm.vals))))),
    _xlpm.addship,IF(R99="",0,R99),
    IF(
        AND(K98="",K99=""),
        S98-_xlpm.avgJ+_xlpm.addship,
        IF(
            K99="",
            K98-_xlpm.avgJ+_xlpm.addship,
            ""
        )
    )
),K99)</f>
        <v>#NAME?</v>
      </c>
      <c r="T99" s="27" t="str">
        <f t="shared" ca="1" si="16"/>
        <v/>
      </c>
      <c r="U99" s="27" t="e" cm="1">
        <f t="array" aca="1" ref="U99" ca="1">IF(M99="",_xlfn.LET(
    _xlpm.vals,_xlfn._xlws.FILTER($N$4:N98,$N$4:N98&lt;&gt;"",""),
    _xlpm.avgJ,IF(COUNTA(_xlpm.vals)=0,0,AVERAGE(_xlfn.TAKE(_xlpm.vals,-MIN(7,ROWS(_xlpm.vals))))),
    _xlpm.addship,IF(T99="",0,T99),
    IF(
        AND(M98="",M99=""),
        U98-_xlpm.avgJ+_xlpm.addship,
        IF(
            M99="",
            M98-_xlpm.avgJ+_xlpm.addship,
            ""
        )
    )
),M99)</f>
        <v>#NAME?</v>
      </c>
      <c r="V99" s="4" t="e">
        <f ca="1">IF(AND(Q99="",S99="",U99=""),"",
_xlfn.LET(
_xlpm.msgs,
_xlfn.TEXTJOIN(" | ",TRUE,
IF(Q99&gt;$C$20,"Petrol over capacity",""),
IF(Q99&lt;$C$21,"Petrol stock out",""),
IF(S99&gt;$D$20,"Diesel over capacity",""),
IF(S99&lt;$D$21,"Diesel stock out",""),
IF(U99&gt;$E$20,"Kero over capacity",""),
IF(U99&lt;$E$21,"Kero stock out","")),
IF(_xlpm.msgs="","",_xlpm.msgs)
))</f>
        <v>#NAME?</v>
      </c>
      <c r="AE99" s="51">
        <f t="shared" si="17"/>
        <v>47000</v>
      </c>
      <c r="AF99" s="51">
        <f t="shared" si="18"/>
        <v>1223106</v>
      </c>
      <c r="AG99" s="51">
        <f t="shared" si="19"/>
        <v>45000</v>
      </c>
      <c r="AH99" s="51">
        <f t="shared" si="20"/>
        <v>858361</v>
      </c>
      <c r="AI99" s="51">
        <f t="shared" si="21"/>
        <v>24500</v>
      </c>
      <c r="AJ99" s="51">
        <f t="shared" si="22"/>
        <v>589571</v>
      </c>
    </row>
    <row r="100" spans="8:36" ht="18" customHeight="1" x14ac:dyDescent="0.3">
      <c r="H100" s="37">
        <f t="shared" si="23"/>
        <v>46194</v>
      </c>
      <c r="I100" s="32"/>
      <c r="J100" s="32"/>
      <c r="K100" s="32"/>
      <c r="L100" s="32"/>
      <c r="M100" s="32"/>
      <c r="N100" s="32"/>
      <c r="P100" s="27" t="str">
        <f t="shared" ref="P100:P109" ca="1" si="24">IF(I100="",IFERROR(_xlfn.XLOOKUP(H100,$B$6:$B$10,$C$6:$C$10,""),""),"")</f>
        <v/>
      </c>
      <c r="Q100" s="27" t="e" cm="1">
        <f t="array" aca="1" ref="Q100" ca="1">IF(I100="",_xlfn.LET(
    _xlpm.vals,_xlfn._xlws.FILTER($J$4:J99,$J$4:J99&lt;&gt;"",""),
    _xlpm.avgJ,IF(COUNTA(_xlpm.vals)=0,0,AVERAGE(_xlfn.TAKE(_xlpm.vals,-MIN(7,ROWS(_xlpm.vals))))),
    _xlpm.addship,IF(P100="",0,P100),
    IF(
        AND(I99="",I100=""),
        Q99-_xlpm.avgJ+_xlpm.addship,
        IF(
            I100="",
            I99-_xlpm.avgJ+_xlpm.addship,
            ""
        )
    )
),I100)</f>
        <v>#NAME?</v>
      </c>
      <c r="R100" s="27" t="str">
        <f t="shared" ref="R100:R109" ca="1" si="25">IF(K100="",IFERROR(_xlfn.XLOOKUP(H100,$B$6:$B$10,$D$6:$D$10,""),""),"")</f>
        <v/>
      </c>
      <c r="S100" s="27" t="e" cm="1">
        <f t="array" aca="1" ref="S100" ca="1">IF(K100="",_xlfn.LET(
    _xlpm.vals,_xlfn._xlws.FILTER($L$4:L99,$L$4:L99&lt;&gt;"",""),
    _xlpm.avgJ,IF(COUNTA(_xlpm.vals)=0,0,AVERAGE(_xlfn.TAKE(_xlpm.vals,-MIN(7,ROWS(_xlpm.vals))))),
    _xlpm.addship,IF(R100="",0,R100),
    IF(
        AND(K99="",K100=""),
        S99-_xlpm.avgJ+_xlpm.addship,
        IF(
            K100="",
            K99-_xlpm.avgJ+_xlpm.addship,
            ""
        )
    )
),K100)</f>
        <v>#NAME?</v>
      </c>
      <c r="T100" s="27" t="str">
        <f t="shared" ca="1" si="16"/>
        <v/>
      </c>
      <c r="U100" s="27" t="e" cm="1">
        <f t="array" aca="1" ref="U100" ca="1">IF(M100="",_xlfn.LET(
    _xlpm.vals,_xlfn._xlws.FILTER($N$4:N99,$N$4:N99&lt;&gt;"",""),
    _xlpm.avgJ,IF(COUNTA(_xlpm.vals)=0,0,AVERAGE(_xlfn.TAKE(_xlpm.vals,-MIN(7,ROWS(_xlpm.vals))))),
    _xlpm.addship,IF(T100="",0,T100),
    IF(
        AND(M99="",M100=""),
        U99-_xlpm.avgJ+_xlpm.addship,
        IF(
            M100="",
            M99-_xlpm.avgJ+_xlpm.addship,
            ""
        )
    )
),M100)</f>
        <v>#NAME?</v>
      </c>
      <c r="V100" s="4" t="e">
        <f ca="1">IF(AND(Q100="",S100="",U100=""),"",
_xlfn.LET(
_xlpm.msgs,
_xlfn.TEXTJOIN(" | ",TRUE,
IF(Q100&gt;$C$20,"Petrol over capacity",""),
IF(Q100&lt;$C$21,"Petrol stock out",""),
IF(S100&gt;$D$20,"Diesel over capacity",""),
IF(S100&lt;$D$21,"Diesel stock out",""),
IF(U100&gt;$E$20,"Kero over capacity",""),
IF(U100&lt;$E$21,"Kero stock out","")),
IF(_xlpm.msgs="","",_xlpm.msgs)
))</f>
        <v>#NAME?</v>
      </c>
      <c r="AE100" s="51">
        <f t="shared" si="17"/>
        <v>47000</v>
      </c>
      <c r="AF100" s="51">
        <f t="shared" si="18"/>
        <v>1223106</v>
      </c>
      <c r="AG100" s="51">
        <f t="shared" si="19"/>
        <v>45000</v>
      </c>
      <c r="AH100" s="51">
        <f t="shared" si="20"/>
        <v>858361</v>
      </c>
      <c r="AI100" s="51">
        <f t="shared" si="21"/>
        <v>24500</v>
      </c>
      <c r="AJ100" s="51">
        <f t="shared" si="22"/>
        <v>589571</v>
      </c>
    </row>
    <row r="101" spans="8:36" ht="18" customHeight="1" x14ac:dyDescent="0.3">
      <c r="H101" s="37">
        <f t="shared" si="23"/>
        <v>46195</v>
      </c>
      <c r="I101" s="32"/>
      <c r="J101" s="32"/>
      <c r="K101" s="32"/>
      <c r="L101" s="32"/>
      <c r="M101" s="32"/>
      <c r="N101" s="32"/>
      <c r="P101" s="27" t="str">
        <f t="shared" ca="1" si="24"/>
        <v/>
      </c>
      <c r="Q101" s="27" t="e" cm="1">
        <f t="array" aca="1" ref="Q101" ca="1">IF(I101="",_xlfn.LET(
    _xlpm.vals,_xlfn._xlws.FILTER($J$4:J100,$J$4:J100&lt;&gt;"",""),
    _xlpm.avgJ,IF(COUNTA(_xlpm.vals)=0,0,AVERAGE(_xlfn.TAKE(_xlpm.vals,-MIN(7,ROWS(_xlpm.vals))))),
    _xlpm.addship,IF(P101="",0,P101),
    IF(
        AND(I100="",I101=""),
        Q100-_xlpm.avgJ+_xlpm.addship,
        IF(
            I101="",
            I100-_xlpm.avgJ+_xlpm.addship,
            ""
        )
    )
),I101)</f>
        <v>#NAME?</v>
      </c>
      <c r="R101" s="27" t="str">
        <f t="shared" ca="1" si="25"/>
        <v/>
      </c>
      <c r="S101" s="27" t="e" cm="1">
        <f t="array" aca="1" ref="S101" ca="1">IF(K101="",_xlfn.LET(
    _xlpm.vals,_xlfn._xlws.FILTER($L$4:L100,$L$4:L100&lt;&gt;"",""),
    _xlpm.avgJ,IF(COUNTA(_xlpm.vals)=0,0,AVERAGE(_xlfn.TAKE(_xlpm.vals,-MIN(7,ROWS(_xlpm.vals))))),
    _xlpm.addship,IF(R101="",0,R101),
    IF(
        AND(K100="",K101=""),
        S100-_xlpm.avgJ+_xlpm.addship,
        IF(
            K101="",
            K100-_xlpm.avgJ+_xlpm.addship,
            ""
        )
    )
),K101)</f>
        <v>#NAME?</v>
      </c>
      <c r="T101" s="27" t="str">
        <f t="shared" ca="1" si="16"/>
        <v/>
      </c>
      <c r="U101" s="27" t="e" cm="1">
        <f t="array" aca="1" ref="U101" ca="1">IF(M101="",_xlfn.LET(
    _xlpm.vals,_xlfn._xlws.FILTER($N$4:N100,$N$4:N100&lt;&gt;"",""),
    _xlpm.avgJ,IF(COUNTA(_xlpm.vals)=0,0,AVERAGE(_xlfn.TAKE(_xlpm.vals,-MIN(7,ROWS(_xlpm.vals))))),
    _xlpm.addship,IF(T101="",0,T101),
    IF(
        AND(M100="",M101=""),
        U100-_xlpm.avgJ+_xlpm.addship,
        IF(
            M101="",
            M100-_xlpm.avgJ+_xlpm.addship,
            ""
        )
    )
),M101)</f>
        <v>#NAME?</v>
      </c>
      <c r="V101" s="4" t="e">
        <f ca="1">IF(AND(Q101="",S101="",U101=""),"",
_xlfn.LET(
_xlpm.msgs,
_xlfn.TEXTJOIN(" | ",TRUE,
IF(Q101&gt;$C$20,"Petrol over capacity",""),
IF(Q101&lt;$C$21,"Petrol stock out",""),
IF(S101&gt;$D$20,"Diesel over capacity",""),
IF(S101&lt;$D$21,"Diesel stock out",""),
IF(U101&gt;$E$20,"Kero over capacity",""),
IF(U101&lt;$E$21,"Kero stock out","")),
IF(_xlpm.msgs="","",_xlpm.msgs)
))</f>
        <v>#NAME?</v>
      </c>
      <c r="AE101" s="51">
        <f t="shared" si="17"/>
        <v>47000</v>
      </c>
      <c r="AF101" s="51">
        <f t="shared" si="18"/>
        <v>1223106</v>
      </c>
      <c r="AG101" s="51">
        <f t="shared" si="19"/>
        <v>45000</v>
      </c>
      <c r="AH101" s="51">
        <f t="shared" si="20"/>
        <v>858361</v>
      </c>
      <c r="AI101" s="51">
        <f t="shared" si="21"/>
        <v>24500</v>
      </c>
      <c r="AJ101" s="51">
        <f t="shared" si="22"/>
        <v>589571</v>
      </c>
    </row>
    <row r="102" spans="8:36" ht="18" customHeight="1" x14ac:dyDescent="0.3">
      <c r="H102" s="37">
        <f t="shared" si="23"/>
        <v>46196</v>
      </c>
      <c r="I102" s="32"/>
      <c r="J102" s="32"/>
      <c r="K102" s="32"/>
      <c r="L102" s="32"/>
      <c r="M102" s="32"/>
      <c r="N102" s="32"/>
      <c r="P102" s="27" t="str">
        <f t="shared" ca="1" si="24"/>
        <v/>
      </c>
      <c r="Q102" s="27" t="e" cm="1">
        <f t="array" aca="1" ref="Q102" ca="1">IF(I102="",_xlfn.LET(
    _xlpm.vals,_xlfn._xlws.FILTER($J$4:J101,$J$4:J101&lt;&gt;"",""),
    _xlpm.avgJ,IF(COUNTA(_xlpm.vals)=0,0,AVERAGE(_xlfn.TAKE(_xlpm.vals,-MIN(7,ROWS(_xlpm.vals))))),
    _xlpm.addship,IF(P102="",0,P102),
    IF(
        AND(I101="",I102=""),
        Q101-_xlpm.avgJ+_xlpm.addship,
        IF(
            I102="",
            I101-_xlpm.avgJ+_xlpm.addship,
            ""
        )
    )
),I102)</f>
        <v>#NAME?</v>
      </c>
      <c r="R102" s="27" t="str">
        <f t="shared" ca="1" si="25"/>
        <v/>
      </c>
      <c r="S102" s="27" t="e" cm="1">
        <f t="array" aca="1" ref="S102" ca="1">IF(K102="",_xlfn.LET(
    _xlpm.vals,_xlfn._xlws.FILTER($L$4:L101,$L$4:L101&lt;&gt;"",""),
    _xlpm.avgJ,IF(COUNTA(_xlpm.vals)=0,0,AVERAGE(_xlfn.TAKE(_xlpm.vals,-MIN(7,ROWS(_xlpm.vals))))),
    _xlpm.addship,IF(R102="",0,R102),
    IF(
        AND(K101="",K102=""),
        S101-_xlpm.avgJ+_xlpm.addship,
        IF(
            K102="",
            K101-_xlpm.avgJ+_xlpm.addship,
            ""
        )
    )
),K102)</f>
        <v>#NAME?</v>
      </c>
      <c r="T102" s="27" t="str">
        <f t="shared" ca="1" si="16"/>
        <v/>
      </c>
      <c r="U102" s="27" t="e" cm="1">
        <f t="array" aca="1" ref="U102" ca="1">IF(M102="",_xlfn.LET(
    _xlpm.vals,_xlfn._xlws.FILTER($N$4:N101,$N$4:N101&lt;&gt;"",""),
    _xlpm.avgJ,IF(COUNTA(_xlpm.vals)=0,0,AVERAGE(_xlfn.TAKE(_xlpm.vals,-MIN(7,ROWS(_xlpm.vals))))),
    _xlpm.addship,IF(T102="",0,T102),
    IF(
        AND(M101="",M102=""),
        U101-_xlpm.avgJ+_xlpm.addship,
        IF(
            M102="",
            M101-_xlpm.avgJ+_xlpm.addship,
            ""
        )
    )
),M102)</f>
        <v>#NAME?</v>
      </c>
      <c r="V102" s="4" t="e">
        <f ca="1">IF(AND(Q102="",S102="",U102=""),"",
_xlfn.LET(
_xlpm.msgs,
_xlfn.TEXTJOIN(" | ",TRUE,
IF(Q102&gt;$C$20,"Petrol over capacity",""),
IF(Q102&lt;$C$21,"Petrol stock out",""),
IF(S102&gt;$D$20,"Diesel over capacity",""),
IF(S102&lt;$D$21,"Diesel stock out",""),
IF(U102&gt;$E$20,"Kero over capacity",""),
IF(U102&lt;$E$21,"Kero stock out","")),
IF(_xlpm.msgs="","",_xlpm.msgs)
))</f>
        <v>#NAME?</v>
      </c>
      <c r="AE102" s="51">
        <f t="shared" si="17"/>
        <v>47000</v>
      </c>
      <c r="AF102" s="51">
        <f t="shared" si="18"/>
        <v>1223106</v>
      </c>
      <c r="AG102" s="51">
        <f t="shared" si="19"/>
        <v>45000</v>
      </c>
      <c r="AH102" s="51">
        <f t="shared" si="20"/>
        <v>858361</v>
      </c>
      <c r="AI102" s="51">
        <f t="shared" si="21"/>
        <v>24500</v>
      </c>
      <c r="AJ102" s="51">
        <f t="shared" si="22"/>
        <v>589571</v>
      </c>
    </row>
    <row r="103" spans="8:36" ht="18" customHeight="1" x14ac:dyDescent="0.3">
      <c r="H103" s="37">
        <f t="shared" si="23"/>
        <v>46197</v>
      </c>
      <c r="I103" s="32"/>
      <c r="J103" s="32"/>
      <c r="K103" s="32"/>
      <c r="L103" s="32"/>
      <c r="M103" s="32"/>
      <c r="N103" s="32"/>
      <c r="P103" s="27" t="str">
        <f t="shared" ca="1" si="24"/>
        <v/>
      </c>
      <c r="Q103" s="27" t="e" cm="1">
        <f t="array" aca="1" ref="Q103" ca="1">IF(I103="",_xlfn.LET(
    _xlpm.vals,_xlfn._xlws.FILTER($J$4:J102,$J$4:J102&lt;&gt;"",""),
    _xlpm.avgJ,IF(COUNTA(_xlpm.vals)=0,0,AVERAGE(_xlfn.TAKE(_xlpm.vals,-MIN(7,ROWS(_xlpm.vals))))),
    _xlpm.addship,IF(P103="",0,P103),
    IF(
        AND(I102="",I103=""),
        Q102-_xlpm.avgJ+_xlpm.addship,
        IF(
            I103="",
            I102-_xlpm.avgJ+_xlpm.addship,
            ""
        )
    )
),I103)</f>
        <v>#NAME?</v>
      </c>
      <c r="R103" s="27" t="str">
        <f t="shared" ca="1" si="25"/>
        <v/>
      </c>
      <c r="S103" s="27" t="e" cm="1">
        <f t="array" aca="1" ref="S103" ca="1">IF(K103="",_xlfn.LET(
    _xlpm.vals,_xlfn._xlws.FILTER($L$4:L102,$L$4:L102&lt;&gt;"",""),
    _xlpm.avgJ,IF(COUNTA(_xlpm.vals)=0,0,AVERAGE(_xlfn.TAKE(_xlpm.vals,-MIN(7,ROWS(_xlpm.vals))))),
    _xlpm.addship,IF(R103="",0,R103),
    IF(
        AND(K102="",K103=""),
        S102-_xlpm.avgJ+_xlpm.addship,
        IF(
            K103="",
            K102-_xlpm.avgJ+_xlpm.addship,
            ""
        )
    )
),K103)</f>
        <v>#NAME?</v>
      </c>
      <c r="T103" s="27" t="str">
        <f t="shared" ca="1" si="16"/>
        <v/>
      </c>
      <c r="U103" s="27" t="e" cm="1">
        <f t="array" aca="1" ref="U103" ca="1">IF(M103="",_xlfn.LET(
    _xlpm.vals,_xlfn._xlws.FILTER($N$4:N102,$N$4:N102&lt;&gt;"",""),
    _xlpm.avgJ,IF(COUNTA(_xlpm.vals)=0,0,AVERAGE(_xlfn.TAKE(_xlpm.vals,-MIN(7,ROWS(_xlpm.vals))))),
    _xlpm.addship,IF(T103="",0,T103),
    IF(
        AND(M102="",M103=""),
        U102-_xlpm.avgJ+_xlpm.addship,
        IF(
            M103="",
            M102-_xlpm.avgJ+_xlpm.addship,
            ""
        )
    )
),M103)</f>
        <v>#NAME?</v>
      </c>
      <c r="V103" s="4" t="e">
        <f ca="1">IF(AND(Q103="",S103="",U103=""),"",
_xlfn.LET(
_xlpm.msgs,
_xlfn.TEXTJOIN(" | ",TRUE,
IF(Q103&gt;$C$20,"Petrol over capacity",""),
IF(Q103&lt;$C$21,"Petrol stock out",""),
IF(S103&gt;$D$20,"Diesel over capacity",""),
IF(S103&lt;$D$21,"Diesel stock out",""),
IF(U103&gt;$E$20,"Kero over capacity",""),
IF(U103&lt;$E$21,"Kero stock out","")),
IF(_xlpm.msgs="","",_xlpm.msgs)
))</f>
        <v>#NAME?</v>
      </c>
      <c r="AE103" s="51">
        <f t="shared" si="17"/>
        <v>47000</v>
      </c>
      <c r="AF103" s="51">
        <f t="shared" si="18"/>
        <v>1223106</v>
      </c>
      <c r="AG103" s="51">
        <f t="shared" si="19"/>
        <v>45000</v>
      </c>
      <c r="AH103" s="51">
        <f t="shared" si="20"/>
        <v>858361</v>
      </c>
      <c r="AI103" s="51">
        <f t="shared" si="21"/>
        <v>24500</v>
      </c>
      <c r="AJ103" s="51">
        <f t="shared" si="22"/>
        <v>589571</v>
      </c>
    </row>
    <row r="104" spans="8:36" ht="18" customHeight="1" x14ac:dyDescent="0.3">
      <c r="H104" s="37">
        <f t="shared" si="23"/>
        <v>46198</v>
      </c>
      <c r="I104" s="32"/>
      <c r="J104" s="32"/>
      <c r="K104" s="32"/>
      <c r="L104" s="32"/>
      <c r="M104" s="32"/>
      <c r="N104" s="32"/>
      <c r="P104" s="27" t="str">
        <f t="shared" ca="1" si="24"/>
        <v/>
      </c>
      <c r="Q104" s="27" t="e" cm="1">
        <f t="array" aca="1" ref="Q104" ca="1">IF(I104="",_xlfn.LET(
    _xlpm.vals,_xlfn._xlws.FILTER($J$4:J103,$J$4:J103&lt;&gt;"",""),
    _xlpm.avgJ,IF(COUNTA(_xlpm.vals)=0,0,AVERAGE(_xlfn.TAKE(_xlpm.vals,-MIN(7,ROWS(_xlpm.vals))))),
    _xlpm.addship,IF(P104="",0,P104),
    IF(
        AND(I103="",I104=""),
        Q103-_xlpm.avgJ+_xlpm.addship,
        IF(
            I104="",
            I103-_xlpm.avgJ+_xlpm.addship,
            ""
        )
    )
),I104)</f>
        <v>#NAME?</v>
      </c>
      <c r="R104" s="27" t="str">
        <f t="shared" ca="1" si="25"/>
        <v/>
      </c>
      <c r="S104" s="27" t="e" cm="1">
        <f t="array" aca="1" ref="S104" ca="1">IF(K104="",_xlfn.LET(
    _xlpm.vals,_xlfn._xlws.FILTER($L$4:L103,$L$4:L103&lt;&gt;"",""),
    _xlpm.avgJ,IF(COUNTA(_xlpm.vals)=0,0,AVERAGE(_xlfn.TAKE(_xlpm.vals,-MIN(7,ROWS(_xlpm.vals))))),
    _xlpm.addship,IF(R104="",0,R104),
    IF(
        AND(K103="",K104=""),
        S103-_xlpm.avgJ+_xlpm.addship,
        IF(
            K104="",
            K103-_xlpm.avgJ+_xlpm.addship,
            ""
        )
    )
),K104)</f>
        <v>#NAME?</v>
      </c>
      <c r="T104" s="27" t="str">
        <f t="shared" ca="1" si="16"/>
        <v/>
      </c>
      <c r="U104" s="27" t="e" cm="1">
        <f t="array" aca="1" ref="U104" ca="1">IF(M104="",_xlfn.LET(
    _xlpm.vals,_xlfn._xlws.FILTER($N$4:N103,$N$4:N103&lt;&gt;"",""),
    _xlpm.avgJ,IF(COUNTA(_xlpm.vals)=0,0,AVERAGE(_xlfn.TAKE(_xlpm.vals,-MIN(7,ROWS(_xlpm.vals))))),
    _xlpm.addship,IF(T104="",0,T104),
    IF(
        AND(M103="",M104=""),
        U103-_xlpm.avgJ+_xlpm.addship,
        IF(
            M104="",
            M103-_xlpm.avgJ+_xlpm.addship,
            ""
        )
    )
),M104)</f>
        <v>#NAME?</v>
      </c>
      <c r="V104" s="4" t="e">
        <f ca="1">IF(AND(Q104="",S104="",U104=""),"",
_xlfn.LET(
_xlpm.msgs,
_xlfn.TEXTJOIN(" | ",TRUE,
IF(Q104&gt;$C$20,"Petrol over capacity",""),
IF(Q104&lt;$C$21,"Petrol stock out",""),
IF(S104&gt;$D$20,"Diesel over capacity",""),
IF(S104&lt;$D$21,"Diesel stock out",""),
IF(U104&gt;$E$20,"Kero over capacity",""),
IF(U104&lt;$E$21,"Kero stock out","")),
IF(_xlpm.msgs="","",_xlpm.msgs)
))</f>
        <v>#NAME?</v>
      </c>
      <c r="AE104" s="51">
        <f t="shared" si="17"/>
        <v>47000</v>
      </c>
      <c r="AF104" s="51">
        <f t="shared" si="18"/>
        <v>1223106</v>
      </c>
      <c r="AG104" s="51">
        <f t="shared" si="19"/>
        <v>45000</v>
      </c>
      <c r="AH104" s="51">
        <f t="shared" si="20"/>
        <v>858361</v>
      </c>
      <c r="AI104" s="51">
        <f t="shared" si="21"/>
        <v>24500</v>
      </c>
      <c r="AJ104" s="51">
        <f t="shared" si="22"/>
        <v>589571</v>
      </c>
    </row>
    <row r="105" spans="8:36" ht="18" customHeight="1" x14ac:dyDescent="0.3">
      <c r="H105" s="37">
        <f t="shared" si="23"/>
        <v>46199</v>
      </c>
      <c r="I105" s="32"/>
      <c r="J105" s="32"/>
      <c r="K105" s="32"/>
      <c r="L105" s="32"/>
      <c r="M105" s="32"/>
      <c r="N105" s="32"/>
      <c r="P105" s="27" t="str">
        <f t="shared" ca="1" si="24"/>
        <v/>
      </c>
      <c r="Q105" s="27" t="e" cm="1">
        <f t="array" aca="1" ref="Q105" ca="1">IF(I105="",_xlfn.LET(
    _xlpm.vals,_xlfn._xlws.FILTER($J$4:J104,$J$4:J104&lt;&gt;"",""),
    _xlpm.avgJ,IF(COUNTA(_xlpm.vals)=0,0,AVERAGE(_xlfn.TAKE(_xlpm.vals,-MIN(7,ROWS(_xlpm.vals))))),
    _xlpm.addship,IF(P105="",0,P105),
    IF(
        AND(I104="",I105=""),
        Q104-_xlpm.avgJ+_xlpm.addship,
        IF(
            I105="",
            I104-_xlpm.avgJ+_xlpm.addship,
            ""
        )
    )
),I105)</f>
        <v>#NAME?</v>
      </c>
      <c r="R105" s="27" t="str">
        <f t="shared" ca="1" si="25"/>
        <v/>
      </c>
      <c r="S105" s="27" t="e" cm="1">
        <f t="array" aca="1" ref="S105" ca="1">IF(K105="",_xlfn.LET(
    _xlpm.vals,_xlfn._xlws.FILTER($L$4:L104,$L$4:L104&lt;&gt;"",""),
    _xlpm.avgJ,IF(COUNTA(_xlpm.vals)=0,0,AVERAGE(_xlfn.TAKE(_xlpm.vals,-MIN(7,ROWS(_xlpm.vals))))),
    _xlpm.addship,IF(R105="",0,R105),
    IF(
        AND(K104="",K105=""),
        S104-_xlpm.avgJ+_xlpm.addship,
        IF(
            K105="",
            K104-_xlpm.avgJ+_xlpm.addship,
            ""
        )
    )
),K105)</f>
        <v>#NAME?</v>
      </c>
      <c r="T105" s="27" t="str">
        <f t="shared" ca="1" si="16"/>
        <v/>
      </c>
      <c r="U105" s="27" t="e" cm="1">
        <f t="array" aca="1" ref="U105" ca="1">IF(M105="",_xlfn.LET(
    _xlpm.vals,_xlfn._xlws.FILTER($N$4:N104,$N$4:N104&lt;&gt;"",""),
    _xlpm.avgJ,IF(COUNTA(_xlpm.vals)=0,0,AVERAGE(_xlfn.TAKE(_xlpm.vals,-MIN(7,ROWS(_xlpm.vals))))),
    _xlpm.addship,IF(T105="",0,T105),
    IF(
        AND(M104="",M105=""),
        U104-_xlpm.avgJ+_xlpm.addship,
        IF(
            M105="",
            M104-_xlpm.avgJ+_xlpm.addship,
            ""
        )
    )
),M105)</f>
        <v>#NAME?</v>
      </c>
      <c r="V105" s="4" t="e">
        <f ca="1">IF(AND(Q105="",S105="",U105=""),"",
_xlfn.LET(
_xlpm.msgs,
_xlfn.TEXTJOIN(" | ",TRUE,
IF(Q105&gt;$C$20,"Petrol over capacity",""),
IF(Q105&lt;$C$21,"Petrol stock out",""),
IF(S105&gt;$D$20,"Diesel over capacity",""),
IF(S105&lt;$D$21,"Diesel stock out",""),
IF(U105&gt;$E$20,"Kero over capacity",""),
IF(U105&lt;$E$21,"Kero stock out","")),
IF(_xlpm.msgs="","",_xlpm.msgs)
))</f>
        <v>#NAME?</v>
      </c>
      <c r="AE105" s="51">
        <f t="shared" si="17"/>
        <v>47000</v>
      </c>
      <c r="AF105" s="51">
        <f t="shared" si="18"/>
        <v>1223106</v>
      </c>
      <c r="AG105" s="51">
        <f t="shared" si="19"/>
        <v>45000</v>
      </c>
      <c r="AH105" s="51">
        <f t="shared" si="20"/>
        <v>858361</v>
      </c>
      <c r="AI105" s="51">
        <f t="shared" si="21"/>
        <v>24500</v>
      </c>
      <c r="AJ105" s="51">
        <f t="shared" si="22"/>
        <v>589571</v>
      </c>
    </row>
    <row r="106" spans="8:36" ht="18" customHeight="1" x14ac:dyDescent="0.3">
      <c r="H106" s="37">
        <f t="shared" si="23"/>
        <v>46200</v>
      </c>
      <c r="I106" s="32"/>
      <c r="J106" s="32"/>
      <c r="K106" s="32"/>
      <c r="L106" s="32"/>
      <c r="M106" s="32"/>
      <c r="N106" s="32"/>
      <c r="P106" s="27" t="str">
        <f t="shared" ca="1" si="24"/>
        <v/>
      </c>
      <c r="Q106" s="27" t="e" cm="1">
        <f t="array" aca="1" ref="Q106" ca="1">IF(I106="",_xlfn.LET(
    _xlpm.vals,_xlfn._xlws.FILTER($J$4:J105,$J$4:J105&lt;&gt;"",""),
    _xlpm.avgJ,IF(COUNTA(_xlpm.vals)=0,0,AVERAGE(_xlfn.TAKE(_xlpm.vals,-MIN(7,ROWS(_xlpm.vals))))),
    _xlpm.addship,IF(P106="",0,P106),
    IF(
        AND(I105="",I106=""),
        Q105-_xlpm.avgJ+_xlpm.addship,
        IF(
            I106="",
            I105-_xlpm.avgJ+_xlpm.addship,
            ""
        )
    )
),I106)</f>
        <v>#NAME?</v>
      </c>
      <c r="R106" s="27" t="str">
        <f t="shared" ca="1" si="25"/>
        <v/>
      </c>
      <c r="S106" s="27" t="e" cm="1">
        <f t="array" aca="1" ref="S106" ca="1">IF(K106="",_xlfn.LET(
    _xlpm.vals,_xlfn._xlws.FILTER($L$4:L105,$L$4:L105&lt;&gt;"",""),
    _xlpm.avgJ,IF(COUNTA(_xlpm.vals)=0,0,AVERAGE(_xlfn.TAKE(_xlpm.vals,-MIN(7,ROWS(_xlpm.vals))))),
    _xlpm.addship,IF(R106="",0,R106),
    IF(
        AND(K105="",K106=""),
        S105-_xlpm.avgJ+_xlpm.addship,
        IF(
            K106="",
            K105-_xlpm.avgJ+_xlpm.addship,
            ""
        )
    )
),K106)</f>
        <v>#NAME?</v>
      </c>
      <c r="T106" s="27" t="str">
        <f t="shared" ca="1" si="16"/>
        <v/>
      </c>
      <c r="U106" s="27" t="e" cm="1">
        <f t="array" aca="1" ref="U106" ca="1">IF(M106="",_xlfn.LET(
    _xlpm.vals,_xlfn._xlws.FILTER($N$4:N105,$N$4:N105&lt;&gt;"",""),
    _xlpm.avgJ,IF(COUNTA(_xlpm.vals)=0,0,AVERAGE(_xlfn.TAKE(_xlpm.vals,-MIN(7,ROWS(_xlpm.vals))))),
    _xlpm.addship,IF(T106="",0,T106),
    IF(
        AND(M105="",M106=""),
        U105-_xlpm.avgJ+_xlpm.addship,
        IF(
            M106="",
            M105-_xlpm.avgJ+_xlpm.addship,
            ""
        )
    )
),M106)</f>
        <v>#NAME?</v>
      </c>
      <c r="V106" s="4" t="e">
        <f ca="1">IF(AND(Q106="",S106="",U106=""),"",
_xlfn.LET(
_xlpm.msgs,
_xlfn.TEXTJOIN(" | ",TRUE,
IF(Q106&gt;$C$20,"Petrol over capacity",""),
IF(Q106&lt;$C$21,"Petrol stock out",""),
IF(S106&gt;$D$20,"Diesel over capacity",""),
IF(S106&lt;$D$21,"Diesel stock out",""),
IF(U106&gt;$E$20,"Kero over capacity",""),
IF(U106&lt;$E$21,"Kero stock out","")),
IF(_xlpm.msgs="","",_xlpm.msgs)
))</f>
        <v>#NAME?</v>
      </c>
      <c r="AE106" s="51">
        <f t="shared" si="17"/>
        <v>47000</v>
      </c>
      <c r="AF106" s="51">
        <f t="shared" si="18"/>
        <v>1223106</v>
      </c>
      <c r="AG106" s="51">
        <f t="shared" si="19"/>
        <v>45000</v>
      </c>
      <c r="AH106" s="51">
        <f t="shared" si="20"/>
        <v>858361</v>
      </c>
      <c r="AI106" s="51">
        <f t="shared" si="21"/>
        <v>24500</v>
      </c>
      <c r="AJ106" s="51">
        <f t="shared" si="22"/>
        <v>589571</v>
      </c>
    </row>
    <row r="107" spans="8:36" ht="18" customHeight="1" x14ac:dyDescent="0.3">
      <c r="H107" s="37">
        <f t="shared" si="23"/>
        <v>46201</v>
      </c>
      <c r="I107" s="32"/>
      <c r="J107" s="32"/>
      <c r="K107" s="32"/>
      <c r="L107" s="32"/>
      <c r="M107" s="32"/>
      <c r="N107" s="32"/>
      <c r="P107" s="27" t="str">
        <f t="shared" ca="1" si="24"/>
        <v/>
      </c>
      <c r="Q107" s="27" t="e" cm="1">
        <f t="array" aca="1" ref="Q107" ca="1">IF(I107="",_xlfn.LET(
    _xlpm.vals,_xlfn._xlws.FILTER($J$4:J106,$J$4:J106&lt;&gt;"",""),
    _xlpm.avgJ,IF(COUNTA(_xlpm.vals)=0,0,AVERAGE(_xlfn.TAKE(_xlpm.vals,-MIN(7,ROWS(_xlpm.vals))))),
    _xlpm.addship,IF(P107="",0,P107),
    IF(
        AND(I106="",I107=""),
        Q106-_xlpm.avgJ+_xlpm.addship,
        IF(
            I107="",
            I106-_xlpm.avgJ+_xlpm.addship,
            ""
        )
    )
),I107)</f>
        <v>#NAME?</v>
      </c>
      <c r="R107" s="27" t="str">
        <f t="shared" ca="1" si="25"/>
        <v/>
      </c>
      <c r="S107" s="27" t="e" cm="1">
        <f t="array" aca="1" ref="S107" ca="1">IF(K107="",_xlfn.LET(
    _xlpm.vals,_xlfn._xlws.FILTER($L$4:L106,$L$4:L106&lt;&gt;"",""),
    _xlpm.avgJ,IF(COUNTA(_xlpm.vals)=0,0,AVERAGE(_xlfn.TAKE(_xlpm.vals,-MIN(7,ROWS(_xlpm.vals))))),
    _xlpm.addship,IF(R107="",0,R107),
    IF(
        AND(K106="",K107=""),
        S106-_xlpm.avgJ+_xlpm.addship,
        IF(
            K107="",
            K106-_xlpm.avgJ+_xlpm.addship,
            ""
        )
    )
),K107)</f>
        <v>#NAME?</v>
      </c>
      <c r="T107" s="27" t="str">
        <f t="shared" ca="1" si="16"/>
        <v/>
      </c>
      <c r="U107" s="27" t="e" cm="1">
        <f t="array" aca="1" ref="U107" ca="1">IF(M107="",_xlfn.LET(
    _xlpm.vals,_xlfn._xlws.FILTER($N$4:N106,$N$4:N106&lt;&gt;"",""),
    _xlpm.avgJ,IF(COUNTA(_xlpm.vals)=0,0,AVERAGE(_xlfn.TAKE(_xlpm.vals,-MIN(7,ROWS(_xlpm.vals))))),
    _xlpm.addship,IF(T107="",0,T107),
    IF(
        AND(M106="",M107=""),
        U106-_xlpm.avgJ+_xlpm.addship,
        IF(
            M107="",
            M106-_xlpm.avgJ+_xlpm.addship,
            ""
        )
    )
),M107)</f>
        <v>#NAME?</v>
      </c>
      <c r="V107" s="4" t="e">
        <f ca="1">IF(AND(Q107="",S107="",U107=""),"",
_xlfn.LET(
_xlpm.msgs,
_xlfn.TEXTJOIN(" | ",TRUE,
IF(Q107&gt;$C$20,"Petrol over capacity",""),
IF(Q107&lt;$C$21,"Petrol stock out",""),
IF(S107&gt;$D$20,"Diesel over capacity",""),
IF(S107&lt;$D$21,"Diesel stock out",""),
IF(U107&gt;$E$20,"Kero over capacity",""),
IF(U107&lt;$E$21,"Kero stock out","")),
IF(_xlpm.msgs="","",_xlpm.msgs)
))</f>
        <v>#NAME?</v>
      </c>
      <c r="AE107" s="51">
        <f t="shared" si="17"/>
        <v>47000</v>
      </c>
      <c r="AF107" s="51">
        <f t="shared" si="18"/>
        <v>1223106</v>
      </c>
      <c r="AG107" s="51">
        <f t="shared" si="19"/>
        <v>45000</v>
      </c>
      <c r="AH107" s="51">
        <f t="shared" si="20"/>
        <v>858361</v>
      </c>
      <c r="AI107" s="51">
        <f t="shared" si="21"/>
        <v>24500</v>
      </c>
      <c r="AJ107" s="51">
        <f t="shared" si="22"/>
        <v>589571</v>
      </c>
    </row>
    <row r="108" spans="8:36" ht="18" customHeight="1" x14ac:dyDescent="0.3">
      <c r="H108" s="37">
        <f t="shared" si="23"/>
        <v>46202</v>
      </c>
      <c r="I108" s="32"/>
      <c r="J108" s="32"/>
      <c r="K108" s="32"/>
      <c r="L108" s="32"/>
      <c r="M108" s="32"/>
      <c r="N108" s="32"/>
      <c r="P108" s="27" t="str">
        <f t="shared" ca="1" si="24"/>
        <v/>
      </c>
      <c r="Q108" s="27" t="e" cm="1">
        <f t="array" aca="1" ref="Q108" ca="1">IF(I108="",_xlfn.LET(
    _xlpm.vals,_xlfn._xlws.FILTER($J$4:J107,$J$4:J107&lt;&gt;"",""),
    _xlpm.avgJ,IF(COUNTA(_xlpm.vals)=0,0,AVERAGE(_xlfn.TAKE(_xlpm.vals,-MIN(7,ROWS(_xlpm.vals))))),
    _xlpm.addship,IF(P108="",0,P108),
    IF(
        AND(I107="",I108=""),
        Q107-_xlpm.avgJ+_xlpm.addship,
        IF(
            I108="",
            I107-_xlpm.avgJ+_xlpm.addship,
            ""
        )
    )
),I108)</f>
        <v>#NAME?</v>
      </c>
      <c r="R108" s="27" t="str">
        <f t="shared" ca="1" si="25"/>
        <v/>
      </c>
      <c r="S108" s="27" t="e" cm="1">
        <f t="array" aca="1" ref="S108" ca="1">IF(K108="",_xlfn.LET(
    _xlpm.vals,_xlfn._xlws.FILTER($L$4:L107,$L$4:L107&lt;&gt;"",""),
    _xlpm.avgJ,IF(COUNTA(_xlpm.vals)=0,0,AVERAGE(_xlfn.TAKE(_xlpm.vals,-MIN(7,ROWS(_xlpm.vals))))),
    _xlpm.addship,IF(R108="",0,R108),
    IF(
        AND(K107="",K108=""),
        S107-_xlpm.avgJ+_xlpm.addship,
        IF(
            K108="",
            K107-_xlpm.avgJ+_xlpm.addship,
            ""
        )
    )
),K108)</f>
        <v>#NAME?</v>
      </c>
      <c r="T108" s="27" t="str">
        <f t="shared" ca="1" si="16"/>
        <v/>
      </c>
      <c r="U108" s="27" t="e" cm="1">
        <f t="array" aca="1" ref="U108" ca="1">IF(M108="",_xlfn.LET(
    _xlpm.vals,_xlfn._xlws.FILTER($N$4:N107,$N$4:N107&lt;&gt;"",""),
    _xlpm.avgJ,IF(COUNTA(_xlpm.vals)=0,0,AVERAGE(_xlfn.TAKE(_xlpm.vals,-MIN(7,ROWS(_xlpm.vals))))),
    _xlpm.addship,IF(T108="",0,T108),
    IF(
        AND(M107="",M108=""),
        U107-_xlpm.avgJ+_xlpm.addship,
        IF(
            M108="",
            M107-_xlpm.avgJ+_xlpm.addship,
            ""
        )
    )
),M108)</f>
        <v>#NAME?</v>
      </c>
      <c r="V108" s="4" t="e">
        <f ca="1">IF(AND(Q108="",S108="",U108=""),"",
_xlfn.LET(
_xlpm.msgs,
_xlfn.TEXTJOIN(" | ",TRUE,
IF(Q108&gt;$C$20,"Petrol over capacity",""),
IF(Q108&lt;$C$21,"Petrol stock out",""),
IF(S108&gt;$D$20,"Diesel over capacity",""),
IF(S108&lt;$D$21,"Diesel stock out",""),
IF(U108&gt;$E$20,"Kero over capacity",""),
IF(U108&lt;$E$21,"Kero stock out","")),
IF(_xlpm.msgs="","",_xlpm.msgs)
))</f>
        <v>#NAME?</v>
      </c>
      <c r="AE108" s="51">
        <f t="shared" si="17"/>
        <v>47000</v>
      </c>
      <c r="AF108" s="51">
        <f t="shared" si="18"/>
        <v>1223106</v>
      </c>
      <c r="AG108" s="51">
        <f t="shared" si="19"/>
        <v>45000</v>
      </c>
      <c r="AH108" s="51">
        <f t="shared" si="20"/>
        <v>858361</v>
      </c>
      <c r="AI108" s="51">
        <f t="shared" si="21"/>
        <v>24500</v>
      </c>
      <c r="AJ108" s="51">
        <f t="shared" si="22"/>
        <v>589571</v>
      </c>
    </row>
    <row r="109" spans="8:36" ht="18" customHeight="1" x14ac:dyDescent="0.3">
      <c r="H109" s="37">
        <f t="shared" si="23"/>
        <v>46203</v>
      </c>
      <c r="I109" s="32"/>
      <c r="J109" s="32"/>
      <c r="K109" s="32"/>
      <c r="L109" s="32"/>
      <c r="M109" s="32"/>
      <c r="N109" s="32"/>
      <c r="P109" s="27" t="str">
        <f t="shared" ca="1" si="24"/>
        <v/>
      </c>
      <c r="Q109" s="27" t="e" cm="1">
        <f t="array" aca="1" ref="Q109" ca="1">IF(I109="",_xlfn.LET(
    _xlpm.vals,_xlfn._xlws.FILTER($J$4:J108,$J$4:J108&lt;&gt;"",""),
    _xlpm.avgJ,IF(COUNTA(_xlpm.vals)=0,0,AVERAGE(_xlfn.TAKE(_xlpm.vals,-MIN(7,ROWS(_xlpm.vals))))),
    _xlpm.addship,IF(P109="",0,P109),
    IF(
        AND(I108="",I109=""),
        Q108-_xlpm.avgJ+_xlpm.addship,
        IF(
            I109="",
            I108-_xlpm.avgJ+_xlpm.addship,
            ""
        )
    )
),I109)</f>
        <v>#NAME?</v>
      </c>
      <c r="R109" s="27" t="str">
        <f t="shared" ca="1" si="25"/>
        <v/>
      </c>
      <c r="S109" s="27" t="e" cm="1">
        <f t="array" aca="1" ref="S109" ca="1">IF(K109="",_xlfn.LET(
    _xlpm.vals,_xlfn._xlws.FILTER($L$4:L108,$L$4:L108&lt;&gt;"",""),
    _xlpm.avgJ,IF(COUNTA(_xlpm.vals)=0,0,AVERAGE(_xlfn.TAKE(_xlpm.vals,-MIN(7,ROWS(_xlpm.vals))))),
    _xlpm.addship,IF(R109="",0,R109),
    IF(
        AND(K108="",K109=""),
        S108-_xlpm.avgJ+_xlpm.addship,
        IF(
            K109="",
            K108-_xlpm.avgJ+_xlpm.addship,
            ""
        )
    )
),K109)</f>
        <v>#NAME?</v>
      </c>
      <c r="T109" s="27" t="str">
        <f t="shared" ca="1" si="16"/>
        <v/>
      </c>
      <c r="U109" s="27" t="e" cm="1">
        <f t="array" aca="1" ref="U109" ca="1">IF(M109="",_xlfn.LET(
    _xlpm.vals,_xlfn._xlws.FILTER($N$4:N108,$N$4:N108&lt;&gt;"",""),
    _xlpm.avgJ,IF(COUNTA(_xlpm.vals)=0,0,AVERAGE(_xlfn.TAKE(_xlpm.vals,-MIN(7,ROWS(_xlpm.vals))))),
    _xlpm.addship,IF(T109="",0,T109),
    IF(
        AND(M108="",M109=""),
        U108-_xlpm.avgJ+_xlpm.addship,
        IF(
            M109="",
            M108-_xlpm.avgJ+_xlpm.addship,
            ""
        )
    )
),M109)</f>
        <v>#NAME?</v>
      </c>
      <c r="V109" s="4" t="e">
        <f ca="1">IF(AND(Q109="",S109="",U109=""),"",
_xlfn.LET(
_xlpm.msgs,
_xlfn.TEXTJOIN(" | ",TRUE,
IF(Q109&gt;$C$20,"Petrol over capacity",""),
IF(Q109&lt;$C$21,"Petrol stock out",""),
IF(S109&gt;$D$20,"Diesel over capacity",""),
IF(S109&lt;$D$21,"Diesel stock out",""),
IF(U109&gt;$E$20,"Kero over capacity",""),
IF(U109&lt;$E$21,"Kero stock out","")),
IF(_xlpm.msgs="","",_xlpm.msgs)
))</f>
        <v>#NAME?</v>
      </c>
      <c r="AE109" s="51">
        <f t="shared" si="17"/>
        <v>47000</v>
      </c>
      <c r="AF109" s="51">
        <f t="shared" si="18"/>
        <v>1223106</v>
      </c>
      <c r="AG109" s="51">
        <f t="shared" si="19"/>
        <v>45000</v>
      </c>
      <c r="AH109" s="51">
        <f t="shared" si="20"/>
        <v>858361</v>
      </c>
      <c r="AI109" s="51">
        <f t="shared" si="21"/>
        <v>24500</v>
      </c>
      <c r="AJ109" s="51">
        <f t="shared" si="22"/>
        <v>589571</v>
      </c>
    </row>
  </sheetData>
  <sheetProtection algorithmName="SHA-512" hashValue="I6cG8G3SZbqSqRmnpLjatVz5Q1YYddm8NNhRbbXUS6RvZ/ttWYx1XZx42VKNzjo9n+ut6xgc5N3jGRGC8dhyYg==" saltValue="k5r6DVk18e+5O889TtjMZw==" spinCount="100000" sheet="1" objects="1" scenarios="1"/>
  <mergeCells count="9">
    <mergeCell ref="D1:E1"/>
    <mergeCell ref="R2:S2"/>
    <mergeCell ref="M2:N2"/>
    <mergeCell ref="T2:U2"/>
    <mergeCell ref="C18:E18"/>
    <mergeCell ref="B3:D3"/>
    <mergeCell ref="I2:J2"/>
    <mergeCell ref="K2:L2"/>
    <mergeCell ref="P2:Q2"/>
  </mergeCells>
  <phoneticPr fontId="9" type="noConversion"/>
  <conditionalFormatting sqref="Q4:Q109">
    <cfRule type="expression" dxfId="7" priority="32">
      <formula>AND(Q4&gt;$C$20,Q4&lt;&gt;"")</formula>
    </cfRule>
    <cfRule type="expression" dxfId="6" priority="33">
      <formula>AND(Q4&lt;$C$21,Q4&lt;&gt;"")</formula>
    </cfRule>
  </conditionalFormatting>
  <conditionalFormatting sqref="S4:S109 U4:U109">
    <cfRule type="expression" dxfId="5" priority="34">
      <formula>AND(S4&gt;$D$20,S4&lt;&gt;"")</formula>
    </cfRule>
    <cfRule type="expression" dxfId="4" priority="35">
      <formula>AND(S4&lt;$D$21,S4&lt;&gt;"")</formula>
    </cfRule>
  </conditionalFormatting>
  <pageMargins left="0.7" right="0.7" top="0.75" bottom="0.75" header="0.3" footer="0.3"/>
  <pageSetup orientation="portrait" horizontalDpi="1200" verticalDpi="1200" r:id="rId1"/>
  <customProperties>
    <customPr name="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BB89-FF79-4657-B5C7-ACAD81EBB07A}">
  <dimension ref="A1:AC109"/>
  <sheetViews>
    <sheetView showGridLines="0" workbookViewId="0">
      <pane xSplit="7" ySplit="3" topLeftCell="I4" activePane="bottomRight" state="frozen"/>
      <selection pane="topRight" activeCell="H1" sqref="H1"/>
      <selection pane="bottomLeft" activeCell="A4" sqref="A4"/>
      <selection pane="bottomRight" activeCell="H31" sqref="H31"/>
    </sheetView>
  </sheetViews>
  <sheetFormatPr defaultColWidth="12.6640625" defaultRowHeight="18" customHeight="1" x14ac:dyDescent="0.3"/>
  <cols>
    <col min="1" max="1" width="24.6640625" style="4" customWidth="1"/>
    <col min="2" max="2" width="15" style="5" customWidth="1"/>
    <col min="3" max="4" width="14.33203125" style="5" customWidth="1"/>
    <col min="5" max="5" width="1.6640625" style="4" customWidth="1"/>
    <col min="6" max="6" width="3.44140625" style="5" customWidth="1"/>
    <col min="7" max="7" width="11.33203125" style="5" customWidth="1"/>
    <col min="8" max="8" width="9.109375" style="5" customWidth="1"/>
    <col min="9" max="9" width="8.6640625" style="5" customWidth="1"/>
    <col min="10" max="10" width="7.77734375" style="5" customWidth="1"/>
    <col min="11" max="11" width="8.44140625" style="5" customWidth="1"/>
    <col min="12" max="12" width="3.109375" style="5" customWidth="1"/>
    <col min="13" max="13" width="9.77734375" style="5" customWidth="1"/>
    <col min="14" max="14" width="10.33203125" style="5" customWidth="1"/>
    <col min="15" max="15" width="10.109375" style="5" customWidth="1"/>
    <col min="16" max="16" width="9.44140625" style="5" customWidth="1"/>
    <col min="17" max="22" width="11.33203125" style="5" customWidth="1"/>
    <col min="23" max="25" width="12.6640625" style="5"/>
    <col min="26" max="29" width="12.6640625" style="51"/>
    <col min="30" max="16384" width="12.6640625" style="5"/>
  </cols>
  <sheetData>
    <row r="1" spans="1:29" s="2" customFormat="1" ht="24" customHeight="1" x14ac:dyDescent="0.3">
      <c r="A1" s="1" t="s">
        <v>25</v>
      </c>
      <c r="D1" s="52" t="s">
        <v>27</v>
      </c>
      <c r="E1" s="53"/>
      <c r="H1" s="1" t="s">
        <v>11</v>
      </c>
      <c r="M1" s="1"/>
      <c r="N1" s="1" t="s">
        <v>13</v>
      </c>
      <c r="O1" s="1"/>
      <c r="Z1" s="51"/>
      <c r="AA1" s="51"/>
      <c r="AB1" s="51"/>
      <c r="AC1" s="51"/>
    </row>
    <row r="2" spans="1:29" s="2" customFormat="1" ht="21.6" thickBot="1" x14ac:dyDescent="0.35">
      <c r="A2" s="1"/>
      <c r="E2" s="3"/>
      <c r="H2" s="60" t="s">
        <v>9</v>
      </c>
      <c r="I2" s="62"/>
      <c r="J2" s="63" t="s">
        <v>10</v>
      </c>
      <c r="K2" s="61"/>
      <c r="L2" s="5"/>
      <c r="M2" s="56" t="s">
        <v>9</v>
      </c>
      <c r="N2" s="54"/>
      <c r="O2" s="54" t="s">
        <v>10</v>
      </c>
      <c r="P2" s="55"/>
      <c r="Q2" s="5"/>
      <c r="R2" s="5"/>
      <c r="S2" s="5"/>
      <c r="Z2" s="51" t="s">
        <v>1</v>
      </c>
      <c r="AA2" s="51"/>
      <c r="AB2" s="51" t="s">
        <v>2</v>
      </c>
      <c r="AC2" s="51"/>
    </row>
    <row r="3" spans="1:29" s="2" customFormat="1" ht="29.4" thickBot="1" x14ac:dyDescent="0.35">
      <c r="B3" s="57" t="s">
        <v>22</v>
      </c>
      <c r="C3" s="58"/>
      <c r="D3" s="59"/>
      <c r="E3" s="3"/>
      <c r="H3" s="34" t="s">
        <v>7</v>
      </c>
      <c r="I3" s="12" t="s">
        <v>8</v>
      </c>
      <c r="J3" s="35" t="s">
        <v>7</v>
      </c>
      <c r="K3" s="8" t="s">
        <v>8</v>
      </c>
      <c r="L3" s="5"/>
      <c r="M3" s="28" t="s">
        <v>20</v>
      </c>
      <c r="N3" s="29" t="s">
        <v>7</v>
      </c>
      <c r="O3" s="29" t="s">
        <v>20</v>
      </c>
      <c r="P3" s="36" t="s">
        <v>7</v>
      </c>
      <c r="Q3" s="5"/>
      <c r="R3" s="5"/>
      <c r="S3" s="5"/>
      <c r="Z3" s="51" t="s">
        <v>29</v>
      </c>
      <c r="AA3" s="51" t="s">
        <v>30</v>
      </c>
      <c r="AB3" s="51" t="s">
        <v>29</v>
      </c>
      <c r="AC3" s="51" t="s">
        <v>30</v>
      </c>
    </row>
    <row r="4" spans="1:29" s="2" customFormat="1" ht="21" x14ac:dyDescent="0.3">
      <c r="E4" s="3"/>
      <c r="G4" s="37">
        <v>46098</v>
      </c>
      <c r="H4" s="32">
        <v>185205</v>
      </c>
      <c r="I4" s="32">
        <v>18500</v>
      </c>
      <c r="J4" s="32">
        <v>213744</v>
      </c>
      <c r="K4" s="32">
        <v>7000</v>
      </c>
      <c r="L4" s="5"/>
      <c r="M4" s="27" t="str">
        <f t="shared" ref="M4:M67" si="0">IF(H4="",IFERROR(_xlfn.XLOOKUP(G4,$B$6:$B$10,$C$6:$C$10,""),""),"")</f>
        <v/>
      </c>
      <c r="N4" s="27" cm="1">
        <f t="array" ref="N4">IF(H4="",_xlfn.LET(
    _xlpm.vals,_xlfn._xlws.FILTER($I3:I$4,$I3:I$4&lt;&gt;"",""),
    _xlpm.avgJ,IF(COUNTA(_xlpm.vals)=0,0,AVERAGE(_xlfn.TAKE(_xlpm.vals,-MIN(7,ROWS(_xlpm.vals))))),
    _xlpm.addship,IF(M4="",0,M4),
    IF(
        AND(H3="",H4=""),
        N3-_xlpm.avgJ+_xlpm.addship,
        IF(
            H4="",
            H3-_xlpm.avgJ+_xlpm.addship,
            ""
        )
    )
),H4)</f>
        <v>185205</v>
      </c>
      <c r="O4" s="27" t="str">
        <f t="shared" ref="O4:O67" si="1">IF(J4="",IFERROR(_xlfn.XLOOKUP(G4,$B$6:$B$10,$D$6:$D$10,""),""),"")</f>
        <v/>
      </c>
      <c r="P4" s="27" cm="1">
        <f t="array" ref="P4">IF(J4="",_xlfn.LET(
    _xlpm.vals,_xlfn._xlws.FILTER($K3:K$4,$K3:K$4&lt;&gt;"",""),
    _xlpm.avgJ,IF(COUNTA(_xlpm.vals)=0,0,AVERAGE(_xlfn.TAKE(_xlpm.vals,-MIN(7,ROWS(_xlpm.vals))))),
    _xlpm.addship,IF(O4="",0,O4),
    IF(
        AND(J3="",J4=""),
        P3-_xlpm.avgJ+_xlpm.addship,
        IF(
            J4="",
            J3-_xlpm.avgJ+_xlpm.addship,
            ""
        )
    )
),J4)</f>
        <v>213744</v>
      </c>
      <c r="Q4" s="4" t="e">
        <f t="shared" ref="Q4:Q67" ca="1" si="2">IF(AND(N4="",P4=""),"",
_xlfn.LET(
_xlpm.msgs,
_xlfn.TEXTJOIN(" | ",TRUE,
IF(N4&gt;$C$19,"Petrol over capacity",""),
IF(N4&lt;$C$20,"Petrol stock out",""),
IF(P4&gt;$D$19,"Diesel over capacity",""),
IF(P4&lt;$D$20,"Diesel stock out","")
),
IF(_xlpm.msgs="","",_xlpm.msgs)
))</f>
        <v>#NAME?</v>
      </c>
      <c r="R4" s="5"/>
      <c r="S4" s="5"/>
      <c r="Z4" s="51">
        <f>$C$20</f>
        <v>26800</v>
      </c>
      <c r="AA4" s="51">
        <f>$C$19</f>
        <v>357582</v>
      </c>
      <c r="AB4" s="51">
        <f>$D$20</f>
        <v>16165</v>
      </c>
      <c r="AC4" s="51">
        <f>$D$19</f>
        <v>289500</v>
      </c>
    </row>
    <row r="5" spans="1:29" ht="18" customHeight="1" x14ac:dyDescent="0.3">
      <c r="A5" s="38" t="s">
        <v>21</v>
      </c>
      <c r="B5" s="41" t="s">
        <v>14</v>
      </c>
      <c r="C5" s="42" t="s">
        <v>9</v>
      </c>
      <c r="D5" s="43" t="s">
        <v>10</v>
      </c>
      <c r="F5" s="2"/>
      <c r="G5" s="37">
        <f>G4+1</f>
        <v>46099</v>
      </c>
      <c r="H5" s="32">
        <v>179281</v>
      </c>
      <c r="I5" s="32">
        <v>6000</v>
      </c>
      <c r="J5" s="32">
        <v>208512</v>
      </c>
      <c r="K5" s="32">
        <v>5200</v>
      </c>
      <c r="M5" s="27" t="str">
        <f t="shared" si="0"/>
        <v/>
      </c>
      <c r="N5" s="27" cm="1">
        <f t="array" ref="N5">IF(H5="",_xlfn.LET(
    _xlpm.vals,_xlfn._xlws.FILTER($I4:I$4,$I4:I$4&lt;&gt;"",""),
    _xlpm.avgJ,IF(COUNTA(_xlpm.vals)=0,0,AVERAGE(_xlfn.TAKE(_xlpm.vals,-MIN(7,ROWS(_xlpm.vals))))),
    _xlpm.addship,IF(M5="",0,M5),
    IF(
        AND(H4="",H5=""),
        N4-_xlpm.avgJ+_xlpm.addship,
        IF(
            H5="",
            H4-_xlpm.avgJ+_xlpm.addship,
            ""
        )
    )
),H5)</f>
        <v>179281</v>
      </c>
      <c r="O5" s="27" t="str">
        <f t="shared" si="1"/>
        <v/>
      </c>
      <c r="P5" s="27" cm="1">
        <f t="array" ref="P5">IF(J5="",_xlfn.LET(
    _xlpm.vals,_xlfn._xlws.FILTER($K4:K$4,$K4:K$4&lt;&gt;"",""),
    _xlpm.avgJ,IF(COUNTA(_xlpm.vals)=0,0,AVERAGE(_xlfn.TAKE(_xlpm.vals,-MIN(7,ROWS(_xlpm.vals))))),
    _xlpm.addship,IF(O5="",0,O5),
    IF(
        AND(J4="",J5=""),
        P4-_xlpm.avgJ+_xlpm.addship,
        IF(
            J5="",
            J4-_xlpm.avgJ+_xlpm.addship,
            ""
        )
    )
),J5)</f>
        <v>208512</v>
      </c>
      <c r="Q5" s="4" t="e">
        <f t="shared" ca="1" si="2"/>
        <v>#NAME?</v>
      </c>
      <c r="Z5" s="51">
        <f t="shared" ref="Z5:Z68" si="3">$C$20</f>
        <v>26800</v>
      </c>
      <c r="AA5" s="51">
        <f t="shared" ref="AA5:AA68" si="4">$C$19</f>
        <v>357582</v>
      </c>
      <c r="AB5" s="51">
        <f t="shared" ref="AB5:AB68" si="5">$D$20</f>
        <v>16165</v>
      </c>
      <c r="AC5" s="51">
        <f t="shared" ref="AC5:AC68" si="6">$D$19</f>
        <v>289500</v>
      </c>
    </row>
    <row r="6" spans="1:29" ht="18" customHeight="1" x14ac:dyDescent="0.3">
      <c r="A6" s="5" t="s">
        <v>15</v>
      </c>
      <c r="B6" s="39">
        <v>46115</v>
      </c>
      <c r="C6" s="40">
        <v>303600</v>
      </c>
      <c r="D6" s="40">
        <v>132000</v>
      </c>
      <c r="F6" s="2"/>
      <c r="G6" s="37">
        <f t="shared" ref="G6:G69" si="7">G5+1</f>
        <v>46100</v>
      </c>
      <c r="H6" s="32">
        <v>163265</v>
      </c>
      <c r="I6" s="32">
        <v>16000</v>
      </c>
      <c r="J6" s="32">
        <v>198105</v>
      </c>
      <c r="K6" s="32">
        <v>10250</v>
      </c>
      <c r="M6" s="27" t="str">
        <f t="shared" si="0"/>
        <v/>
      </c>
      <c r="N6" s="27" cm="1">
        <f t="array" ref="N6">IF(H6="",_xlfn.LET(
    _xlpm.vals,_xlfn._xlws.FILTER($I$4:I5,$I$4:I5&lt;&gt;"",""),
    _xlpm.avgJ,IF(COUNTA(_xlpm.vals)=0,0,AVERAGE(_xlfn.TAKE(_xlpm.vals,-MIN(7,ROWS(_xlpm.vals))))),
    _xlpm.addship,IF(M6="",0,M6),
    IF(
        AND(H5="",H6=""),
        N5-_xlpm.avgJ+_xlpm.addship,
        IF(
            H6="",
            H5-_xlpm.avgJ+_xlpm.addship,
            ""
        )
    )
),H6)</f>
        <v>163265</v>
      </c>
      <c r="O6" s="27" t="str">
        <f t="shared" si="1"/>
        <v/>
      </c>
      <c r="P6" s="27" cm="1">
        <f t="array" ref="P6">IF(J6="",_xlfn.LET(
    _xlpm.vals,_xlfn._xlws.FILTER($K$4:K5,$K$4:K5&lt;&gt;"",""),
    _xlpm.avgJ,IF(COUNTA(_xlpm.vals)=0,0,AVERAGE(_xlfn.TAKE(_xlpm.vals,-MIN(7,ROWS(_xlpm.vals))))),
    _xlpm.addship,IF(O6="",0,O6),
    IF(
        AND(J5="",J6=""),
        P5-_xlpm.avgJ+_xlpm.addship,
        IF(
            J6="",
            J5-_xlpm.avgJ+_xlpm.addship,
            ""
        )
    )
),J6)</f>
        <v>198105</v>
      </c>
      <c r="Q6" s="4" t="e">
        <f t="shared" ca="1" si="2"/>
        <v>#NAME?</v>
      </c>
      <c r="Z6" s="51">
        <f t="shared" si="3"/>
        <v>26800</v>
      </c>
      <c r="AA6" s="51">
        <f t="shared" si="4"/>
        <v>357582</v>
      </c>
      <c r="AB6" s="51">
        <f t="shared" si="5"/>
        <v>16165</v>
      </c>
      <c r="AC6" s="51">
        <f t="shared" si="6"/>
        <v>289500</v>
      </c>
    </row>
    <row r="7" spans="1:29" ht="18" customHeight="1" x14ac:dyDescent="0.3">
      <c r="A7" s="5" t="s">
        <v>16</v>
      </c>
      <c r="B7" s="30">
        <v>46144</v>
      </c>
      <c r="C7" s="40">
        <v>220800</v>
      </c>
      <c r="D7" s="40">
        <v>169400</v>
      </c>
      <c r="F7" s="2"/>
      <c r="G7" s="37">
        <f t="shared" si="7"/>
        <v>46101</v>
      </c>
      <c r="H7" s="32">
        <v>159199</v>
      </c>
      <c r="I7" s="32">
        <v>4000</v>
      </c>
      <c r="J7" s="32">
        <v>194409</v>
      </c>
      <c r="K7" s="32">
        <v>4000</v>
      </c>
      <c r="M7" s="27" t="str">
        <f t="shared" si="0"/>
        <v/>
      </c>
      <c r="N7" s="27" cm="1">
        <f t="array" ref="N7">IF(H7="",_xlfn.LET(
    _xlpm.vals,_xlfn._xlws.FILTER($I$4:I6,$I$4:I6&lt;&gt;"",""),
    _xlpm.avgJ,IF(COUNTA(_xlpm.vals)=0,0,AVERAGE(_xlfn.TAKE(_xlpm.vals,-MIN(7,ROWS(_xlpm.vals))))),
    _xlpm.addship,IF(M7="",0,M7),
    IF(
        AND(H6="",H7=""),
        N6-_xlpm.avgJ+_xlpm.addship,
        IF(
            H7="",
            H6-_xlpm.avgJ+_xlpm.addship,
            ""
        )
    )
),H7)</f>
        <v>159199</v>
      </c>
      <c r="O7" s="27" t="str">
        <f t="shared" si="1"/>
        <v/>
      </c>
      <c r="P7" s="27" cm="1">
        <f t="array" ref="P7">IF(J7="",_xlfn.LET(
    _xlpm.vals,_xlfn._xlws.FILTER($K$4:K6,$K$4:K6&lt;&gt;"",""),
    _xlpm.avgJ,IF(COUNTA(_xlpm.vals)=0,0,AVERAGE(_xlfn.TAKE(_xlpm.vals,-MIN(7,ROWS(_xlpm.vals))))),
    _xlpm.addship,IF(O7="",0,O7),
    IF(
        AND(J6="",J7=""),
        P6-_xlpm.avgJ+_xlpm.addship,
        IF(
            J7="",
            J6-_xlpm.avgJ+_xlpm.addship,
            ""
        )
    )
),J7)</f>
        <v>194409</v>
      </c>
      <c r="Q7" s="4" t="e">
        <f t="shared" ca="1" si="2"/>
        <v>#NAME?</v>
      </c>
      <c r="Z7" s="51">
        <f t="shared" si="3"/>
        <v>26800</v>
      </c>
      <c r="AA7" s="51">
        <f t="shared" si="4"/>
        <v>357582</v>
      </c>
      <c r="AB7" s="51">
        <f t="shared" si="5"/>
        <v>16165</v>
      </c>
      <c r="AC7" s="51">
        <f t="shared" si="6"/>
        <v>289500</v>
      </c>
    </row>
    <row r="8" spans="1:29" ht="18" customHeight="1" x14ac:dyDescent="0.3">
      <c r="A8" s="5" t="s">
        <v>17</v>
      </c>
      <c r="B8" s="30">
        <v>46169</v>
      </c>
      <c r="C8" s="40">
        <v>234600</v>
      </c>
      <c r="D8" s="40">
        <v>181500</v>
      </c>
      <c r="E8" s="5"/>
      <c r="F8" s="2"/>
      <c r="G8" s="37">
        <f t="shared" si="7"/>
        <v>46102</v>
      </c>
      <c r="H8" s="32">
        <v>159199</v>
      </c>
      <c r="I8" s="32">
        <v>0</v>
      </c>
      <c r="J8" s="32">
        <v>194409</v>
      </c>
      <c r="K8" s="32">
        <v>0</v>
      </c>
      <c r="M8" s="27" t="str">
        <f t="shared" si="0"/>
        <v/>
      </c>
      <c r="N8" s="27" cm="1">
        <f t="array" ref="N8">IF(H8="",_xlfn.LET(
    _xlpm.vals,_xlfn._xlws.FILTER($I$4:I7,$I$4:I7&lt;&gt;"",""),
    _xlpm.avgJ,IF(COUNTA(_xlpm.vals)=0,0,AVERAGE(_xlfn.TAKE(_xlpm.vals,-MIN(7,ROWS(_xlpm.vals))))),
    _xlpm.addship,IF(M8="",0,M8),
    IF(
        AND(H7="",H8=""),
        N7-_xlpm.avgJ+_xlpm.addship,
        IF(
            H8="",
            H7-_xlpm.avgJ+_xlpm.addship,
            ""
        )
    )
),H8)</f>
        <v>159199</v>
      </c>
      <c r="O8" s="27" t="str">
        <f t="shared" si="1"/>
        <v/>
      </c>
      <c r="P8" s="27" cm="1">
        <f t="array" ref="P8">IF(J8="",_xlfn.LET(
    _xlpm.vals,_xlfn._xlws.FILTER($K$4:K7,$K$4:K7&lt;&gt;"",""),
    _xlpm.avgJ,IF(COUNTA(_xlpm.vals)=0,0,AVERAGE(_xlfn.TAKE(_xlpm.vals,-MIN(7,ROWS(_xlpm.vals))))),
    _xlpm.addship,IF(O8="",0,O8),
    IF(
        AND(J7="",J8=""),
        P7-_xlpm.avgJ+_xlpm.addship,
        IF(
            J8="",
            J7-_xlpm.avgJ+_xlpm.addship,
            ""
        )
    )
),J8)</f>
        <v>194409</v>
      </c>
      <c r="Q8" s="4" t="e">
        <f t="shared" ca="1" si="2"/>
        <v>#NAME?</v>
      </c>
      <c r="Z8" s="51">
        <f t="shared" si="3"/>
        <v>26800</v>
      </c>
      <c r="AA8" s="51">
        <f t="shared" si="4"/>
        <v>357582</v>
      </c>
      <c r="AB8" s="51">
        <f t="shared" si="5"/>
        <v>16165</v>
      </c>
      <c r="AC8" s="51">
        <f t="shared" si="6"/>
        <v>289500</v>
      </c>
    </row>
    <row r="9" spans="1:29" ht="18" customHeight="1" x14ac:dyDescent="0.3">
      <c r="A9" s="5" t="s">
        <v>18</v>
      </c>
      <c r="B9" s="30"/>
      <c r="C9" s="40"/>
      <c r="D9" s="40"/>
      <c r="F9" s="2"/>
      <c r="G9" s="37">
        <f t="shared" si="7"/>
        <v>46103</v>
      </c>
      <c r="H9" s="32">
        <v>159199</v>
      </c>
      <c r="I9" s="32">
        <v>0</v>
      </c>
      <c r="J9" s="32">
        <v>194409</v>
      </c>
      <c r="K9" s="32">
        <v>0</v>
      </c>
      <c r="M9" s="27" t="str">
        <f t="shared" si="0"/>
        <v/>
      </c>
      <c r="N9" s="27" cm="1">
        <f t="array" ref="N9">IF(H9="",_xlfn.LET(
    _xlpm.vals,_xlfn._xlws.FILTER($I$4:I8,$I$4:I8&lt;&gt;"",""),
    _xlpm.avgJ,IF(COUNTA(_xlpm.vals)=0,0,AVERAGE(_xlfn.TAKE(_xlpm.vals,-MIN(7,ROWS(_xlpm.vals))))),
    _xlpm.addship,IF(M9="",0,M9),
    IF(
        AND(H8="",H9=""),
        N8-_xlpm.avgJ+_xlpm.addship,
        IF(
            H9="",
            H8-_xlpm.avgJ+_xlpm.addship,
            ""
        )
    )
),H9)</f>
        <v>159199</v>
      </c>
      <c r="O9" s="27" t="str">
        <f t="shared" si="1"/>
        <v/>
      </c>
      <c r="P9" s="27" cm="1">
        <f t="array" ref="P9">IF(J9="",_xlfn.LET(
    _xlpm.vals,_xlfn._xlws.FILTER($K$4:K8,$K$4:K8&lt;&gt;"",""),
    _xlpm.avgJ,IF(COUNTA(_xlpm.vals)=0,0,AVERAGE(_xlfn.TAKE(_xlpm.vals,-MIN(7,ROWS(_xlpm.vals))))),
    _xlpm.addship,IF(O9="",0,O9),
    IF(
        AND(J8="",J9=""),
        P8-_xlpm.avgJ+_xlpm.addship,
        IF(
            J9="",
            J8-_xlpm.avgJ+_xlpm.addship,
            ""
        )
    )
),J9)</f>
        <v>194409</v>
      </c>
      <c r="Q9" s="4" t="e">
        <f t="shared" ca="1" si="2"/>
        <v>#NAME?</v>
      </c>
      <c r="Z9" s="51">
        <f t="shared" si="3"/>
        <v>26800</v>
      </c>
      <c r="AA9" s="51">
        <f t="shared" si="4"/>
        <v>357582</v>
      </c>
      <c r="AB9" s="51">
        <f t="shared" si="5"/>
        <v>16165</v>
      </c>
      <c r="AC9" s="51">
        <f t="shared" si="6"/>
        <v>289500</v>
      </c>
    </row>
    <row r="10" spans="1:29" ht="18" customHeight="1" x14ac:dyDescent="0.3">
      <c r="A10" s="5" t="s">
        <v>19</v>
      </c>
      <c r="B10" s="30"/>
      <c r="C10" s="40"/>
      <c r="D10" s="40"/>
      <c r="F10" s="2"/>
      <c r="G10" s="37">
        <f t="shared" si="7"/>
        <v>46104</v>
      </c>
      <c r="H10" s="32">
        <v>140170</v>
      </c>
      <c r="I10" s="32">
        <v>19000</v>
      </c>
      <c r="J10" s="32">
        <v>177520</v>
      </c>
      <c r="K10" s="32">
        <v>17000</v>
      </c>
      <c r="M10" s="27" t="str">
        <f t="shared" si="0"/>
        <v/>
      </c>
      <c r="N10" s="27" cm="1">
        <f t="array" ref="N10">IF(H10="",_xlfn.LET(
    _xlpm.vals,_xlfn._xlws.FILTER($I$4:I9,$I$4:I9&lt;&gt;"",""),
    _xlpm.avgJ,IF(COUNTA(_xlpm.vals)=0,0,AVERAGE(_xlfn.TAKE(_xlpm.vals,-MIN(7,ROWS(_xlpm.vals))))),
    _xlpm.addship,IF(M10="",0,M10),
    IF(
        AND(H9="",H10=""),
        N9-_xlpm.avgJ+_xlpm.addship,
        IF(
            H10="",
            H9-_xlpm.avgJ+_xlpm.addship,
            ""
        )
    )
),H10)</f>
        <v>140170</v>
      </c>
      <c r="O10" s="27" t="str">
        <f t="shared" si="1"/>
        <v/>
      </c>
      <c r="P10" s="27" cm="1">
        <f t="array" ref="P10">IF(J10="",_xlfn.LET(
    _xlpm.vals,_xlfn._xlws.FILTER($K$4:K9,$K$4:K9&lt;&gt;"",""),
    _xlpm.avgJ,IF(COUNTA(_xlpm.vals)=0,0,AVERAGE(_xlfn.TAKE(_xlpm.vals,-MIN(7,ROWS(_xlpm.vals))))),
    _xlpm.addship,IF(O10="",0,O10),
    IF(
        AND(J9="",J10=""),
        P9-_xlpm.avgJ+_xlpm.addship,
        IF(
            J10="",
            J9-_xlpm.avgJ+_xlpm.addship,
            ""
        )
    )
),J10)</f>
        <v>177520</v>
      </c>
      <c r="Q10" s="4" t="e">
        <f t="shared" ca="1" si="2"/>
        <v>#NAME?</v>
      </c>
      <c r="Z10" s="51">
        <f t="shared" si="3"/>
        <v>26800</v>
      </c>
      <c r="AA10" s="51">
        <f t="shared" si="4"/>
        <v>357582</v>
      </c>
      <c r="AB10" s="51">
        <f t="shared" si="5"/>
        <v>16165</v>
      </c>
      <c r="AC10" s="51">
        <f t="shared" si="6"/>
        <v>289500</v>
      </c>
    </row>
    <row r="11" spans="1:29" ht="18" customHeight="1" x14ac:dyDescent="0.3">
      <c r="A11" s="5"/>
      <c r="F11" s="2"/>
      <c r="G11" s="37">
        <f t="shared" si="7"/>
        <v>46105</v>
      </c>
      <c r="H11" s="32">
        <v>125661</v>
      </c>
      <c r="I11" s="32">
        <v>14500</v>
      </c>
      <c r="J11" s="32">
        <v>172226</v>
      </c>
      <c r="K11" s="32">
        <v>5300</v>
      </c>
      <c r="M11" s="27" t="str">
        <f t="shared" si="0"/>
        <v/>
      </c>
      <c r="N11" s="27" cm="1">
        <f t="array" ref="N11">IF(H11="",_xlfn.LET(
    _xlpm.vals,_xlfn._xlws.FILTER($I$4:I10,$I$4:I10&lt;&gt;"",""),
    _xlpm.avgJ,IF(COUNTA(_xlpm.vals)=0,0,AVERAGE(_xlfn.TAKE(_xlpm.vals,-MIN(7,ROWS(_xlpm.vals))))),
    _xlpm.addship,IF(M11="",0,M11),
    IF(
        AND(H10="",H11=""),
        N10-_xlpm.avgJ+_xlpm.addship,
        IF(
            H11="",
            H10-_xlpm.avgJ+_xlpm.addship,
            ""
        )
    )
),H11)</f>
        <v>125661</v>
      </c>
      <c r="O11" s="27" t="str">
        <f t="shared" si="1"/>
        <v/>
      </c>
      <c r="P11" s="27" cm="1">
        <f t="array" ref="P11">IF(J11="",_xlfn.LET(
    _xlpm.vals,_xlfn._xlws.FILTER($K$4:K10,$K$4:K10&lt;&gt;"",""),
    _xlpm.avgJ,IF(COUNTA(_xlpm.vals)=0,0,AVERAGE(_xlfn.TAKE(_xlpm.vals,-MIN(7,ROWS(_xlpm.vals))))),
    _xlpm.addship,IF(O11="",0,O11),
    IF(
        AND(J10="",J11=""),
        P10-_xlpm.avgJ+_xlpm.addship,
        IF(
            J11="",
            J10-_xlpm.avgJ+_xlpm.addship,
            ""
        )
    )
),J11)</f>
        <v>172226</v>
      </c>
      <c r="Q11" s="4" t="e">
        <f t="shared" ca="1" si="2"/>
        <v>#NAME?</v>
      </c>
      <c r="Z11" s="51">
        <f t="shared" si="3"/>
        <v>26800</v>
      </c>
      <c r="AA11" s="51">
        <f t="shared" si="4"/>
        <v>357582</v>
      </c>
      <c r="AB11" s="51">
        <f t="shared" si="5"/>
        <v>16165</v>
      </c>
      <c r="AC11" s="51">
        <f t="shared" si="6"/>
        <v>289500</v>
      </c>
    </row>
    <row r="12" spans="1:29" ht="18" customHeight="1" x14ac:dyDescent="0.3">
      <c r="A12" s="14"/>
      <c r="B12" s="15"/>
      <c r="C12" s="16"/>
      <c r="D12" s="16"/>
      <c r="E12" s="17"/>
      <c r="F12" s="2"/>
      <c r="G12" s="37">
        <f t="shared" si="7"/>
        <v>46106</v>
      </c>
      <c r="H12" s="32">
        <v>125360</v>
      </c>
      <c r="I12" s="32">
        <v>0</v>
      </c>
      <c r="J12" s="32">
        <v>168786</v>
      </c>
      <c r="K12" s="32">
        <v>3500</v>
      </c>
      <c r="M12" s="27" t="str">
        <f t="shared" si="0"/>
        <v/>
      </c>
      <c r="N12" s="27" cm="1">
        <f t="array" ref="N12">IF(H12="",_xlfn.LET(
    _xlpm.vals,_xlfn._xlws.FILTER($I$4:I11,$I$4:I11&lt;&gt;"",""),
    _xlpm.avgJ,IF(COUNTA(_xlpm.vals)=0,0,AVERAGE(_xlfn.TAKE(_xlpm.vals,-MIN(7,ROWS(_xlpm.vals))))),
    _xlpm.addship,IF(M12="",0,M12),
    IF(
        AND(H11="",H12=""),
        N11-_xlpm.avgJ+_xlpm.addship,
        IF(
            H12="",
            H11-_xlpm.avgJ+_xlpm.addship,
            ""
        )
    )
),H12)</f>
        <v>125360</v>
      </c>
      <c r="O12" s="27" t="str">
        <f t="shared" si="1"/>
        <v/>
      </c>
      <c r="P12" s="27" cm="1">
        <f t="array" ref="P12">IF(J12="",_xlfn.LET(
    _xlpm.vals,_xlfn._xlws.FILTER($K$4:K11,$K$4:K11&lt;&gt;"",""),
    _xlpm.avgJ,IF(COUNTA(_xlpm.vals)=0,0,AVERAGE(_xlfn.TAKE(_xlpm.vals,-MIN(7,ROWS(_xlpm.vals))))),
    _xlpm.addship,IF(O12="",0,O12),
    IF(
        AND(J11="",J12=""),
        P11-_xlpm.avgJ+_xlpm.addship,
        IF(
            J12="",
            J11-_xlpm.avgJ+_xlpm.addship,
            ""
        )
    )
),J12)</f>
        <v>168786</v>
      </c>
      <c r="Q12" s="4" t="e">
        <f t="shared" ca="1" si="2"/>
        <v>#NAME?</v>
      </c>
      <c r="Z12" s="51">
        <f t="shared" si="3"/>
        <v>26800</v>
      </c>
      <c r="AA12" s="51">
        <f t="shared" si="4"/>
        <v>357582</v>
      </c>
      <c r="AB12" s="51">
        <f t="shared" si="5"/>
        <v>16165</v>
      </c>
      <c r="AC12" s="51">
        <f t="shared" si="6"/>
        <v>289500</v>
      </c>
    </row>
    <row r="13" spans="1:29" ht="18" customHeight="1" x14ac:dyDescent="0.3">
      <c r="A13" s="18"/>
      <c r="B13" s="19"/>
      <c r="C13" s="20"/>
      <c r="D13" s="26" t="e" cm="1">
        <f t="array" aca="1" ref="D13" ca="1">_xlfn.LET(
    _xlpm.pDate,IFERROR(INDEX(G4:G500,MATCH(TRUE,ISNUMBER(SEARCH("Petrol stock out",Q4:Q500)),0)),""),
    _xlpm.dDate,IFERROR(INDEX(G4:G500,MATCH(TRUE,ISNUMBER(SEARCH("Diesel stock out",Q4:Q500)),0)),""),
    _xlpm.results,_xlfn.VSTACK(
        IF(_xlpm.pDate&lt;&gt;"","First petrol stock out: "&amp;TEXT(_xlpm.pDate,"d-mmm-yy")&amp;", cargo needed before this date",""),
        IF(_xlpm.dDate&lt;&gt;"","First diesel stock out: "&amp;TEXT(_xlpm.dDate,"d-mmm-yy")&amp;", cargo needed before this date","")
    ),
    _xlpm.filtered,_xlfn._xlws.FILTER(_xlpm.results,_xlpm.results&lt;&gt;""),
    IFERROR(_xlpm.filtered,"No stock outs forecast")
)</f>
        <v>#NAME?</v>
      </c>
      <c r="E13" s="21"/>
      <c r="F13" s="2"/>
      <c r="G13" s="37">
        <f t="shared" si="7"/>
        <v>46107</v>
      </c>
      <c r="H13" s="32">
        <v>121445</v>
      </c>
      <c r="I13" s="32">
        <v>4000</v>
      </c>
      <c r="J13" s="32">
        <v>164156</v>
      </c>
      <c r="K13" s="32">
        <v>4500</v>
      </c>
      <c r="M13" s="27" t="str">
        <f t="shared" si="0"/>
        <v/>
      </c>
      <c r="N13" s="27" cm="1">
        <f t="array" ref="N13">IF(H13="",_xlfn.LET(
    _xlpm.vals,_xlfn._xlws.FILTER($I$4:I12,$I$4:I12&lt;&gt;"",""),
    _xlpm.avgJ,IF(COUNTA(_xlpm.vals)=0,0,AVERAGE(_xlfn.TAKE(_xlpm.vals,-MIN(7,ROWS(_xlpm.vals))))),
    _xlpm.addship,IF(M13="",0,M13),
    IF(
        AND(H12="",H13=""),
        N12-_xlpm.avgJ+_xlpm.addship,
        IF(
            H13="",
            H12-_xlpm.avgJ+_xlpm.addship,
            ""
        )
    )
),H13)</f>
        <v>121445</v>
      </c>
      <c r="O13" s="27" t="str">
        <f t="shared" si="1"/>
        <v/>
      </c>
      <c r="P13" s="27" cm="1">
        <f t="array" ref="P13">IF(J13="",_xlfn.LET(
    _xlpm.vals,_xlfn._xlws.FILTER($K$4:K12,$K$4:K12&lt;&gt;"",""),
    _xlpm.avgJ,IF(COUNTA(_xlpm.vals)=0,0,AVERAGE(_xlfn.TAKE(_xlpm.vals,-MIN(7,ROWS(_xlpm.vals))))),
    _xlpm.addship,IF(O13="",0,O13),
    IF(
        AND(J12="",J13=""),
        P12-_xlpm.avgJ+_xlpm.addship,
        IF(
            J13="",
            J12-_xlpm.avgJ+_xlpm.addship,
            ""
        )
    )
),J13)</f>
        <v>164156</v>
      </c>
      <c r="Q13" s="4" t="e">
        <f t="shared" ca="1" si="2"/>
        <v>#NAME?</v>
      </c>
      <c r="Z13" s="51">
        <f t="shared" si="3"/>
        <v>26800</v>
      </c>
      <c r="AA13" s="51">
        <f t="shared" si="4"/>
        <v>357582</v>
      </c>
      <c r="AB13" s="51">
        <f t="shared" si="5"/>
        <v>16165</v>
      </c>
      <c r="AC13" s="51">
        <f t="shared" si="6"/>
        <v>289500</v>
      </c>
    </row>
    <row r="14" spans="1:29" ht="18" customHeight="1" x14ac:dyDescent="0.3">
      <c r="A14" s="22"/>
      <c r="B14" s="20"/>
      <c r="C14" s="20"/>
      <c r="D14" s="26"/>
      <c r="E14" s="21"/>
      <c r="F14" s="2"/>
      <c r="G14" s="37">
        <f t="shared" si="7"/>
        <v>46108</v>
      </c>
      <c r="H14" s="32">
        <v>105147</v>
      </c>
      <c r="I14" s="32">
        <v>16000</v>
      </c>
      <c r="J14" s="32">
        <v>157835</v>
      </c>
      <c r="K14" s="32">
        <v>6500</v>
      </c>
      <c r="M14" s="27" t="str">
        <f t="shared" si="0"/>
        <v/>
      </c>
      <c r="N14" s="27" cm="1">
        <f t="array" ref="N14">IF(H14="",_xlfn.LET(
    _xlpm.vals,_xlfn._xlws.FILTER($I$4:I13,$I$4:I13&lt;&gt;"",""),
    _xlpm.avgJ,IF(COUNTA(_xlpm.vals)=0,0,AVERAGE(_xlfn.TAKE(_xlpm.vals,-MIN(7,ROWS(_xlpm.vals))))),
    _xlpm.addship,IF(M14="",0,M14),
    IF(
        AND(H13="",H14=""),
        N13-_xlpm.avgJ+_xlpm.addship,
        IF(
            H14="",
            H13-_xlpm.avgJ+_xlpm.addship,
            ""
        )
    )
),H14)</f>
        <v>105147</v>
      </c>
      <c r="O14" s="27" t="str">
        <f t="shared" si="1"/>
        <v/>
      </c>
      <c r="P14" s="27" cm="1">
        <f t="array" ref="P14">IF(J14="",_xlfn.LET(
    _xlpm.vals,_xlfn._xlws.FILTER($K$4:K13,$K$4:K13&lt;&gt;"",""),
    _xlpm.avgJ,IF(COUNTA(_xlpm.vals)=0,0,AVERAGE(_xlfn.TAKE(_xlpm.vals,-MIN(7,ROWS(_xlpm.vals))))),
    _xlpm.addship,IF(O14="",0,O14),
    IF(
        AND(J13="",J14=""),
        P13-_xlpm.avgJ+_xlpm.addship,
        IF(
            J14="",
            J13-_xlpm.avgJ+_xlpm.addship,
            ""
        )
    )
),J14)</f>
        <v>157835</v>
      </c>
      <c r="Q14" s="4" t="e">
        <f t="shared" ca="1" si="2"/>
        <v>#NAME?</v>
      </c>
      <c r="Z14" s="51">
        <f t="shared" si="3"/>
        <v>26800</v>
      </c>
      <c r="AA14" s="51">
        <f t="shared" si="4"/>
        <v>357582</v>
      </c>
      <c r="AB14" s="51">
        <f t="shared" si="5"/>
        <v>16165</v>
      </c>
      <c r="AC14" s="51">
        <f t="shared" si="6"/>
        <v>289500</v>
      </c>
    </row>
    <row r="15" spans="1:29" ht="18" customHeight="1" x14ac:dyDescent="0.3">
      <c r="A15" s="23"/>
      <c r="B15" s="24"/>
      <c r="C15" s="24"/>
      <c r="D15" s="24"/>
      <c r="E15" s="25"/>
      <c r="F15" s="2"/>
      <c r="G15" s="37">
        <f t="shared" si="7"/>
        <v>46109</v>
      </c>
      <c r="H15" s="32">
        <v>105147</v>
      </c>
      <c r="I15" s="32">
        <v>0</v>
      </c>
      <c r="J15" s="32">
        <v>157835</v>
      </c>
      <c r="K15" s="32">
        <v>0</v>
      </c>
      <c r="M15" s="27" t="str">
        <f t="shared" si="0"/>
        <v/>
      </c>
      <c r="N15" s="27" cm="1">
        <f t="array" ref="N15">IF(H15="",_xlfn.LET(
    _xlpm.vals,_xlfn._xlws.FILTER($I$4:I14,$I$4:I14&lt;&gt;"",""),
    _xlpm.avgJ,IF(COUNTA(_xlpm.vals)=0,0,AVERAGE(_xlfn.TAKE(_xlpm.vals,-MIN(7,ROWS(_xlpm.vals))))),
    _xlpm.addship,IF(M15="",0,M15),
    IF(
        AND(H14="",H15=""),
        N14-_xlpm.avgJ+_xlpm.addship,
        IF(
            H15="",
            H14-_xlpm.avgJ+_xlpm.addship,
            ""
        )
    )
),H15)</f>
        <v>105147</v>
      </c>
      <c r="O15" s="27" t="str">
        <f t="shared" si="1"/>
        <v/>
      </c>
      <c r="P15" s="27" cm="1">
        <f t="array" ref="P15">IF(J15="",_xlfn.LET(
    _xlpm.vals,_xlfn._xlws.FILTER($K$4:K14,$K$4:K14&lt;&gt;"",""),
    _xlpm.avgJ,IF(COUNTA(_xlpm.vals)=0,0,AVERAGE(_xlfn.TAKE(_xlpm.vals,-MIN(7,ROWS(_xlpm.vals))))),
    _xlpm.addship,IF(O15="",0,O15),
    IF(
        AND(J14="",J15=""),
        P14-_xlpm.avgJ+_xlpm.addship,
        IF(
            J15="",
            J14-_xlpm.avgJ+_xlpm.addship,
            ""
        )
    )
),J15)</f>
        <v>157835</v>
      </c>
      <c r="Q15" s="4" t="e">
        <f t="shared" ca="1" si="2"/>
        <v>#NAME?</v>
      </c>
      <c r="Z15" s="51">
        <f t="shared" si="3"/>
        <v>26800</v>
      </c>
      <c r="AA15" s="51">
        <f t="shared" si="4"/>
        <v>357582</v>
      </c>
      <c r="AB15" s="51">
        <f t="shared" si="5"/>
        <v>16165</v>
      </c>
      <c r="AC15" s="51">
        <f t="shared" si="6"/>
        <v>289500</v>
      </c>
    </row>
    <row r="16" spans="1:29" ht="18" customHeight="1" x14ac:dyDescent="0.3">
      <c r="F16" s="2"/>
      <c r="G16" s="37">
        <f t="shared" si="7"/>
        <v>46110</v>
      </c>
      <c r="H16" s="32">
        <v>105147</v>
      </c>
      <c r="I16" s="32">
        <v>0</v>
      </c>
      <c r="J16" s="32">
        <v>157835</v>
      </c>
      <c r="K16" s="32">
        <v>0</v>
      </c>
      <c r="M16" s="27" t="str">
        <f t="shared" si="0"/>
        <v/>
      </c>
      <c r="N16" s="27" cm="1">
        <f t="array" ref="N16">IF(H16="",_xlfn.LET(
    _xlpm.vals,_xlfn._xlws.FILTER($I$4:I15,$I$4:I15&lt;&gt;"",""),
    _xlpm.avgJ,IF(COUNTA(_xlpm.vals)=0,0,AVERAGE(_xlfn.TAKE(_xlpm.vals,-MIN(7,ROWS(_xlpm.vals))))),
    _xlpm.addship,IF(M16="",0,M16),
    IF(
        AND(H15="",H16=""),
        N15-_xlpm.avgJ+_xlpm.addship,
        IF(
            H16="",
            H15-_xlpm.avgJ+_xlpm.addship,
            ""
        )
    )
),H16)</f>
        <v>105147</v>
      </c>
      <c r="O16" s="27" t="str">
        <f t="shared" si="1"/>
        <v/>
      </c>
      <c r="P16" s="27" cm="1">
        <f t="array" ref="P16">IF(J16="",_xlfn.LET(
    _xlpm.vals,_xlfn._xlws.FILTER($K$4:K15,$K$4:K15&lt;&gt;"",""),
    _xlpm.avgJ,IF(COUNTA(_xlpm.vals)=0,0,AVERAGE(_xlfn.TAKE(_xlpm.vals,-MIN(7,ROWS(_xlpm.vals))))),
    _xlpm.addship,IF(O16="",0,O16),
    IF(
        AND(J15="",J16=""),
        P15-_xlpm.avgJ+_xlpm.addship,
        IF(
            J16="",
            J15-_xlpm.avgJ+_xlpm.addship,
            ""
        )
    )
),J16)</f>
        <v>157835</v>
      </c>
      <c r="Q16" s="4" t="e">
        <f t="shared" ca="1" si="2"/>
        <v>#NAME?</v>
      </c>
      <c r="Z16" s="51">
        <f t="shared" si="3"/>
        <v>26800</v>
      </c>
      <c r="AA16" s="51">
        <f t="shared" si="4"/>
        <v>357582</v>
      </c>
      <c r="AB16" s="51">
        <f t="shared" si="5"/>
        <v>16165</v>
      </c>
      <c r="AC16" s="51">
        <f t="shared" si="6"/>
        <v>289500</v>
      </c>
    </row>
    <row r="17" spans="1:29" ht="18" customHeight="1" x14ac:dyDescent="0.3">
      <c r="A17" s="38" t="s">
        <v>21</v>
      </c>
      <c r="C17" s="60" t="s">
        <v>28</v>
      </c>
      <c r="D17" s="61"/>
      <c r="F17" s="2"/>
      <c r="G17" s="37">
        <f t="shared" si="7"/>
        <v>46111</v>
      </c>
      <c r="H17" s="32">
        <v>100083</v>
      </c>
      <c r="I17" s="32">
        <v>5000</v>
      </c>
      <c r="J17" s="32">
        <v>151790</v>
      </c>
      <c r="K17" s="32">
        <v>6000</v>
      </c>
      <c r="M17" s="27" t="str">
        <f t="shared" si="0"/>
        <v/>
      </c>
      <c r="N17" s="27" cm="1">
        <f t="array" ref="N17">IF(H17="",_xlfn.LET(
    _xlpm.vals,_xlfn._xlws.FILTER($I$4:I16,$I$4:I16&lt;&gt;"",""),
    _xlpm.avgJ,IF(COUNTA(_xlpm.vals)=0,0,AVERAGE(_xlfn.TAKE(_xlpm.vals,-MIN(7,ROWS(_xlpm.vals))))),
    _xlpm.addship,IF(M17="",0,M17),
    IF(
        AND(H16="",H17=""),
        N16-_xlpm.avgJ+_xlpm.addship,
        IF(
            H17="",
            H16-_xlpm.avgJ+_xlpm.addship,
            ""
        )
    )
),H17)</f>
        <v>100083</v>
      </c>
      <c r="O17" s="27" t="str">
        <f t="shared" si="1"/>
        <v/>
      </c>
      <c r="P17" s="27" cm="1">
        <f t="array" ref="P17">IF(J17="",_xlfn.LET(
    _xlpm.vals,_xlfn._xlws.FILTER($K$4:K16,$K$4:K16&lt;&gt;"",""),
    _xlpm.avgJ,IF(COUNTA(_xlpm.vals)=0,0,AVERAGE(_xlfn.TAKE(_xlpm.vals,-MIN(7,ROWS(_xlpm.vals))))),
    _xlpm.addship,IF(O17="",0,O17),
    IF(
        AND(J16="",J17=""),
        P16-_xlpm.avgJ+_xlpm.addship,
        IF(
            J17="",
            J16-_xlpm.avgJ+_xlpm.addship,
            ""
        )
    )
),J17)</f>
        <v>151790</v>
      </c>
      <c r="Q17" s="4" t="e">
        <f t="shared" ca="1" si="2"/>
        <v>#NAME?</v>
      </c>
      <c r="Z17" s="51">
        <f t="shared" si="3"/>
        <v>26800</v>
      </c>
      <c r="AA17" s="51">
        <f t="shared" si="4"/>
        <v>357582</v>
      </c>
      <c r="AB17" s="51">
        <f t="shared" si="5"/>
        <v>16165</v>
      </c>
      <c r="AC17" s="51">
        <f t="shared" si="6"/>
        <v>289500</v>
      </c>
    </row>
    <row r="18" spans="1:29" ht="18" customHeight="1" x14ac:dyDescent="0.3">
      <c r="A18" s="11" t="s">
        <v>12</v>
      </c>
      <c r="B18" s="6"/>
      <c r="C18" s="7" t="s">
        <v>1</v>
      </c>
      <c r="D18" s="8" t="s">
        <v>2</v>
      </c>
      <c r="F18" s="2"/>
      <c r="G18" s="37">
        <f t="shared" si="7"/>
        <v>46112</v>
      </c>
      <c r="H18" s="32">
        <v>47286</v>
      </c>
      <c r="I18" s="32">
        <v>52700</v>
      </c>
      <c r="J18" s="32">
        <v>111464</v>
      </c>
      <c r="K18" s="32">
        <v>40200</v>
      </c>
      <c r="M18" s="27" t="str">
        <f t="shared" si="0"/>
        <v/>
      </c>
      <c r="N18" s="27" cm="1">
        <f t="array" ref="N18">IF(H18="",_xlfn.LET(
    _xlpm.vals,_xlfn._xlws.FILTER($I$4:I17,$I$4:I17&lt;&gt;"",""),
    _xlpm.avgJ,IF(COUNTA(_xlpm.vals)=0,0,AVERAGE(_xlfn.TAKE(_xlpm.vals,-MIN(7,ROWS(_xlpm.vals))))),
    _xlpm.addship,IF(M18="",0,M18),
    IF(
        AND(H17="",H18=""),
        N17-_xlpm.avgJ+_xlpm.addship,
        IF(
            H18="",
            H17-_xlpm.avgJ+_xlpm.addship,
            ""
        )
    )
),H18)</f>
        <v>47286</v>
      </c>
      <c r="O18" s="27" t="str">
        <f t="shared" si="1"/>
        <v/>
      </c>
      <c r="P18" s="27" cm="1">
        <f t="array" ref="P18">IF(J18="",_xlfn.LET(
    _xlpm.vals,_xlfn._xlws.FILTER($K$4:K17,$K$4:K17&lt;&gt;"",""),
    _xlpm.avgJ,IF(COUNTA(_xlpm.vals)=0,0,AVERAGE(_xlfn.TAKE(_xlpm.vals,-MIN(7,ROWS(_xlpm.vals))))),
    _xlpm.addship,IF(O18="",0,O18),
    IF(
        AND(J17="",J18=""),
        P17-_xlpm.avgJ+_xlpm.addship,
        IF(
            J18="",
            J17-_xlpm.avgJ+_xlpm.addship,
            ""
        )
    )
),J18)</f>
        <v>111464</v>
      </c>
      <c r="Q18" s="4" t="e">
        <f t="shared" ca="1" si="2"/>
        <v>#NAME?</v>
      </c>
      <c r="Z18" s="51">
        <f t="shared" si="3"/>
        <v>26800</v>
      </c>
      <c r="AA18" s="51">
        <f t="shared" si="4"/>
        <v>357582</v>
      </c>
      <c r="AB18" s="51">
        <f t="shared" si="5"/>
        <v>16165</v>
      </c>
      <c r="AC18" s="51">
        <f t="shared" si="6"/>
        <v>289500</v>
      </c>
    </row>
    <row r="19" spans="1:29" ht="18" customHeight="1" x14ac:dyDescent="0.3">
      <c r="A19" s="5" t="s">
        <v>6</v>
      </c>
      <c r="B19" s="6" t="s">
        <v>3</v>
      </c>
      <c r="C19" s="13">
        <v>357582</v>
      </c>
      <c r="D19" s="13">
        <v>289500</v>
      </c>
      <c r="F19" s="2"/>
      <c r="G19" s="37">
        <f t="shared" si="7"/>
        <v>46113</v>
      </c>
      <c r="H19" s="32">
        <v>47186</v>
      </c>
      <c r="I19" s="32">
        <v>0</v>
      </c>
      <c r="J19" s="32">
        <v>111316</v>
      </c>
      <c r="K19" s="32">
        <v>0</v>
      </c>
      <c r="M19" s="27" t="str">
        <f t="shared" si="0"/>
        <v/>
      </c>
      <c r="N19" s="27" cm="1">
        <f t="array" ref="N19">IF(H19="",_xlfn.LET(
    _xlpm.vals,_xlfn._xlws.FILTER($I$4:I18,$I$4:I18&lt;&gt;"",""),
    _xlpm.avgJ,IF(COUNTA(_xlpm.vals)=0,0,AVERAGE(_xlfn.TAKE(_xlpm.vals,-MIN(7,ROWS(_xlpm.vals))))),
    _xlpm.addship,IF(M19="",0,M19),
    IF(
        AND(H18="",H19=""),
        N18-_xlpm.avgJ+_xlpm.addship,
        IF(
            H19="",
            H18-_xlpm.avgJ+_xlpm.addship,
            ""
        )
    )
),H19)</f>
        <v>47186</v>
      </c>
      <c r="O19" s="27" t="str">
        <f t="shared" si="1"/>
        <v/>
      </c>
      <c r="P19" s="27" cm="1">
        <f t="array" ref="P19">IF(J19="",_xlfn.LET(
    _xlpm.vals,_xlfn._xlws.FILTER($K$4:K18,$K$4:K18&lt;&gt;"",""),
    _xlpm.avgJ,IF(COUNTA(_xlpm.vals)=0,0,AVERAGE(_xlfn.TAKE(_xlpm.vals,-MIN(7,ROWS(_xlpm.vals))))),
    _xlpm.addship,IF(O19="",0,O19),
    IF(
        AND(J18="",J19=""),
        P18-_xlpm.avgJ+_xlpm.addship,
        IF(
            J19="",
            J18-_xlpm.avgJ+_xlpm.addship,
            ""
        )
    )
),J19)</f>
        <v>111316</v>
      </c>
      <c r="Q19" s="4" t="e">
        <f t="shared" ca="1" si="2"/>
        <v>#NAME?</v>
      </c>
      <c r="Z19" s="51">
        <f t="shared" si="3"/>
        <v>26800</v>
      </c>
      <c r="AA19" s="51">
        <f t="shared" si="4"/>
        <v>357582</v>
      </c>
      <c r="AB19" s="51">
        <f t="shared" si="5"/>
        <v>16165</v>
      </c>
      <c r="AC19" s="51">
        <f t="shared" si="6"/>
        <v>289500</v>
      </c>
    </row>
    <row r="20" spans="1:29" ht="18" customHeight="1" x14ac:dyDescent="0.3">
      <c r="A20" s="5" t="s">
        <v>4</v>
      </c>
      <c r="B20" s="6" t="s">
        <v>3</v>
      </c>
      <c r="C20" s="13">
        <v>26800</v>
      </c>
      <c r="D20" s="13">
        <v>16165</v>
      </c>
      <c r="E20" s="11"/>
      <c r="F20" s="2"/>
      <c r="G20" s="37">
        <f t="shared" si="7"/>
        <v>46114</v>
      </c>
      <c r="H20" s="33">
        <v>37116</v>
      </c>
      <c r="I20" s="33">
        <v>10000</v>
      </c>
      <c r="J20" s="33">
        <v>109381</v>
      </c>
      <c r="K20" s="33">
        <v>2000</v>
      </c>
      <c r="L20" s="11"/>
      <c r="M20" s="27" t="str">
        <f t="shared" si="0"/>
        <v/>
      </c>
      <c r="N20" s="27" cm="1">
        <f t="array" ref="N20">IF(H20="",_xlfn.LET(
    _xlpm.vals,_xlfn._xlws.FILTER($I$4:I19,$I$4:I19&lt;&gt;"",""),
    _xlpm.avgJ,IF(COUNTA(_xlpm.vals)=0,0,AVERAGE(_xlfn.TAKE(_xlpm.vals,-MIN(7,ROWS(_xlpm.vals))))),
    _xlpm.addship,IF(M20="",0,M20),
    IF(
        AND(H19="",H20=""),
        N19-_xlpm.avgJ+_xlpm.addship,
        IF(
            H20="",
            H19-_xlpm.avgJ+_xlpm.addship,
            ""
        )
    )
),H20)</f>
        <v>37116</v>
      </c>
      <c r="O20" s="27" t="str">
        <f t="shared" si="1"/>
        <v/>
      </c>
      <c r="P20" s="27" cm="1">
        <f t="array" ref="P20">IF(J20="",_xlfn.LET(
    _xlpm.vals,_xlfn._xlws.FILTER($K$4:K19,$K$4:K19&lt;&gt;"",""),
    _xlpm.avgJ,IF(COUNTA(_xlpm.vals)=0,0,AVERAGE(_xlfn.TAKE(_xlpm.vals,-MIN(7,ROWS(_xlpm.vals))))),
    _xlpm.addship,IF(O20="",0,O20),
    IF(
        AND(J19="",J20=""),
        P19-_xlpm.avgJ+_xlpm.addship,
        IF(
            J20="",
            J19-_xlpm.avgJ+_xlpm.addship,
            ""
        )
    )
),J20)</f>
        <v>109381</v>
      </c>
      <c r="Q20" s="4" t="e">
        <f t="shared" ca="1" si="2"/>
        <v>#NAME?</v>
      </c>
      <c r="R20" s="11"/>
      <c r="S20" s="11"/>
      <c r="Z20" s="51">
        <f t="shared" si="3"/>
        <v>26800</v>
      </c>
      <c r="AA20" s="51">
        <f t="shared" si="4"/>
        <v>357582</v>
      </c>
      <c r="AB20" s="51">
        <f t="shared" si="5"/>
        <v>16165</v>
      </c>
      <c r="AC20" s="51">
        <f t="shared" si="6"/>
        <v>289500</v>
      </c>
    </row>
    <row r="21" spans="1:29" ht="18" customHeight="1" x14ac:dyDescent="0.3">
      <c r="A21" s="5" t="s">
        <v>5</v>
      </c>
      <c r="B21" s="6" t="s">
        <v>3</v>
      </c>
      <c r="C21" s="10">
        <f>C19-C20</f>
        <v>330782</v>
      </c>
      <c r="D21" s="10">
        <f>D19-D20</f>
        <v>273335</v>
      </c>
      <c r="F21" s="2"/>
      <c r="G21" s="37">
        <f t="shared" si="7"/>
        <v>46115</v>
      </c>
      <c r="H21" s="32">
        <v>37116</v>
      </c>
      <c r="I21" s="32">
        <v>0</v>
      </c>
      <c r="J21" s="32">
        <v>109381</v>
      </c>
      <c r="K21" s="32">
        <v>0</v>
      </c>
      <c r="M21" s="27" t="str">
        <f t="shared" si="0"/>
        <v/>
      </c>
      <c r="N21" s="27" cm="1">
        <f t="array" ref="N21">IF(H21="",_xlfn.LET(
    _xlpm.vals,_xlfn._xlws.FILTER($I$4:I20,$I$4:I20&lt;&gt;"",""),
    _xlpm.avgJ,IF(COUNTA(_xlpm.vals)=0,0,AVERAGE(_xlfn.TAKE(_xlpm.vals,-MIN(7,ROWS(_xlpm.vals))))),
    _xlpm.addship,IF(M21="",0,M21),
    IF(
        AND(H20="",H21=""),
        N20-_xlpm.avgJ+_xlpm.addship,
        IF(
            H21="",
            H20-_xlpm.avgJ+_xlpm.addship,
            ""
        )
    )
),H21)</f>
        <v>37116</v>
      </c>
      <c r="O21" s="27" t="str">
        <f t="shared" si="1"/>
        <v/>
      </c>
      <c r="P21" s="27" cm="1">
        <f t="array" ref="P21">IF(J21="",_xlfn.LET(
    _xlpm.vals,_xlfn._xlws.FILTER($K$4:K20,$K$4:K20&lt;&gt;"",""),
    _xlpm.avgJ,IF(COUNTA(_xlpm.vals)=0,0,AVERAGE(_xlfn.TAKE(_xlpm.vals,-MIN(7,ROWS(_xlpm.vals))))),
    _xlpm.addship,IF(O21="",0,O21),
    IF(
        AND(J20="",J21=""),
        P20-_xlpm.avgJ+_xlpm.addship,
        IF(
            J21="",
            J20-_xlpm.avgJ+_xlpm.addship,
            ""
        )
    )
),J21)</f>
        <v>109381</v>
      </c>
      <c r="Q21" s="4" t="e">
        <f t="shared" ca="1" si="2"/>
        <v>#NAME?</v>
      </c>
      <c r="Z21" s="51">
        <f t="shared" si="3"/>
        <v>26800</v>
      </c>
      <c r="AA21" s="51">
        <f t="shared" si="4"/>
        <v>357582</v>
      </c>
      <c r="AB21" s="51">
        <f t="shared" si="5"/>
        <v>16165</v>
      </c>
      <c r="AC21" s="51">
        <f t="shared" si="6"/>
        <v>289500</v>
      </c>
    </row>
    <row r="22" spans="1:29" ht="21" x14ac:dyDescent="0.3">
      <c r="F22" s="2"/>
      <c r="G22" s="37">
        <f t="shared" si="7"/>
        <v>46116</v>
      </c>
      <c r="H22" s="32">
        <v>37116</v>
      </c>
      <c r="I22" s="32">
        <v>0</v>
      </c>
      <c r="J22" s="32">
        <v>109381</v>
      </c>
      <c r="K22" s="32">
        <v>0</v>
      </c>
      <c r="M22" s="27" t="str">
        <f t="shared" si="0"/>
        <v/>
      </c>
      <c r="N22" s="27" cm="1">
        <f t="array" ref="N22">IF(H22="",_xlfn.LET(
    _xlpm.vals,_xlfn._xlws.FILTER($I$4:I21,$I$4:I21&lt;&gt;"",""),
    _xlpm.avgJ,IF(COUNTA(_xlpm.vals)=0,0,AVERAGE(_xlfn.TAKE(_xlpm.vals,-MIN(7,ROWS(_xlpm.vals))))),
    _xlpm.addship,IF(M22="",0,M22),
    IF(
        AND(H21="",H22=""),
        N21-_xlpm.avgJ+_xlpm.addship,
        IF(
            H22="",
            H21-_xlpm.avgJ+_xlpm.addship,
            ""
        )
    )
),H22)</f>
        <v>37116</v>
      </c>
      <c r="O22" s="27" t="str">
        <f t="shared" si="1"/>
        <v/>
      </c>
      <c r="P22" s="27" cm="1">
        <f t="array" ref="P22">IF(J22="",_xlfn.LET(
    _xlpm.vals,_xlfn._xlws.FILTER($K$4:K21,$K$4:K21&lt;&gt;"",""),
    _xlpm.avgJ,IF(COUNTA(_xlpm.vals)=0,0,AVERAGE(_xlfn.TAKE(_xlpm.vals,-MIN(7,ROWS(_xlpm.vals))))),
    _xlpm.addship,IF(O22="",0,O22),
    IF(
        AND(J21="",J22=""),
        P21-_xlpm.avgJ+_xlpm.addship,
        IF(
            J22="",
            J21-_xlpm.avgJ+_xlpm.addship,
            ""
        )
    )
),J22)</f>
        <v>109381</v>
      </c>
      <c r="Q22" s="4" t="e">
        <f t="shared" ca="1" si="2"/>
        <v>#NAME?</v>
      </c>
      <c r="Z22" s="51">
        <f t="shared" si="3"/>
        <v>26800</v>
      </c>
      <c r="AA22" s="51">
        <f t="shared" si="4"/>
        <v>357582</v>
      </c>
      <c r="AB22" s="51">
        <f t="shared" si="5"/>
        <v>16165</v>
      </c>
      <c r="AC22" s="51">
        <f t="shared" si="6"/>
        <v>289500</v>
      </c>
    </row>
    <row r="23" spans="1:29" s="11" customFormat="1" ht="18" customHeight="1" x14ac:dyDescent="0.3">
      <c r="E23" s="4"/>
      <c r="F23" s="2"/>
      <c r="G23" s="37">
        <f t="shared" si="7"/>
        <v>46117</v>
      </c>
      <c r="H23" s="33">
        <v>37116</v>
      </c>
      <c r="I23" s="33">
        <v>0</v>
      </c>
      <c r="J23" s="33">
        <v>109381</v>
      </c>
      <c r="K23" s="33">
        <v>0</v>
      </c>
      <c r="M23" s="27" t="str">
        <f t="shared" si="0"/>
        <v/>
      </c>
      <c r="N23" s="27" cm="1">
        <f t="array" ref="N23">IF(H23="",_xlfn.LET(
    _xlpm.vals,_xlfn._xlws.FILTER($I$4:I22,$I$4:I22&lt;&gt;"",""),
    _xlpm.avgJ,IF(COUNTA(_xlpm.vals)=0,0,AVERAGE(_xlfn.TAKE(_xlpm.vals,-MIN(7,ROWS(_xlpm.vals))))),
    _xlpm.addship,IF(M23="",0,M23),
    IF(
        AND(H22="",H23=""),
        N22-_xlpm.avgJ+_xlpm.addship,
        IF(
            H23="",
            H22-_xlpm.avgJ+_xlpm.addship,
            ""
        )
    )
),H23)</f>
        <v>37116</v>
      </c>
      <c r="O23" s="27" t="str">
        <f t="shared" si="1"/>
        <v/>
      </c>
      <c r="P23" s="27" cm="1">
        <f t="array" ref="P23">IF(J23="",_xlfn.LET(
    _xlpm.vals,_xlfn._xlws.FILTER($K$4:K22,$K$4:K22&lt;&gt;"",""),
    _xlpm.avgJ,IF(COUNTA(_xlpm.vals)=0,0,AVERAGE(_xlfn.TAKE(_xlpm.vals,-MIN(7,ROWS(_xlpm.vals))))),
    _xlpm.addship,IF(O23="",0,O23),
    IF(
        AND(J22="",J23=""),
        P22-_xlpm.avgJ+_xlpm.addship,
        IF(
            J23="",
            J22-_xlpm.avgJ+_xlpm.addship,
            ""
        )
    )
),J23)</f>
        <v>109381</v>
      </c>
      <c r="Q23" s="4" t="e">
        <f t="shared" ca="1" si="2"/>
        <v>#NAME?</v>
      </c>
      <c r="R23" s="5"/>
      <c r="S23" s="5"/>
      <c r="Z23" s="51">
        <f t="shared" si="3"/>
        <v>26800</v>
      </c>
      <c r="AA23" s="51">
        <f t="shared" si="4"/>
        <v>357582</v>
      </c>
      <c r="AB23" s="51">
        <f t="shared" si="5"/>
        <v>16165</v>
      </c>
      <c r="AC23" s="51">
        <f t="shared" si="6"/>
        <v>289500</v>
      </c>
    </row>
    <row r="24" spans="1:29" ht="21" x14ac:dyDescent="0.3">
      <c r="E24" s="5"/>
      <c r="F24" s="2"/>
      <c r="G24" s="37">
        <f t="shared" si="7"/>
        <v>46118</v>
      </c>
      <c r="H24" s="32">
        <v>37116</v>
      </c>
      <c r="I24" s="32">
        <v>0</v>
      </c>
      <c r="J24" s="32">
        <v>109381</v>
      </c>
      <c r="K24" s="32">
        <v>0</v>
      </c>
      <c r="M24" s="27" t="str">
        <f t="shared" si="0"/>
        <v/>
      </c>
      <c r="N24" s="27" cm="1">
        <f t="array" ref="N24">IF(H24="",_xlfn.LET(
    _xlpm.vals,_xlfn._xlws.FILTER($I$4:I23,$I$4:I23&lt;&gt;"",""),
    _xlpm.avgJ,IF(COUNTA(_xlpm.vals)=0,0,AVERAGE(_xlfn.TAKE(_xlpm.vals,-MIN(7,ROWS(_xlpm.vals))))),
    _xlpm.addship,IF(M24="",0,M24),
    IF(
        AND(H23="",H24=""),
        N23-_xlpm.avgJ+_xlpm.addship,
        IF(
            H24="",
            H23-_xlpm.avgJ+_xlpm.addship,
            ""
        )
    )
),H24)</f>
        <v>37116</v>
      </c>
      <c r="O24" s="27" t="str">
        <f t="shared" si="1"/>
        <v/>
      </c>
      <c r="P24" s="27" cm="1">
        <f t="array" ref="P24">IF(J24="",_xlfn.LET(
    _xlpm.vals,_xlfn._xlws.FILTER($K$4:K23,$K$4:K23&lt;&gt;"",""),
    _xlpm.avgJ,IF(COUNTA(_xlpm.vals)=0,0,AVERAGE(_xlfn.TAKE(_xlpm.vals,-MIN(7,ROWS(_xlpm.vals))))),
    _xlpm.addship,IF(O24="",0,O24),
    IF(
        AND(J23="",J24=""),
        P23-_xlpm.avgJ+_xlpm.addship,
        IF(
            J24="",
            J23-_xlpm.avgJ+_xlpm.addship,
            ""
        )
    )
),J24)</f>
        <v>109381</v>
      </c>
      <c r="Q24" s="4" t="e">
        <f t="shared" ca="1" si="2"/>
        <v>#NAME?</v>
      </c>
      <c r="Z24" s="51">
        <f t="shared" si="3"/>
        <v>26800</v>
      </c>
      <c r="AA24" s="51">
        <f t="shared" si="4"/>
        <v>357582</v>
      </c>
      <c r="AB24" s="51">
        <f t="shared" si="5"/>
        <v>16165</v>
      </c>
      <c r="AC24" s="51">
        <f t="shared" si="6"/>
        <v>289500</v>
      </c>
    </row>
    <row r="25" spans="1:29" ht="18" customHeight="1" x14ac:dyDescent="0.3">
      <c r="A25" s="5"/>
      <c r="E25" s="5"/>
      <c r="F25" s="2"/>
      <c r="G25" s="37">
        <f t="shared" si="7"/>
        <v>46119</v>
      </c>
      <c r="H25" s="32">
        <v>330227</v>
      </c>
      <c r="I25" s="32">
        <v>9000</v>
      </c>
      <c r="J25" s="32">
        <v>235313</v>
      </c>
      <c r="K25" s="32">
        <v>6000</v>
      </c>
      <c r="M25" s="27" t="str">
        <f t="shared" si="0"/>
        <v/>
      </c>
      <c r="N25" s="27" cm="1">
        <f t="array" ref="N25">IF(H25="",_xlfn.LET(
    _xlpm.vals,_xlfn._xlws.FILTER($I$4:I24,$I$4:I24&lt;&gt;"",""),
    _xlpm.avgJ,IF(COUNTA(_xlpm.vals)=0,0,AVERAGE(_xlfn.TAKE(_xlpm.vals,-MIN(7,ROWS(_xlpm.vals))))),
    _xlpm.addship,IF(M25="",0,M25),
    IF(
        AND(H24="",H25=""),
        N24-_xlpm.avgJ+_xlpm.addship,
        IF(
            H25="",
            H24-_xlpm.avgJ+_xlpm.addship,
            ""
        )
    )
),H25)</f>
        <v>330227</v>
      </c>
      <c r="O25" s="27" t="str">
        <f t="shared" si="1"/>
        <v/>
      </c>
      <c r="P25" s="27" cm="1">
        <f t="array" ref="P25">IF(J25="",_xlfn.LET(
    _xlpm.vals,_xlfn._xlws.FILTER($K$4:K24,$K$4:K24&lt;&gt;"",""),
    _xlpm.avgJ,IF(COUNTA(_xlpm.vals)=0,0,AVERAGE(_xlfn.TAKE(_xlpm.vals,-MIN(7,ROWS(_xlpm.vals))))),
    _xlpm.addship,IF(O25="",0,O25),
    IF(
        AND(J24="",J25=""),
        P24-_xlpm.avgJ+_xlpm.addship,
        IF(
            J25="",
            J24-_xlpm.avgJ+_xlpm.addship,
            ""
        )
    )
),J25)</f>
        <v>235313</v>
      </c>
      <c r="Q25" s="4" t="e">
        <f t="shared" ca="1" si="2"/>
        <v>#NAME?</v>
      </c>
      <c r="Z25" s="51">
        <f t="shared" si="3"/>
        <v>26800</v>
      </c>
      <c r="AA25" s="51">
        <f t="shared" si="4"/>
        <v>357582</v>
      </c>
      <c r="AB25" s="51">
        <f t="shared" si="5"/>
        <v>16165</v>
      </c>
      <c r="AC25" s="51">
        <f t="shared" si="6"/>
        <v>289500</v>
      </c>
    </row>
    <row r="26" spans="1:29" ht="18" customHeight="1" x14ac:dyDescent="0.3">
      <c r="A26" s="5"/>
      <c r="E26" s="5"/>
      <c r="F26" s="2"/>
      <c r="G26" s="37">
        <f t="shared" si="7"/>
        <v>46120</v>
      </c>
      <c r="H26" s="33">
        <v>317077</v>
      </c>
      <c r="I26" s="33">
        <v>13000</v>
      </c>
      <c r="J26" s="33">
        <v>232250</v>
      </c>
      <c r="K26" s="33">
        <v>3000</v>
      </c>
      <c r="L26" s="11"/>
      <c r="M26" s="27" t="str">
        <f t="shared" si="0"/>
        <v/>
      </c>
      <c r="N26" s="27" cm="1">
        <f t="array" ref="N26">IF(H26="",_xlfn.LET(
    _xlpm.vals,_xlfn._xlws.FILTER($I$4:I25,$I$4:I25&lt;&gt;"",""),
    _xlpm.avgJ,IF(COUNTA(_xlpm.vals)=0,0,AVERAGE(_xlfn.TAKE(_xlpm.vals,-MIN(7,ROWS(_xlpm.vals))))),
    _xlpm.addship,IF(M26="",0,M26),
    IF(
        AND(H25="",H26=""),
        N25-_xlpm.avgJ+_xlpm.addship,
        IF(
            H26="",
            H25-_xlpm.avgJ+_xlpm.addship,
            ""
        )
    )
),H26)</f>
        <v>317077</v>
      </c>
      <c r="O26" s="27" t="str">
        <f t="shared" si="1"/>
        <v/>
      </c>
      <c r="P26" s="27" cm="1">
        <f t="array" ref="P26">IF(J26="",_xlfn.LET(
    _xlpm.vals,_xlfn._xlws.FILTER($K$4:K25,$K$4:K25&lt;&gt;"",""),
    _xlpm.avgJ,IF(COUNTA(_xlpm.vals)=0,0,AVERAGE(_xlfn.TAKE(_xlpm.vals,-MIN(7,ROWS(_xlpm.vals))))),
    _xlpm.addship,IF(O26="",0,O26),
    IF(
        AND(J25="",J26=""),
        P25-_xlpm.avgJ+_xlpm.addship,
        IF(
            J26="",
            J25-_xlpm.avgJ+_xlpm.addship,
            ""
        )
    )
),J26)</f>
        <v>232250</v>
      </c>
      <c r="Q26" s="4" t="e">
        <f t="shared" ca="1" si="2"/>
        <v>#NAME?</v>
      </c>
      <c r="Z26" s="51">
        <f t="shared" si="3"/>
        <v>26800</v>
      </c>
      <c r="AA26" s="51">
        <f t="shared" si="4"/>
        <v>357582</v>
      </c>
      <c r="AB26" s="51">
        <f t="shared" si="5"/>
        <v>16165</v>
      </c>
      <c r="AC26" s="51">
        <f t="shared" si="6"/>
        <v>289500</v>
      </c>
    </row>
    <row r="27" spans="1:29" ht="18" customHeight="1" x14ac:dyDescent="0.3">
      <c r="F27" s="2"/>
      <c r="G27" s="37">
        <f t="shared" si="7"/>
        <v>46121</v>
      </c>
      <c r="H27" s="32">
        <v>317026</v>
      </c>
      <c r="I27" s="32">
        <v>0</v>
      </c>
      <c r="J27" s="32">
        <v>231976</v>
      </c>
      <c r="K27" s="32">
        <v>0</v>
      </c>
      <c r="M27" s="27" t="str">
        <f t="shared" si="0"/>
        <v/>
      </c>
      <c r="N27" s="27" cm="1">
        <f t="array" ref="N27">IF(H27="",_xlfn.LET(
    _xlpm.vals,_xlfn._xlws.FILTER($I$4:I26,$I$4:I26&lt;&gt;"",""),
    _xlpm.avgJ,IF(COUNTA(_xlpm.vals)=0,0,AVERAGE(_xlfn.TAKE(_xlpm.vals,-MIN(7,ROWS(_xlpm.vals))))),
    _xlpm.addship,IF(M27="",0,M27),
    IF(
        AND(H26="",H27=""),
        N26-_xlpm.avgJ+_xlpm.addship,
        IF(
            H27="",
            H26-_xlpm.avgJ+_xlpm.addship,
            ""
        )
    )
),H27)</f>
        <v>317026</v>
      </c>
      <c r="O27" s="27" t="str">
        <f t="shared" si="1"/>
        <v/>
      </c>
      <c r="P27" s="27" cm="1">
        <f t="array" ref="P27">IF(J27="",_xlfn.LET(
    _xlpm.vals,_xlfn._xlws.FILTER($K$4:K26,$K$4:K26&lt;&gt;"",""),
    _xlpm.avgJ,IF(COUNTA(_xlpm.vals)=0,0,AVERAGE(_xlfn.TAKE(_xlpm.vals,-MIN(7,ROWS(_xlpm.vals))))),
    _xlpm.addship,IF(O27="",0,O27),
    IF(
        AND(J26="",J27=""),
        P26-_xlpm.avgJ+_xlpm.addship,
        IF(
            J27="",
            J26-_xlpm.avgJ+_xlpm.addship,
            ""
        )
    )
),J27)</f>
        <v>231976</v>
      </c>
      <c r="Q27" s="4" t="e">
        <f t="shared" ca="1" si="2"/>
        <v>#NAME?</v>
      </c>
      <c r="Z27" s="51">
        <f t="shared" si="3"/>
        <v>26800</v>
      </c>
      <c r="AA27" s="51">
        <f t="shared" si="4"/>
        <v>357582</v>
      </c>
      <c r="AB27" s="51">
        <f t="shared" si="5"/>
        <v>16165</v>
      </c>
      <c r="AC27" s="51">
        <f t="shared" si="6"/>
        <v>289500</v>
      </c>
    </row>
    <row r="28" spans="1:29" ht="18" customHeight="1" x14ac:dyDescent="0.3">
      <c r="F28" s="2"/>
      <c r="G28" s="37">
        <f t="shared" si="7"/>
        <v>46122</v>
      </c>
      <c r="H28" s="32">
        <v>308594</v>
      </c>
      <c r="I28" s="32">
        <v>8000</v>
      </c>
      <c r="J28" s="32">
        <v>227253</v>
      </c>
      <c r="K28" s="32">
        <v>2500</v>
      </c>
      <c r="M28" s="27" t="str">
        <f t="shared" si="0"/>
        <v/>
      </c>
      <c r="N28" s="27" cm="1">
        <f t="array" ref="N28">IF(H28="",_xlfn.LET(
    _xlpm.vals,_xlfn._xlws.FILTER($I$4:I27,$I$4:I27&lt;&gt;"",""),
    _xlpm.avgJ,IF(COUNTA(_xlpm.vals)=0,0,AVERAGE(_xlfn.TAKE(_xlpm.vals,-MIN(7,ROWS(_xlpm.vals))))),
    _xlpm.addship,IF(M28="",0,M28),
    IF(
        AND(H27="",H28=""),
        N27-_xlpm.avgJ+_xlpm.addship,
        IF(
            H28="",
            H27-_xlpm.avgJ+_xlpm.addship,
            ""
        )
    )
),H28)</f>
        <v>308594</v>
      </c>
      <c r="O28" s="27" t="str">
        <f t="shared" si="1"/>
        <v/>
      </c>
      <c r="P28" s="27" cm="1">
        <f t="array" ref="P28">IF(J28="",_xlfn.LET(
    _xlpm.vals,_xlfn._xlws.FILTER($K$4:K27,$K$4:K27&lt;&gt;"",""),
    _xlpm.avgJ,IF(COUNTA(_xlpm.vals)=0,0,AVERAGE(_xlfn.TAKE(_xlpm.vals,-MIN(7,ROWS(_xlpm.vals))))),
    _xlpm.addship,IF(O28="",0,O28),
    IF(
        AND(J27="",J28=""),
        P27-_xlpm.avgJ+_xlpm.addship,
        IF(
            J28="",
            J27-_xlpm.avgJ+_xlpm.addship,
            ""
        )
    )
),J28)</f>
        <v>227253</v>
      </c>
      <c r="Q28" s="4" t="e">
        <f t="shared" ca="1" si="2"/>
        <v>#NAME?</v>
      </c>
      <c r="Z28" s="51">
        <f t="shared" si="3"/>
        <v>26800</v>
      </c>
      <c r="AA28" s="51">
        <f t="shared" si="4"/>
        <v>357582</v>
      </c>
      <c r="AB28" s="51">
        <f t="shared" si="5"/>
        <v>16165</v>
      </c>
      <c r="AC28" s="51">
        <f t="shared" si="6"/>
        <v>289500</v>
      </c>
    </row>
    <row r="29" spans="1:29" ht="18" customHeight="1" x14ac:dyDescent="0.3">
      <c r="F29" s="4"/>
      <c r="G29" s="37">
        <f t="shared" si="7"/>
        <v>46123</v>
      </c>
      <c r="H29" s="32">
        <v>308594</v>
      </c>
      <c r="I29" s="32">
        <v>0</v>
      </c>
      <c r="J29" s="32">
        <v>227253</v>
      </c>
      <c r="K29" s="32">
        <v>0</v>
      </c>
      <c r="M29" s="27" t="str">
        <f t="shared" si="0"/>
        <v/>
      </c>
      <c r="N29" s="27" cm="1">
        <f t="array" ref="N29">IF(H29="",_xlfn.LET(
    _xlpm.vals,_xlfn._xlws.FILTER($I$4:I28,$I$4:I28&lt;&gt;"",""),
    _xlpm.avgJ,IF(COUNTA(_xlpm.vals)=0,0,AVERAGE(_xlfn.TAKE(_xlpm.vals,-MIN(7,ROWS(_xlpm.vals))))),
    _xlpm.addship,IF(M29="",0,M29),
    IF(
        AND(H28="",H29=""),
        N28-_xlpm.avgJ+_xlpm.addship,
        IF(
            H29="",
            H28-_xlpm.avgJ+_xlpm.addship,
            ""
        )
    )
),H29)</f>
        <v>308594</v>
      </c>
      <c r="O29" s="27" t="str">
        <f t="shared" si="1"/>
        <v/>
      </c>
      <c r="P29" s="27" cm="1">
        <f t="array" ref="P29">IF(J29="",_xlfn.LET(
    _xlpm.vals,_xlfn._xlws.FILTER($K$4:K28,$K$4:K28&lt;&gt;"",""),
    _xlpm.avgJ,IF(COUNTA(_xlpm.vals)=0,0,AVERAGE(_xlfn.TAKE(_xlpm.vals,-MIN(7,ROWS(_xlpm.vals))))),
    _xlpm.addship,IF(O29="",0,O29),
    IF(
        AND(J28="",J29=""),
        P28-_xlpm.avgJ+_xlpm.addship,
        IF(
            J29="",
            J28-_xlpm.avgJ+_xlpm.addship,
            ""
        )
    )
),J29)</f>
        <v>227253</v>
      </c>
      <c r="Q29" s="4" t="e">
        <f t="shared" ca="1" si="2"/>
        <v>#NAME?</v>
      </c>
      <c r="Z29" s="51">
        <f t="shared" si="3"/>
        <v>26800</v>
      </c>
      <c r="AA29" s="51">
        <f t="shared" si="4"/>
        <v>357582</v>
      </c>
      <c r="AB29" s="51">
        <f t="shared" si="5"/>
        <v>16165</v>
      </c>
      <c r="AC29" s="51">
        <f t="shared" si="6"/>
        <v>289500</v>
      </c>
    </row>
    <row r="30" spans="1:29" ht="14.4" x14ac:dyDescent="0.3">
      <c r="G30" s="37">
        <f t="shared" si="7"/>
        <v>46124</v>
      </c>
      <c r="H30" s="32">
        <v>308594</v>
      </c>
      <c r="I30" s="32">
        <v>0</v>
      </c>
      <c r="J30" s="32">
        <v>227253</v>
      </c>
      <c r="K30" s="32">
        <v>0</v>
      </c>
      <c r="M30" s="27" t="str">
        <f t="shared" si="0"/>
        <v/>
      </c>
      <c r="N30" s="27" cm="1">
        <f t="array" ref="N30">IF(H30="",_xlfn.LET(
    _xlpm.vals,_xlfn._xlws.FILTER($I$4:I29,$I$4:I29&lt;&gt;"",""),
    _xlpm.avgJ,IF(COUNTA(_xlpm.vals)=0,0,AVERAGE(_xlfn.TAKE(_xlpm.vals,-MIN(7,ROWS(_xlpm.vals))))),
    _xlpm.addship,IF(M30="",0,M30),
    IF(
        AND(H29="",H30=""),
        N29-_xlpm.avgJ+_xlpm.addship,
        IF(
            H30="",
            H29-_xlpm.avgJ+_xlpm.addship,
            ""
        )
    )
),H30)</f>
        <v>308594</v>
      </c>
      <c r="O30" s="27" t="str">
        <f t="shared" si="1"/>
        <v/>
      </c>
      <c r="P30" s="27" cm="1">
        <f t="array" ref="P30">IF(J30="",_xlfn.LET(
    _xlpm.vals,_xlfn._xlws.FILTER($K$4:K29,$K$4:K29&lt;&gt;"",""),
    _xlpm.avgJ,IF(COUNTA(_xlpm.vals)=0,0,AVERAGE(_xlfn.TAKE(_xlpm.vals,-MIN(7,ROWS(_xlpm.vals))))),
    _xlpm.addship,IF(O30="",0,O30),
    IF(
        AND(J29="",J30=""),
        P29-_xlpm.avgJ+_xlpm.addship,
        IF(
            J30="",
            J29-_xlpm.avgJ+_xlpm.addship,
            ""
        )
    )
),J30)</f>
        <v>227253</v>
      </c>
      <c r="Q30" s="4" t="e">
        <f t="shared" ca="1" si="2"/>
        <v>#NAME?</v>
      </c>
      <c r="Z30" s="51">
        <f t="shared" si="3"/>
        <v>26800</v>
      </c>
      <c r="AA30" s="51">
        <f t="shared" si="4"/>
        <v>357582</v>
      </c>
      <c r="AB30" s="51">
        <f t="shared" si="5"/>
        <v>16165</v>
      </c>
      <c r="AC30" s="51">
        <f t="shared" si="6"/>
        <v>289500</v>
      </c>
    </row>
    <row r="31" spans="1:29" ht="18" customHeight="1" x14ac:dyDescent="0.3">
      <c r="G31" s="37">
        <f t="shared" si="7"/>
        <v>46125</v>
      </c>
      <c r="H31" s="32"/>
      <c r="I31" s="32"/>
      <c r="J31" s="32"/>
      <c r="K31" s="32"/>
      <c r="M31" s="27" t="str">
        <f t="shared" ca="1" si="0"/>
        <v/>
      </c>
      <c r="N31" s="27" t="e" cm="1">
        <f t="array" aca="1" ref="N31" ca="1">IF(H31="",_xlfn.LET(
    _xlpm.vals,_xlfn._xlws.FILTER($I$4:I30,$I$4:I30&lt;&gt;"",""),
    _xlpm.avgJ,IF(COUNTA(_xlpm.vals)=0,0,AVERAGE(_xlfn.TAKE(_xlpm.vals,-MIN(7,ROWS(_xlpm.vals))))),
    _xlpm.addship,IF(M31="",0,M31),
    IF(
        AND(H30="",H31=""),
        N30-_xlpm.avgJ+_xlpm.addship,
        IF(
            H31="",
            H30-_xlpm.avgJ+_xlpm.addship,
            ""
        )
    )
),H31)</f>
        <v>#NAME?</v>
      </c>
      <c r="O31" s="27" t="str">
        <f t="shared" ca="1" si="1"/>
        <v/>
      </c>
      <c r="P31" s="27" t="e" cm="1">
        <f t="array" aca="1" ref="P31" ca="1">IF(J31="",_xlfn.LET(
    _xlpm.vals,_xlfn._xlws.FILTER($K$4:K30,$K$4:K30&lt;&gt;"",""),
    _xlpm.avgJ,IF(COUNTA(_xlpm.vals)=0,0,AVERAGE(_xlfn.TAKE(_xlpm.vals,-MIN(7,ROWS(_xlpm.vals))))),
    _xlpm.addship,IF(O31="",0,O31),
    IF(
        AND(J30="",J31=""),
        P30-_xlpm.avgJ+_xlpm.addship,
        IF(
            J31="",
            J30-_xlpm.avgJ+_xlpm.addship,
            ""
        )
    )
),J31)</f>
        <v>#NAME?</v>
      </c>
      <c r="Q31" s="4" t="e">
        <f t="shared" ca="1" si="2"/>
        <v>#NAME?</v>
      </c>
      <c r="Z31" s="51">
        <f t="shared" si="3"/>
        <v>26800</v>
      </c>
      <c r="AA31" s="51">
        <f t="shared" si="4"/>
        <v>357582</v>
      </c>
      <c r="AB31" s="51">
        <f t="shared" si="5"/>
        <v>16165</v>
      </c>
      <c r="AC31" s="51">
        <f t="shared" si="6"/>
        <v>289500</v>
      </c>
    </row>
    <row r="32" spans="1:29" ht="18" customHeight="1" x14ac:dyDescent="0.3">
      <c r="G32" s="37">
        <f t="shared" si="7"/>
        <v>46126</v>
      </c>
      <c r="H32" s="32"/>
      <c r="I32" s="32"/>
      <c r="J32" s="32"/>
      <c r="K32" s="32"/>
      <c r="M32" s="27" t="str">
        <f t="shared" ca="1" si="0"/>
        <v/>
      </c>
      <c r="N32" s="27" t="e" cm="1">
        <f t="array" aca="1" ref="N32" ca="1">IF(H32="",_xlfn.LET(
    _xlpm.vals,_xlfn._xlws.FILTER($I$4:I31,$I$4:I31&lt;&gt;"",""),
    _xlpm.avgJ,IF(COUNTA(_xlpm.vals)=0,0,AVERAGE(_xlfn.TAKE(_xlpm.vals,-MIN(7,ROWS(_xlpm.vals))))),
    _xlpm.addship,IF(M32="",0,M32),
    IF(
        AND(H31="",H32=""),
        N31-_xlpm.avgJ+_xlpm.addship,
        IF(
            H32="",
            H31-_xlpm.avgJ+_xlpm.addship,
            ""
        )
    )
),H32)</f>
        <v>#NAME?</v>
      </c>
      <c r="O32" s="27" t="str">
        <f t="shared" ca="1" si="1"/>
        <v/>
      </c>
      <c r="P32" s="27" t="e" cm="1">
        <f t="array" aca="1" ref="P32" ca="1">IF(J32="",_xlfn.LET(
    _xlpm.vals,_xlfn._xlws.FILTER($K$4:K31,$K$4:K31&lt;&gt;"",""),
    _xlpm.avgJ,IF(COUNTA(_xlpm.vals)=0,0,AVERAGE(_xlfn.TAKE(_xlpm.vals,-MIN(7,ROWS(_xlpm.vals))))),
    _xlpm.addship,IF(O32="",0,O32),
    IF(
        AND(J31="",J32=""),
        P31-_xlpm.avgJ+_xlpm.addship,
        IF(
            J32="",
            J31-_xlpm.avgJ+_xlpm.addship,
            ""
        )
    )
),J32)</f>
        <v>#NAME?</v>
      </c>
      <c r="Q32" s="4" t="e">
        <f t="shared" ca="1" si="2"/>
        <v>#NAME?</v>
      </c>
      <c r="Z32" s="51">
        <f t="shared" si="3"/>
        <v>26800</v>
      </c>
      <c r="AA32" s="51">
        <f t="shared" si="4"/>
        <v>357582</v>
      </c>
      <c r="AB32" s="51">
        <f t="shared" si="5"/>
        <v>16165</v>
      </c>
      <c r="AC32" s="51">
        <f t="shared" si="6"/>
        <v>289500</v>
      </c>
    </row>
    <row r="33" spans="5:29" ht="18" customHeight="1" x14ac:dyDescent="0.3">
      <c r="E33" s="9"/>
      <c r="G33" s="37">
        <f t="shared" si="7"/>
        <v>46127</v>
      </c>
      <c r="H33" s="32"/>
      <c r="I33" s="32"/>
      <c r="J33" s="32"/>
      <c r="K33" s="32"/>
      <c r="M33" s="27" t="str">
        <f t="shared" ca="1" si="0"/>
        <v/>
      </c>
      <c r="N33" s="27" t="e" cm="1">
        <f t="array" aca="1" ref="N33" ca="1">IF(H33="",_xlfn.LET(
    _xlpm.vals,_xlfn._xlws.FILTER($I$4:I32,$I$4:I32&lt;&gt;"",""),
    _xlpm.avgJ,IF(COUNTA(_xlpm.vals)=0,0,AVERAGE(_xlfn.TAKE(_xlpm.vals,-MIN(7,ROWS(_xlpm.vals))))),
    _xlpm.addship,IF(M33="",0,M33),
    IF(
        AND(H32="",H33=""),
        N32-_xlpm.avgJ+_xlpm.addship,
        IF(
            H33="",
            H32-_xlpm.avgJ+_xlpm.addship,
            ""
        )
    )
),H33)</f>
        <v>#NAME?</v>
      </c>
      <c r="O33" s="27" t="str">
        <f t="shared" ca="1" si="1"/>
        <v/>
      </c>
      <c r="P33" s="27" t="e" cm="1">
        <f t="array" aca="1" ref="P33" ca="1">IF(J33="",_xlfn.LET(
    _xlpm.vals,_xlfn._xlws.FILTER($K$4:K32,$K$4:K32&lt;&gt;"",""),
    _xlpm.avgJ,IF(COUNTA(_xlpm.vals)=0,0,AVERAGE(_xlfn.TAKE(_xlpm.vals,-MIN(7,ROWS(_xlpm.vals))))),
    _xlpm.addship,IF(O33="",0,O33),
    IF(
        AND(J32="",J33=""),
        P32-_xlpm.avgJ+_xlpm.addship,
        IF(
            J33="",
            J32-_xlpm.avgJ+_xlpm.addship,
            ""
        )
    )
),J33)</f>
        <v>#NAME?</v>
      </c>
      <c r="Q33" s="4" t="e">
        <f t="shared" ca="1" si="2"/>
        <v>#NAME?</v>
      </c>
      <c r="Z33" s="51">
        <f t="shared" si="3"/>
        <v>26800</v>
      </c>
      <c r="AA33" s="51">
        <f t="shared" si="4"/>
        <v>357582</v>
      </c>
      <c r="AB33" s="51">
        <f t="shared" si="5"/>
        <v>16165</v>
      </c>
      <c r="AC33" s="51">
        <f t="shared" si="6"/>
        <v>289500</v>
      </c>
    </row>
    <row r="34" spans="5:29" ht="18" customHeight="1" x14ac:dyDescent="0.3">
      <c r="G34" s="37">
        <f t="shared" si="7"/>
        <v>46128</v>
      </c>
      <c r="H34" s="32"/>
      <c r="I34" s="32"/>
      <c r="J34" s="32"/>
      <c r="K34" s="32"/>
      <c r="M34" s="27" t="str">
        <f t="shared" ca="1" si="0"/>
        <v/>
      </c>
      <c r="N34" s="27" t="e" cm="1">
        <f t="array" aca="1" ref="N34" ca="1">IF(H34="",_xlfn.LET(
    _xlpm.vals,_xlfn._xlws.FILTER($I$4:I33,$I$4:I33&lt;&gt;"",""),
    _xlpm.avgJ,IF(COUNTA(_xlpm.vals)=0,0,AVERAGE(_xlfn.TAKE(_xlpm.vals,-MIN(7,ROWS(_xlpm.vals))))),
    _xlpm.addship,IF(M34="",0,M34),
    IF(
        AND(H33="",H34=""),
        N33-_xlpm.avgJ+_xlpm.addship,
        IF(
            H34="",
            H33-_xlpm.avgJ+_xlpm.addship,
            ""
        )
    )
),H34)</f>
        <v>#NAME?</v>
      </c>
      <c r="O34" s="27" t="str">
        <f t="shared" ca="1" si="1"/>
        <v/>
      </c>
      <c r="P34" s="27" t="e" cm="1">
        <f t="array" aca="1" ref="P34" ca="1">IF(J34="",_xlfn.LET(
    _xlpm.vals,_xlfn._xlws.FILTER($K$4:K33,$K$4:K33&lt;&gt;"",""),
    _xlpm.avgJ,IF(COUNTA(_xlpm.vals)=0,0,AVERAGE(_xlfn.TAKE(_xlpm.vals,-MIN(7,ROWS(_xlpm.vals))))),
    _xlpm.addship,IF(O34="",0,O34),
    IF(
        AND(J33="",J34=""),
        P33-_xlpm.avgJ+_xlpm.addship,
        IF(
            J34="",
            J33-_xlpm.avgJ+_xlpm.addship,
            ""
        )
    )
),J34)</f>
        <v>#NAME?</v>
      </c>
      <c r="Q34" s="4" t="e">
        <f t="shared" ca="1" si="2"/>
        <v>#NAME?</v>
      </c>
      <c r="Z34" s="51">
        <f t="shared" si="3"/>
        <v>26800</v>
      </c>
      <c r="AA34" s="51">
        <f t="shared" si="4"/>
        <v>357582</v>
      </c>
      <c r="AB34" s="51">
        <f t="shared" si="5"/>
        <v>16165</v>
      </c>
      <c r="AC34" s="51">
        <f t="shared" si="6"/>
        <v>289500</v>
      </c>
    </row>
    <row r="35" spans="5:29" ht="18" customHeight="1" x14ac:dyDescent="0.3">
      <c r="G35" s="37">
        <f t="shared" si="7"/>
        <v>46129</v>
      </c>
      <c r="H35" s="32"/>
      <c r="I35" s="32"/>
      <c r="J35" s="32"/>
      <c r="K35" s="32"/>
      <c r="M35" s="27" t="str">
        <f t="shared" ca="1" si="0"/>
        <v/>
      </c>
      <c r="N35" s="27" t="e" cm="1">
        <f t="array" aca="1" ref="N35" ca="1">IF(H35="",_xlfn.LET(
    _xlpm.vals,_xlfn._xlws.FILTER($I$4:I34,$I$4:I34&lt;&gt;"",""),
    _xlpm.avgJ,IF(COUNTA(_xlpm.vals)=0,0,AVERAGE(_xlfn.TAKE(_xlpm.vals,-MIN(7,ROWS(_xlpm.vals))))),
    _xlpm.addship,IF(M35="",0,M35),
    IF(
        AND(H34="",H35=""),
        N34-_xlpm.avgJ+_xlpm.addship,
        IF(
            H35="",
            H34-_xlpm.avgJ+_xlpm.addship,
            ""
        )
    )
),H35)</f>
        <v>#NAME?</v>
      </c>
      <c r="O35" s="27" t="str">
        <f t="shared" ca="1" si="1"/>
        <v/>
      </c>
      <c r="P35" s="27" t="e" cm="1">
        <f t="array" aca="1" ref="P35" ca="1">IF(J35="",_xlfn.LET(
    _xlpm.vals,_xlfn._xlws.FILTER($K$4:K34,$K$4:K34&lt;&gt;"",""),
    _xlpm.avgJ,IF(COUNTA(_xlpm.vals)=0,0,AVERAGE(_xlfn.TAKE(_xlpm.vals,-MIN(7,ROWS(_xlpm.vals))))),
    _xlpm.addship,IF(O35="",0,O35),
    IF(
        AND(J34="",J35=""),
        P34-_xlpm.avgJ+_xlpm.addship,
        IF(
            J35="",
            J34-_xlpm.avgJ+_xlpm.addship,
            ""
        )
    )
),J35)</f>
        <v>#NAME?</v>
      </c>
      <c r="Q35" s="4" t="e">
        <f t="shared" ca="1" si="2"/>
        <v>#NAME?</v>
      </c>
      <c r="Z35" s="51">
        <f t="shared" si="3"/>
        <v>26800</v>
      </c>
      <c r="AA35" s="51">
        <f t="shared" si="4"/>
        <v>357582</v>
      </c>
      <c r="AB35" s="51">
        <f t="shared" si="5"/>
        <v>16165</v>
      </c>
      <c r="AC35" s="51">
        <f t="shared" si="6"/>
        <v>289500</v>
      </c>
    </row>
    <row r="36" spans="5:29" ht="18" customHeight="1" x14ac:dyDescent="0.3">
      <c r="G36" s="37">
        <f t="shared" si="7"/>
        <v>46130</v>
      </c>
      <c r="H36" s="32"/>
      <c r="I36" s="32"/>
      <c r="J36" s="32"/>
      <c r="K36" s="32"/>
      <c r="M36" s="27" t="str">
        <f t="shared" ca="1" si="0"/>
        <v/>
      </c>
      <c r="N36" s="27" t="e" cm="1">
        <f t="array" aca="1" ref="N36" ca="1">IF(H36="",_xlfn.LET(
    _xlpm.vals,_xlfn._xlws.FILTER($I$4:I35,$I$4:I35&lt;&gt;"",""),
    _xlpm.avgJ,IF(COUNTA(_xlpm.vals)=0,0,AVERAGE(_xlfn.TAKE(_xlpm.vals,-MIN(7,ROWS(_xlpm.vals))))),
    _xlpm.addship,IF(M36="",0,M36),
    IF(
        AND(H35="",H36=""),
        N35-_xlpm.avgJ+_xlpm.addship,
        IF(
            H36="",
            H35-_xlpm.avgJ+_xlpm.addship,
            ""
        )
    )
),H36)</f>
        <v>#NAME?</v>
      </c>
      <c r="O36" s="27" t="str">
        <f t="shared" ca="1" si="1"/>
        <v/>
      </c>
      <c r="P36" s="27" t="e" cm="1">
        <f t="array" aca="1" ref="P36" ca="1">IF(J36="",_xlfn.LET(
    _xlpm.vals,_xlfn._xlws.FILTER($K$4:K35,$K$4:K35&lt;&gt;"",""),
    _xlpm.avgJ,IF(COUNTA(_xlpm.vals)=0,0,AVERAGE(_xlfn.TAKE(_xlpm.vals,-MIN(7,ROWS(_xlpm.vals))))),
    _xlpm.addship,IF(O36="",0,O36),
    IF(
        AND(J35="",J36=""),
        P35-_xlpm.avgJ+_xlpm.addship,
        IF(
            J36="",
            J35-_xlpm.avgJ+_xlpm.addship,
            ""
        )
    )
),J36)</f>
        <v>#NAME?</v>
      </c>
      <c r="Q36" s="4" t="e">
        <f t="shared" ca="1" si="2"/>
        <v>#NAME?</v>
      </c>
      <c r="Z36" s="51">
        <f t="shared" si="3"/>
        <v>26800</v>
      </c>
      <c r="AA36" s="51">
        <f t="shared" si="4"/>
        <v>357582</v>
      </c>
      <c r="AB36" s="51">
        <f t="shared" si="5"/>
        <v>16165</v>
      </c>
      <c r="AC36" s="51">
        <f t="shared" si="6"/>
        <v>289500</v>
      </c>
    </row>
    <row r="37" spans="5:29" ht="18" customHeight="1" x14ac:dyDescent="0.3">
      <c r="G37" s="37">
        <f t="shared" si="7"/>
        <v>46131</v>
      </c>
      <c r="H37" s="32"/>
      <c r="I37" s="32"/>
      <c r="J37" s="32"/>
      <c r="K37" s="32"/>
      <c r="M37" s="27" t="str">
        <f t="shared" ca="1" si="0"/>
        <v/>
      </c>
      <c r="N37" s="27" t="e" cm="1">
        <f t="array" aca="1" ref="N37" ca="1">IF(H37="",_xlfn.LET(
    _xlpm.vals,_xlfn._xlws.FILTER($I$4:I36,$I$4:I36&lt;&gt;"",""),
    _xlpm.avgJ,IF(COUNTA(_xlpm.vals)=0,0,AVERAGE(_xlfn.TAKE(_xlpm.vals,-MIN(7,ROWS(_xlpm.vals))))),
    _xlpm.addship,IF(M37="",0,M37),
    IF(
        AND(H36="",H37=""),
        N36-_xlpm.avgJ+_xlpm.addship,
        IF(
            H37="",
            H36-_xlpm.avgJ+_xlpm.addship,
            ""
        )
    )
),H37)</f>
        <v>#NAME?</v>
      </c>
      <c r="O37" s="27" t="str">
        <f t="shared" ca="1" si="1"/>
        <v/>
      </c>
      <c r="P37" s="27" t="e" cm="1">
        <f t="array" aca="1" ref="P37" ca="1">IF(J37="",_xlfn.LET(
    _xlpm.vals,_xlfn._xlws.FILTER($K$4:K36,$K$4:K36&lt;&gt;"",""),
    _xlpm.avgJ,IF(COUNTA(_xlpm.vals)=0,0,AVERAGE(_xlfn.TAKE(_xlpm.vals,-MIN(7,ROWS(_xlpm.vals))))),
    _xlpm.addship,IF(O37="",0,O37),
    IF(
        AND(J36="",J37=""),
        P36-_xlpm.avgJ+_xlpm.addship,
        IF(
            J37="",
            J36-_xlpm.avgJ+_xlpm.addship,
            ""
        )
    )
),J37)</f>
        <v>#NAME?</v>
      </c>
      <c r="Q37" s="4" t="e">
        <f t="shared" ca="1" si="2"/>
        <v>#NAME?</v>
      </c>
      <c r="Z37" s="51">
        <f t="shared" si="3"/>
        <v>26800</v>
      </c>
      <c r="AA37" s="51">
        <f t="shared" si="4"/>
        <v>357582</v>
      </c>
      <c r="AB37" s="51">
        <f t="shared" si="5"/>
        <v>16165</v>
      </c>
      <c r="AC37" s="51">
        <f t="shared" si="6"/>
        <v>289500</v>
      </c>
    </row>
    <row r="38" spans="5:29" ht="18" customHeight="1" x14ac:dyDescent="0.3">
      <c r="G38" s="37">
        <f t="shared" si="7"/>
        <v>46132</v>
      </c>
      <c r="H38" s="32"/>
      <c r="I38" s="32"/>
      <c r="J38" s="32"/>
      <c r="K38" s="32"/>
      <c r="M38" s="27" t="str">
        <f t="shared" ca="1" si="0"/>
        <v/>
      </c>
      <c r="N38" s="27" t="e" cm="1">
        <f t="array" aca="1" ref="N38" ca="1">IF(H38="",_xlfn.LET(
    _xlpm.vals,_xlfn._xlws.FILTER($I$4:I37,$I$4:I37&lt;&gt;"",""),
    _xlpm.avgJ,IF(COUNTA(_xlpm.vals)=0,0,AVERAGE(_xlfn.TAKE(_xlpm.vals,-MIN(7,ROWS(_xlpm.vals))))),
    _xlpm.addship,IF(M38="",0,M38),
    IF(
        AND(H37="",H38=""),
        N37-_xlpm.avgJ+_xlpm.addship,
        IF(
            H38="",
            H37-_xlpm.avgJ+_xlpm.addship,
            ""
        )
    )
),H38)</f>
        <v>#NAME?</v>
      </c>
      <c r="O38" s="27" t="str">
        <f t="shared" ca="1" si="1"/>
        <v/>
      </c>
      <c r="P38" s="27" t="e" cm="1">
        <f t="array" aca="1" ref="P38" ca="1">IF(J38="",_xlfn.LET(
    _xlpm.vals,_xlfn._xlws.FILTER($K$4:K37,$K$4:K37&lt;&gt;"",""),
    _xlpm.avgJ,IF(COUNTA(_xlpm.vals)=0,0,AVERAGE(_xlfn.TAKE(_xlpm.vals,-MIN(7,ROWS(_xlpm.vals))))),
    _xlpm.addship,IF(O38="",0,O38),
    IF(
        AND(J37="",J38=""),
        P37-_xlpm.avgJ+_xlpm.addship,
        IF(
            J38="",
            J37-_xlpm.avgJ+_xlpm.addship,
            ""
        )
    )
),J38)</f>
        <v>#NAME?</v>
      </c>
      <c r="Q38" s="4" t="e">
        <f t="shared" ca="1" si="2"/>
        <v>#NAME?</v>
      </c>
      <c r="Z38" s="51">
        <f t="shared" si="3"/>
        <v>26800</v>
      </c>
      <c r="AA38" s="51">
        <f t="shared" si="4"/>
        <v>357582</v>
      </c>
      <c r="AB38" s="51">
        <f t="shared" si="5"/>
        <v>16165</v>
      </c>
      <c r="AC38" s="51">
        <f t="shared" si="6"/>
        <v>289500</v>
      </c>
    </row>
    <row r="39" spans="5:29" ht="18" customHeight="1" x14ac:dyDescent="0.3">
      <c r="G39" s="37">
        <f t="shared" si="7"/>
        <v>46133</v>
      </c>
      <c r="H39" s="32"/>
      <c r="I39" s="32"/>
      <c r="J39" s="32"/>
      <c r="K39" s="32"/>
      <c r="M39" s="27" t="str">
        <f t="shared" ca="1" si="0"/>
        <v/>
      </c>
      <c r="N39" s="27" t="e" cm="1">
        <f t="array" aca="1" ref="N39" ca="1">IF(H39="",_xlfn.LET(
    _xlpm.vals,_xlfn._xlws.FILTER($I$4:I38,$I$4:I38&lt;&gt;"",""),
    _xlpm.avgJ,IF(COUNTA(_xlpm.vals)=0,0,AVERAGE(_xlfn.TAKE(_xlpm.vals,-MIN(7,ROWS(_xlpm.vals))))),
    _xlpm.addship,IF(M39="",0,M39),
    IF(
        AND(H38="",H39=""),
        N38-_xlpm.avgJ+_xlpm.addship,
        IF(
            H39="",
            H38-_xlpm.avgJ+_xlpm.addship,
            ""
        )
    )
),H39)</f>
        <v>#NAME?</v>
      </c>
      <c r="O39" s="27" t="str">
        <f t="shared" ca="1" si="1"/>
        <v/>
      </c>
      <c r="P39" s="27" t="e" cm="1">
        <f t="array" aca="1" ref="P39" ca="1">IF(J39="",_xlfn.LET(
    _xlpm.vals,_xlfn._xlws.FILTER($K$4:K38,$K$4:K38&lt;&gt;"",""),
    _xlpm.avgJ,IF(COUNTA(_xlpm.vals)=0,0,AVERAGE(_xlfn.TAKE(_xlpm.vals,-MIN(7,ROWS(_xlpm.vals))))),
    _xlpm.addship,IF(O39="",0,O39),
    IF(
        AND(J38="",J39=""),
        P38-_xlpm.avgJ+_xlpm.addship,
        IF(
            J39="",
            J38-_xlpm.avgJ+_xlpm.addship,
            ""
        )
    )
),J39)</f>
        <v>#NAME?</v>
      </c>
      <c r="Q39" s="4" t="e">
        <f t="shared" ca="1" si="2"/>
        <v>#NAME?</v>
      </c>
      <c r="Z39" s="51">
        <f t="shared" si="3"/>
        <v>26800</v>
      </c>
      <c r="AA39" s="51">
        <f t="shared" si="4"/>
        <v>357582</v>
      </c>
      <c r="AB39" s="51">
        <f t="shared" si="5"/>
        <v>16165</v>
      </c>
      <c r="AC39" s="51">
        <f t="shared" si="6"/>
        <v>289500</v>
      </c>
    </row>
    <row r="40" spans="5:29" ht="18" customHeight="1" x14ac:dyDescent="0.3">
      <c r="G40" s="37">
        <f t="shared" si="7"/>
        <v>46134</v>
      </c>
      <c r="H40" s="32"/>
      <c r="I40" s="32"/>
      <c r="J40" s="32"/>
      <c r="K40" s="32"/>
      <c r="M40" s="27" t="str">
        <f t="shared" ca="1" si="0"/>
        <v/>
      </c>
      <c r="N40" s="27" t="e" cm="1">
        <f t="array" aca="1" ref="N40" ca="1">IF(H40="",_xlfn.LET(
    _xlpm.vals,_xlfn._xlws.FILTER($I$4:I39,$I$4:I39&lt;&gt;"",""),
    _xlpm.avgJ,IF(COUNTA(_xlpm.vals)=0,0,AVERAGE(_xlfn.TAKE(_xlpm.vals,-MIN(7,ROWS(_xlpm.vals))))),
    _xlpm.addship,IF(M40="",0,M40),
    IF(
        AND(H39="",H40=""),
        N39-_xlpm.avgJ+_xlpm.addship,
        IF(
            H40="",
            H39-_xlpm.avgJ+_xlpm.addship,
            ""
        )
    )
),H40)</f>
        <v>#NAME?</v>
      </c>
      <c r="O40" s="27" t="str">
        <f t="shared" ca="1" si="1"/>
        <v/>
      </c>
      <c r="P40" s="27" t="e" cm="1">
        <f t="array" aca="1" ref="P40" ca="1">IF(J40="",_xlfn.LET(
    _xlpm.vals,_xlfn._xlws.FILTER($K$4:K39,$K$4:K39&lt;&gt;"",""),
    _xlpm.avgJ,IF(COUNTA(_xlpm.vals)=0,0,AVERAGE(_xlfn.TAKE(_xlpm.vals,-MIN(7,ROWS(_xlpm.vals))))),
    _xlpm.addship,IF(O40="",0,O40),
    IF(
        AND(J39="",J40=""),
        P39-_xlpm.avgJ+_xlpm.addship,
        IF(
            J40="",
            J39-_xlpm.avgJ+_xlpm.addship,
            ""
        )
    )
),J40)</f>
        <v>#NAME?</v>
      </c>
      <c r="Q40" s="4" t="e">
        <f t="shared" ca="1" si="2"/>
        <v>#NAME?</v>
      </c>
      <c r="Z40" s="51">
        <f t="shared" si="3"/>
        <v>26800</v>
      </c>
      <c r="AA40" s="51">
        <f t="shared" si="4"/>
        <v>357582</v>
      </c>
      <c r="AB40" s="51">
        <f t="shared" si="5"/>
        <v>16165</v>
      </c>
      <c r="AC40" s="51">
        <f t="shared" si="6"/>
        <v>289500</v>
      </c>
    </row>
    <row r="41" spans="5:29" ht="18" customHeight="1" x14ac:dyDescent="0.3">
      <c r="G41" s="37">
        <f t="shared" si="7"/>
        <v>46135</v>
      </c>
      <c r="H41" s="32"/>
      <c r="I41" s="32"/>
      <c r="J41" s="32"/>
      <c r="K41" s="32"/>
      <c r="M41" s="27" t="str">
        <f t="shared" ca="1" si="0"/>
        <v/>
      </c>
      <c r="N41" s="27" t="e" cm="1">
        <f t="array" aca="1" ref="N41" ca="1">IF(H41="",_xlfn.LET(
    _xlpm.vals,_xlfn._xlws.FILTER($I$4:I40,$I$4:I40&lt;&gt;"",""),
    _xlpm.avgJ,IF(COUNTA(_xlpm.vals)=0,0,AVERAGE(_xlfn.TAKE(_xlpm.vals,-MIN(7,ROWS(_xlpm.vals))))),
    _xlpm.addship,IF(M41="",0,M41),
    IF(
        AND(H40="",H41=""),
        N40-_xlpm.avgJ+_xlpm.addship,
        IF(
            H41="",
            H40-_xlpm.avgJ+_xlpm.addship,
            ""
        )
    )
),H41)</f>
        <v>#NAME?</v>
      </c>
      <c r="O41" s="27" t="str">
        <f t="shared" ca="1" si="1"/>
        <v/>
      </c>
      <c r="P41" s="27" t="e" cm="1">
        <f t="array" aca="1" ref="P41" ca="1">IF(J41="",_xlfn.LET(
    _xlpm.vals,_xlfn._xlws.FILTER($K$4:K40,$K$4:K40&lt;&gt;"",""),
    _xlpm.avgJ,IF(COUNTA(_xlpm.vals)=0,0,AVERAGE(_xlfn.TAKE(_xlpm.vals,-MIN(7,ROWS(_xlpm.vals))))),
    _xlpm.addship,IF(O41="",0,O41),
    IF(
        AND(J40="",J41=""),
        P40-_xlpm.avgJ+_xlpm.addship,
        IF(
            J41="",
            J40-_xlpm.avgJ+_xlpm.addship,
            ""
        )
    )
),J41)</f>
        <v>#NAME?</v>
      </c>
      <c r="Q41" s="4" t="e">
        <f t="shared" ca="1" si="2"/>
        <v>#NAME?</v>
      </c>
      <c r="Z41" s="51">
        <f t="shared" si="3"/>
        <v>26800</v>
      </c>
      <c r="AA41" s="51">
        <f t="shared" si="4"/>
        <v>357582</v>
      </c>
      <c r="AB41" s="51">
        <f t="shared" si="5"/>
        <v>16165</v>
      </c>
      <c r="AC41" s="51">
        <f t="shared" si="6"/>
        <v>289500</v>
      </c>
    </row>
    <row r="42" spans="5:29" ht="18" customHeight="1" x14ac:dyDescent="0.3">
      <c r="G42" s="37">
        <f t="shared" si="7"/>
        <v>46136</v>
      </c>
      <c r="H42" s="32"/>
      <c r="I42" s="32"/>
      <c r="J42" s="32"/>
      <c r="K42" s="32"/>
      <c r="M42" s="27" t="str">
        <f t="shared" ca="1" si="0"/>
        <v/>
      </c>
      <c r="N42" s="27" t="e" cm="1">
        <f t="array" aca="1" ref="N42" ca="1">IF(H42="",_xlfn.LET(
    _xlpm.vals,_xlfn._xlws.FILTER($I$4:I41,$I$4:I41&lt;&gt;"",""),
    _xlpm.avgJ,IF(COUNTA(_xlpm.vals)=0,0,AVERAGE(_xlfn.TAKE(_xlpm.vals,-MIN(7,ROWS(_xlpm.vals))))),
    _xlpm.addship,IF(M42="",0,M42),
    IF(
        AND(H41="",H42=""),
        N41-_xlpm.avgJ+_xlpm.addship,
        IF(
            H42="",
            H41-_xlpm.avgJ+_xlpm.addship,
            ""
        )
    )
),H42)</f>
        <v>#NAME?</v>
      </c>
      <c r="O42" s="27" t="str">
        <f t="shared" ca="1" si="1"/>
        <v/>
      </c>
      <c r="P42" s="27" t="e" cm="1">
        <f t="array" aca="1" ref="P42" ca="1">IF(J42="",_xlfn.LET(
    _xlpm.vals,_xlfn._xlws.FILTER($K$4:K41,$K$4:K41&lt;&gt;"",""),
    _xlpm.avgJ,IF(COUNTA(_xlpm.vals)=0,0,AVERAGE(_xlfn.TAKE(_xlpm.vals,-MIN(7,ROWS(_xlpm.vals))))),
    _xlpm.addship,IF(O42="",0,O42),
    IF(
        AND(J41="",J42=""),
        P41-_xlpm.avgJ+_xlpm.addship,
        IF(
            J42="",
            J41-_xlpm.avgJ+_xlpm.addship,
            ""
        )
    )
),J42)</f>
        <v>#NAME?</v>
      </c>
      <c r="Q42" s="4" t="e">
        <f t="shared" ca="1" si="2"/>
        <v>#NAME?</v>
      </c>
      <c r="Z42" s="51">
        <f t="shared" si="3"/>
        <v>26800</v>
      </c>
      <c r="AA42" s="51">
        <f t="shared" si="4"/>
        <v>357582</v>
      </c>
      <c r="AB42" s="51">
        <f t="shared" si="5"/>
        <v>16165</v>
      </c>
      <c r="AC42" s="51">
        <f t="shared" si="6"/>
        <v>289500</v>
      </c>
    </row>
    <row r="43" spans="5:29" ht="18" customHeight="1" x14ac:dyDescent="0.3">
      <c r="G43" s="37">
        <f t="shared" si="7"/>
        <v>46137</v>
      </c>
      <c r="H43" s="32"/>
      <c r="I43" s="32"/>
      <c r="J43" s="32"/>
      <c r="K43" s="32"/>
      <c r="M43" s="27" t="str">
        <f t="shared" ca="1" si="0"/>
        <v/>
      </c>
      <c r="N43" s="27" t="e" cm="1">
        <f t="array" aca="1" ref="N43" ca="1">IF(H43="",_xlfn.LET(
    _xlpm.vals,_xlfn._xlws.FILTER($I$4:I42,$I$4:I42&lt;&gt;"",""),
    _xlpm.avgJ,IF(COUNTA(_xlpm.vals)=0,0,AVERAGE(_xlfn.TAKE(_xlpm.vals,-MIN(7,ROWS(_xlpm.vals))))),
    _xlpm.addship,IF(M43="",0,M43),
    IF(
        AND(H42="",H43=""),
        N42-_xlpm.avgJ+_xlpm.addship,
        IF(
            H43="",
            H42-_xlpm.avgJ+_xlpm.addship,
            ""
        )
    )
),H43)</f>
        <v>#NAME?</v>
      </c>
      <c r="O43" s="27" t="str">
        <f t="shared" ca="1" si="1"/>
        <v/>
      </c>
      <c r="P43" s="27" t="e" cm="1">
        <f t="array" aca="1" ref="P43" ca="1">IF(J43="",_xlfn.LET(
    _xlpm.vals,_xlfn._xlws.FILTER($K$4:K42,$K$4:K42&lt;&gt;"",""),
    _xlpm.avgJ,IF(COUNTA(_xlpm.vals)=0,0,AVERAGE(_xlfn.TAKE(_xlpm.vals,-MIN(7,ROWS(_xlpm.vals))))),
    _xlpm.addship,IF(O43="",0,O43),
    IF(
        AND(J42="",J43=""),
        P42-_xlpm.avgJ+_xlpm.addship,
        IF(
            J43="",
            J42-_xlpm.avgJ+_xlpm.addship,
            ""
        )
    )
),J43)</f>
        <v>#NAME?</v>
      </c>
      <c r="Q43" s="4" t="e">
        <f t="shared" ca="1" si="2"/>
        <v>#NAME?</v>
      </c>
      <c r="Z43" s="51">
        <f t="shared" si="3"/>
        <v>26800</v>
      </c>
      <c r="AA43" s="51">
        <f t="shared" si="4"/>
        <v>357582</v>
      </c>
      <c r="AB43" s="51">
        <f t="shared" si="5"/>
        <v>16165</v>
      </c>
      <c r="AC43" s="51">
        <f t="shared" si="6"/>
        <v>289500</v>
      </c>
    </row>
    <row r="44" spans="5:29" ht="18" customHeight="1" x14ac:dyDescent="0.3">
      <c r="G44" s="37">
        <f t="shared" si="7"/>
        <v>46138</v>
      </c>
      <c r="H44" s="32"/>
      <c r="I44" s="32"/>
      <c r="J44" s="32"/>
      <c r="K44" s="32"/>
      <c r="M44" s="27" t="str">
        <f t="shared" ca="1" si="0"/>
        <v/>
      </c>
      <c r="N44" s="27" t="e" cm="1">
        <f t="array" aca="1" ref="N44" ca="1">IF(H44="",_xlfn.LET(
    _xlpm.vals,_xlfn._xlws.FILTER($I$4:I43,$I$4:I43&lt;&gt;"",""),
    _xlpm.avgJ,IF(COUNTA(_xlpm.vals)=0,0,AVERAGE(_xlfn.TAKE(_xlpm.vals,-MIN(7,ROWS(_xlpm.vals))))),
    _xlpm.addship,IF(M44="",0,M44),
    IF(
        AND(H43="",H44=""),
        N43-_xlpm.avgJ+_xlpm.addship,
        IF(
            H44="",
            H43-_xlpm.avgJ+_xlpm.addship,
            ""
        )
    )
),H44)</f>
        <v>#NAME?</v>
      </c>
      <c r="O44" s="27" t="str">
        <f t="shared" ca="1" si="1"/>
        <v/>
      </c>
      <c r="P44" s="27" t="e" cm="1">
        <f t="array" aca="1" ref="P44" ca="1">IF(J44="",_xlfn.LET(
    _xlpm.vals,_xlfn._xlws.FILTER($K$4:K43,$K$4:K43&lt;&gt;"",""),
    _xlpm.avgJ,IF(COUNTA(_xlpm.vals)=0,0,AVERAGE(_xlfn.TAKE(_xlpm.vals,-MIN(7,ROWS(_xlpm.vals))))),
    _xlpm.addship,IF(O44="",0,O44),
    IF(
        AND(J43="",J44=""),
        P43-_xlpm.avgJ+_xlpm.addship,
        IF(
            J44="",
            J43-_xlpm.avgJ+_xlpm.addship,
            ""
        )
    )
),J44)</f>
        <v>#NAME?</v>
      </c>
      <c r="Q44" s="4" t="e">
        <f t="shared" ca="1" si="2"/>
        <v>#NAME?</v>
      </c>
      <c r="Z44" s="51">
        <f t="shared" si="3"/>
        <v>26800</v>
      </c>
      <c r="AA44" s="51">
        <f t="shared" si="4"/>
        <v>357582</v>
      </c>
      <c r="AB44" s="51">
        <f t="shared" si="5"/>
        <v>16165</v>
      </c>
      <c r="AC44" s="51">
        <f t="shared" si="6"/>
        <v>289500</v>
      </c>
    </row>
    <row r="45" spans="5:29" ht="18" customHeight="1" x14ac:dyDescent="0.3">
      <c r="G45" s="37">
        <f t="shared" si="7"/>
        <v>46139</v>
      </c>
      <c r="H45" s="32"/>
      <c r="I45" s="32"/>
      <c r="J45" s="32"/>
      <c r="K45" s="32"/>
      <c r="M45" s="27" t="str">
        <f t="shared" ca="1" si="0"/>
        <v/>
      </c>
      <c r="N45" s="27" t="e" cm="1">
        <f t="array" aca="1" ref="N45" ca="1">IF(H45="",_xlfn.LET(
    _xlpm.vals,_xlfn._xlws.FILTER($I$4:I44,$I$4:I44&lt;&gt;"",""),
    _xlpm.avgJ,IF(COUNTA(_xlpm.vals)=0,0,AVERAGE(_xlfn.TAKE(_xlpm.vals,-MIN(7,ROWS(_xlpm.vals))))),
    _xlpm.addship,IF(M45="",0,M45),
    IF(
        AND(H44="",H45=""),
        N44-_xlpm.avgJ+_xlpm.addship,
        IF(
            H45="",
            H44-_xlpm.avgJ+_xlpm.addship,
            ""
        )
    )
),H45)</f>
        <v>#NAME?</v>
      </c>
      <c r="O45" s="27" t="str">
        <f t="shared" ca="1" si="1"/>
        <v/>
      </c>
      <c r="P45" s="27" t="e" cm="1">
        <f t="array" aca="1" ref="P45" ca="1">IF(J45="",_xlfn.LET(
    _xlpm.vals,_xlfn._xlws.FILTER($K$4:K44,$K$4:K44&lt;&gt;"",""),
    _xlpm.avgJ,IF(COUNTA(_xlpm.vals)=0,0,AVERAGE(_xlfn.TAKE(_xlpm.vals,-MIN(7,ROWS(_xlpm.vals))))),
    _xlpm.addship,IF(O45="",0,O45),
    IF(
        AND(J44="",J45=""),
        P44-_xlpm.avgJ+_xlpm.addship,
        IF(
            J45="",
            J44-_xlpm.avgJ+_xlpm.addship,
            ""
        )
    )
),J45)</f>
        <v>#NAME?</v>
      </c>
      <c r="Q45" s="4" t="e">
        <f t="shared" ca="1" si="2"/>
        <v>#NAME?</v>
      </c>
      <c r="Z45" s="51">
        <f t="shared" si="3"/>
        <v>26800</v>
      </c>
      <c r="AA45" s="51">
        <f t="shared" si="4"/>
        <v>357582</v>
      </c>
      <c r="AB45" s="51">
        <f t="shared" si="5"/>
        <v>16165</v>
      </c>
      <c r="AC45" s="51">
        <f t="shared" si="6"/>
        <v>289500</v>
      </c>
    </row>
    <row r="46" spans="5:29" ht="18" customHeight="1" x14ac:dyDescent="0.3">
      <c r="G46" s="37">
        <f t="shared" si="7"/>
        <v>46140</v>
      </c>
      <c r="H46" s="32"/>
      <c r="I46" s="32"/>
      <c r="J46" s="32"/>
      <c r="K46" s="32"/>
      <c r="M46" s="27" t="str">
        <f t="shared" ca="1" si="0"/>
        <v/>
      </c>
      <c r="N46" s="27" t="e" cm="1">
        <f t="array" aca="1" ref="N46" ca="1">IF(H46="",_xlfn.LET(
    _xlpm.vals,_xlfn._xlws.FILTER($I$4:I45,$I$4:I45&lt;&gt;"",""),
    _xlpm.avgJ,IF(COUNTA(_xlpm.vals)=0,0,AVERAGE(_xlfn.TAKE(_xlpm.vals,-MIN(7,ROWS(_xlpm.vals))))),
    _xlpm.addship,IF(M46="",0,M46),
    IF(
        AND(H45="",H46=""),
        N45-_xlpm.avgJ+_xlpm.addship,
        IF(
            H46="",
            H45-_xlpm.avgJ+_xlpm.addship,
            ""
        )
    )
),H46)</f>
        <v>#NAME?</v>
      </c>
      <c r="O46" s="27" t="str">
        <f t="shared" ca="1" si="1"/>
        <v/>
      </c>
      <c r="P46" s="27" t="e" cm="1">
        <f t="array" aca="1" ref="P46" ca="1">IF(J46="",_xlfn.LET(
    _xlpm.vals,_xlfn._xlws.FILTER($K$4:K45,$K$4:K45&lt;&gt;"",""),
    _xlpm.avgJ,IF(COUNTA(_xlpm.vals)=0,0,AVERAGE(_xlfn.TAKE(_xlpm.vals,-MIN(7,ROWS(_xlpm.vals))))),
    _xlpm.addship,IF(O46="",0,O46),
    IF(
        AND(J45="",J46=""),
        P45-_xlpm.avgJ+_xlpm.addship,
        IF(
            J46="",
            J45-_xlpm.avgJ+_xlpm.addship,
            ""
        )
    )
),J46)</f>
        <v>#NAME?</v>
      </c>
      <c r="Q46" s="4" t="e">
        <f t="shared" ca="1" si="2"/>
        <v>#NAME?</v>
      </c>
      <c r="Z46" s="51">
        <f t="shared" si="3"/>
        <v>26800</v>
      </c>
      <c r="AA46" s="51">
        <f t="shared" si="4"/>
        <v>357582</v>
      </c>
      <c r="AB46" s="51">
        <f t="shared" si="5"/>
        <v>16165</v>
      </c>
      <c r="AC46" s="51">
        <f t="shared" si="6"/>
        <v>289500</v>
      </c>
    </row>
    <row r="47" spans="5:29" ht="18" customHeight="1" x14ac:dyDescent="0.3">
      <c r="G47" s="37">
        <f t="shared" si="7"/>
        <v>46141</v>
      </c>
      <c r="H47" s="32"/>
      <c r="I47" s="32"/>
      <c r="J47" s="32"/>
      <c r="K47" s="32"/>
      <c r="M47" s="27" t="str">
        <f t="shared" ca="1" si="0"/>
        <v/>
      </c>
      <c r="N47" s="27" t="e" cm="1">
        <f t="array" aca="1" ref="N47" ca="1">IF(H47="",_xlfn.LET(
    _xlpm.vals,_xlfn._xlws.FILTER($I$4:I46,$I$4:I46&lt;&gt;"",""),
    _xlpm.avgJ,IF(COUNTA(_xlpm.vals)=0,0,AVERAGE(_xlfn.TAKE(_xlpm.vals,-MIN(7,ROWS(_xlpm.vals))))),
    _xlpm.addship,IF(M47="",0,M47),
    IF(
        AND(H46="",H47=""),
        N46-_xlpm.avgJ+_xlpm.addship,
        IF(
            H47="",
            H46-_xlpm.avgJ+_xlpm.addship,
            ""
        )
    )
),H47)</f>
        <v>#NAME?</v>
      </c>
      <c r="O47" s="27" t="str">
        <f t="shared" ca="1" si="1"/>
        <v/>
      </c>
      <c r="P47" s="27" t="e" cm="1">
        <f t="array" aca="1" ref="P47" ca="1">IF(J47="",_xlfn.LET(
    _xlpm.vals,_xlfn._xlws.FILTER($K$4:K46,$K$4:K46&lt;&gt;"",""),
    _xlpm.avgJ,IF(COUNTA(_xlpm.vals)=0,0,AVERAGE(_xlfn.TAKE(_xlpm.vals,-MIN(7,ROWS(_xlpm.vals))))),
    _xlpm.addship,IF(O47="",0,O47),
    IF(
        AND(J46="",J47=""),
        P46-_xlpm.avgJ+_xlpm.addship,
        IF(
            J47="",
            J46-_xlpm.avgJ+_xlpm.addship,
            ""
        )
    )
),J47)</f>
        <v>#NAME?</v>
      </c>
      <c r="Q47" s="4" t="e">
        <f t="shared" ca="1" si="2"/>
        <v>#NAME?</v>
      </c>
      <c r="Z47" s="51">
        <f t="shared" si="3"/>
        <v>26800</v>
      </c>
      <c r="AA47" s="51">
        <f t="shared" si="4"/>
        <v>357582</v>
      </c>
      <c r="AB47" s="51">
        <f t="shared" si="5"/>
        <v>16165</v>
      </c>
      <c r="AC47" s="51">
        <f t="shared" si="6"/>
        <v>289500</v>
      </c>
    </row>
    <row r="48" spans="5:29" ht="18" customHeight="1" x14ac:dyDescent="0.3">
      <c r="G48" s="37">
        <f t="shared" si="7"/>
        <v>46142</v>
      </c>
      <c r="H48" s="32"/>
      <c r="I48" s="32"/>
      <c r="J48" s="32"/>
      <c r="K48" s="32"/>
      <c r="M48" s="27" t="str">
        <f t="shared" ca="1" si="0"/>
        <v/>
      </c>
      <c r="N48" s="27" t="e" cm="1">
        <f t="array" aca="1" ref="N48" ca="1">IF(H48="",_xlfn.LET(
    _xlpm.vals,_xlfn._xlws.FILTER($I$4:I47,$I$4:I47&lt;&gt;"",""),
    _xlpm.avgJ,IF(COUNTA(_xlpm.vals)=0,0,AVERAGE(_xlfn.TAKE(_xlpm.vals,-MIN(7,ROWS(_xlpm.vals))))),
    _xlpm.addship,IF(M48="",0,M48),
    IF(
        AND(H47="",H48=""),
        N47-_xlpm.avgJ+_xlpm.addship,
        IF(
            H48="",
            H47-_xlpm.avgJ+_xlpm.addship,
            ""
        )
    )
),H48)</f>
        <v>#NAME?</v>
      </c>
      <c r="O48" s="27" t="str">
        <f t="shared" ca="1" si="1"/>
        <v/>
      </c>
      <c r="P48" s="27" t="e" cm="1">
        <f t="array" aca="1" ref="P48" ca="1">IF(J48="",_xlfn.LET(
    _xlpm.vals,_xlfn._xlws.FILTER($K$4:K47,$K$4:K47&lt;&gt;"",""),
    _xlpm.avgJ,IF(COUNTA(_xlpm.vals)=0,0,AVERAGE(_xlfn.TAKE(_xlpm.vals,-MIN(7,ROWS(_xlpm.vals))))),
    _xlpm.addship,IF(O48="",0,O48),
    IF(
        AND(J47="",J48=""),
        P47-_xlpm.avgJ+_xlpm.addship,
        IF(
            J48="",
            J47-_xlpm.avgJ+_xlpm.addship,
            ""
        )
    )
),J48)</f>
        <v>#NAME?</v>
      </c>
      <c r="Q48" s="4" t="e">
        <f t="shared" ca="1" si="2"/>
        <v>#NAME?</v>
      </c>
      <c r="Z48" s="51">
        <f t="shared" si="3"/>
        <v>26800</v>
      </c>
      <c r="AA48" s="51">
        <f t="shared" si="4"/>
        <v>357582</v>
      </c>
      <c r="AB48" s="51">
        <f t="shared" si="5"/>
        <v>16165</v>
      </c>
      <c r="AC48" s="51">
        <f t="shared" si="6"/>
        <v>289500</v>
      </c>
    </row>
    <row r="49" spans="7:29" ht="18" customHeight="1" x14ac:dyDescent="0.3">
      <c r="G49" s="37">
        <f t="shared" si="7"/>
        <v>46143</v>
      </c>
      <c r="H49" s="32"/>
      <c r="I49" s="32"/>
      <c r="J49" s="32"/>
      <c r="K49" s="32"/>
      <c r="M49" s="27" t="str">
        <f t="shared" ca="1" si="0"/>
        <v/>
      </c>
      <c r="N49" s="27" t="e" cm="1">
        <f t="array" aca="1" ref="N49" ca="1">IF(H49="",_xlfn.LET(
    _xlpm.vals,_xlfn._xlws.FILTER($I$4:I48,$I$4:I48&lt;&gt;"",""),
    _xlpm.avgJ,IF(COUNTA(_xlpm.vals)=0,0,AVERAGE(_xlfn.TAKE(_xlpm.vals,-MIN(7,ROWS(_xlpm.vals))))),
    _xlpm.addship,IF(M49="",0,M49),
    IF(
        AND(H48="",H49=""),
        N48-_xlpm.avgJ+_xlpm.addship,
        IF(
            H49="",
            H48-_xlpm.avgJ+_xlpm.addship,
            ""
        )
    )
),H49)</f>
        <v>#NAME?</v>
      </c>
      <c r="O49" s="27" t="str">
        <f t="shared" ca="1" si="1"/>
        <v/>
      </c>
      <c r="P49" s="27" t="e" cm="1">
        <f t="array" aca="1" ref="P49" ca="1">IF(J49="",_xlfn.LET(
    _xlpm.vals,_xlfn._xlws.FILTER($K$4:K48,$K$4:K48&lt;&gt;"",""),
    _xlpm.avgJ,IF(COUNTA(_xlpm.vals)=0,0,AVERAGE(_xlfn.TAKE(_xlpm.vals,-MIN(7,ROWS(_xlpm.vals))))),
    _xlpm.addship,IF(O49="",0,O49),
    IF(
        AND(J48="",J49=""),
        P48-_xlpm.avgJ+_xlpm.addship,
        IF(
            J49="",
            J48-_xlpm.avgJ+_xlpm.addship,
            ""
        )
    )
),J49)</f>
        <v>#NAME?</v>
      </c>
      <c r="Q49" s="4" t="e">
        <f t="shared" ca="1" si="2"/>
        <v>#NAME?</v>
      </c>
      <c r="Z49" s="51">
        <f t="shared" si="3"/>
        <v>26800</v>
      </c>
      <c r="AA49" s="51">
        <f t="shared" si="4"/>
        <v>357582</v>
      </c>
      <c r="AB49" s="51">
        <f t="shared" si="5"/>
        <v>16165</v>
      </c>
      <c r="AC49" s="51">
        <f t="shared" si="6"/>
        <v>289500</v>
      </c>
    </row>
    <row r="50" spans="7:29" ht="18" customHeight="1" x14ac:dyDescent="0.3">
      <c r="G50" s="37">
        <f t="shared" si="7"/>
        <v>46144</v>
      </c>
      <c r="H50" s="32"/>
      <c r="I50" s="32"/>
      <c r="J50" s="32"/>
      <c r="K50" s="32"/>
      <c r="M50" s="27" t="str">
        <f t="shared" ca="1" si="0"/>
        <v/>
      </c>
      <c r="N50" s="27" t="e" cm="1">
        <f t="array" aca="1" ref="N50" ca="1">IF(H50="",_xlfn.LET(
    _xlpm.vals,_xlfn._xlws.FILTER($I$4:I49,$I$4:I49&lt;&gt;"",""),
    _xlpm.avgJ,IF(COUNTA(_xlpm.vals)=0,0,AVERAGE(_xlfn.TAKE(_xlpm.vals,-MIN(7,ROWS(_xlpm.vals))))),
    _xlpm.addship,IF(M50="",0,M50),
    IF(
        AND(H49="",H50=""),
        N49-_xlpm.avgJ+_xlpm.addship,
        IF(
            H50="",
            H49-_xlpm.avgJ+_xlpm.addship,
            ""
        )
    )
),H50)</f>
        <v>#NAME?</v>
      </c>
      <c r="O50" s="27" t="str">
        <f t="shared" ca="1" si="1"/>
        <v/>
      </c>
      <c r="P50" s="27" t="e" cm="1">
        <f t="array" aca="1" ref="P50" ca="1">IF(J50="",_xlfn.LET(
    _xlpm.vals,_xlfn._xlws.FILTER($K$4:K49,$K$4:K49&lt;&gt;"",""),
    _xlpm.avgJ,IF(COUNTA(_xlpm.vals)=0,0,AVERAGE(_xlfn.TAKE(_xlpm.vals,-MIN(7,ROWS(_xlpm.vals))))),
    _xlpm.addship,IF(O50="",0,O50),
    IF(
        AND(J49="",J50=""),
        P49-_xlpm.avgJ+_xlpm.addship,
        IF(
            J50="",
            J49-_xlpm.avgJ+_xlpm.addship,
            ""
        )
    )
),J50)</f>
        <v>#NAME?</v>
      </c>
      <c r="Q50" s="4" t="e">
        <f t="shared" ca="1" si="2"/>
        <v>#NAME?</v>
      </c>
      <c r="Z50" s="51">
        <f t="shared" si="3"/>
        <v>26800</v>
      </c>
      <c r="AA50" s="51">
        <f t="shared" si="4"/>
        <v>357582</v>
      </c>
      <c r="AB50" s="51">
        <f t="shared" si="5"/>
        <v>16165</v>
      </c>
      <c r="AC50" s="51">
        <f t="shared" si="6"/>
        <v>289500</v>
      </c>
    </row>
    <row r="51" spans="7:29" ht="18" customHeight="1" x14ac:dyDescent="0.3">
      <c r="G51" s="37">
        <f t="shared" si="7"/>
        <v>46145</v>
      </c>
      <c r="H51" s="32"/>
      <c r="I51" s="32"/>
      <c r="J51" s="32"/>
      <c r="K51" s="32"/>
      <c r="M51" s="27" t="str">
        <f t="shared" ca="1" si="0"/>
        <v/>
      </c>
      <c r="N51" s="27" t="e" cm="1">
        <f t="array" aca="1" ref="N51" ca="1">IF(H51="",_xlfn.LET(
    _xlpm.vals,_xlfn._xlws.FILTER($I$4:I50,$I$4:I50&lt;&gt;"",""),
    _xlpm.avgJ,IF(COUNTA(_xlpm.vals)=0,0,AVERAGE(_xlfn.TAKE(_xlpm.vals,-MIN(7,ROWS(_xlpm.vals))))),
    _xlpm.addship,IF(M51="",0,M51),
    IF(
        AND(H50="",H51=""),
        N50-_xlpm.avgJ+_xlpm.addship,
        IF(
            H51="",
            H50-_xlpm.avgJ+_xlpm.addship,
            ""
        )
    )
),H51)</f>
        <v>#NAME?</v>
      </c>
      <c r="O51" s="27" t="str">
        <f t="shared" ca="1" si="1"/>
        <v/>
      </c>
      <c r="P51" s="27" t="e" cm="1">
        <f t="array" aca="1" ref="P51" ca="1">IF(J51="",_xlfn.LET(
    _xlpm.vals,_xlfn._xlws.FILTER($K$4:K50,$K$4:K50&lt;&gt;"",""),
    _xlpm.avgJ,IF(COUNTA(_xlpm.vals)=0,0,AVERAGE(_xlfn.TAKE(_xlpm.vals,-MIN(7,ROWS(_xlpm.vals))))),
    _xlpm.addship,IF(O51="",0,O51),
    IF(
        AND(J50="",J51=""),
        P50-_xlpm.avgJ+_xlpm.addship,
        IF(
            J51="",
            J50-_xlpm.avgJ+_xlpm.addship,
            ""
        )
    )
),J51)</f>
        <v>#NAME?</v>
      </c>
      <c r="Q51" s="4" t="e">
        <f t="shared" ca="1" si="2"/>
        <v>#NAME?</v>
      </c>
      <c r="Z51" s="51">
        <f t="shared" si="3"/>
        <v>26800</v>
      </c>
      <c r="AA51" s="51">
        <f t="shared" si="4"/>
        <v>357582</v>
      </c>
      <c r="AB51" s="51">
        <f t="shared" si="5"/>
        <v>16165</v>
      </c>
      <c r="AC51" s="51">
        <f t="shared" si="6"/>
        <v>289500</v>
      </c>
    </row>
    <row r="52" spans="7:29" ht="18" customHeight="1" x14ac:dyDescent="0.3">
      <c r="G52" s="37">
        <f t="shared" si="7"/>
        <v>46146</v>
      </c>
      <c r="H52" s="32"/>
      <c r="I52" s="32"/>
      <c r="J52" s="32"/>
      <c r="K52" s="32"/>
      <c r="M52" s="27" t="str">
        <f t="shared" ca="1" si="0"/>
        <v/>
      </c>
      <c r="N52" s="27" t="e" cm="1">
        <f t="array" aca="1" ref="N52" ca="1">IF(H52="",_xlfn.LET(
    _xlpm.vals,_xlfn._xlws.FILTER($I$4:I51,$I$4:I51&lt;&gt;"",""),
    _xlpm.avgJ,IF(COUNTA(_xlpm.vals)=0,0,AVERAGE(_xlfn.TAKE(_xlpm.vals,-MIN(7,ROWS(_xlpm.vals))))),
    _xlpm.addship,IF(M52="",0,M52),
    IF(
        AND(H51="",H52=""),
        N51-_xlpm.avgJ+_xlpm.addship,
        IF(
            H52="",
            H51-_xlpm.avgJ+_xlpm.addship,
            ""
        )
    )
),H52)</f>
        <v>#NAME?</v>
      </c>
      <c r="O52" s="27" t="str">
        <f t="shared" ca="1" si="1"/>
        <v/>
      </c>
      <c r="P52" s="27" t="e" cm="1">
        <f t="array" aca="1" ref="P52" ca="1">IF(J52="",_xlfn.LET(
    _xlpm.vals,_xlfn._xlws.FILTER($K$4:K51,$K$4:K51&lt;&gt;"",""),
    _xlpm.avgJ,IF(COUNTA(_xlpm.vals)=0,0,AVERAGE(_xlfn.TAKE(_xlpm.vals,-MIN(7,ROWS(_xlpm.vals))))),
    _xlpm.addship,IF(O52="",0,O52),
    IF(
        AND(J51="",J52=""),
        P51-_xlpm.avgJ+_xlpm.addship,
        IF(
            J52="",
            J51-_xlpm.avgJ+_xlpm.addship,
            ""
        )
    )
),J52)</f>
        <v>#NAME?</v>
      </c>
      <c r="Q52" s="4" t="e">
        <f t="shared" ca="1" si="2"/>
        <v>#NAME?</v>
      </c>
      <c r="Z52" s="51">
        <f t="shared" si="3"/>
        <v>26800</v>
      </c>
      <c r="AA52" s="51">
        <f t="shared" si="4"/>
        <v>357582</v>
      </c>
      <c r="AB52" s="51">
        <f t="shared" si="5"/>
        <v>16165</v>
      </c>
      <c r="AC52" s="51">
        <f t="shared" si="6"/>
        <v>289500</v>
      </c>
    </row>
    <row r="53" spans="7:29" ht="18" customHeight="1" x14ac:dyDescent="0.3">
      <c r="G53" s="37">
        <f t="shared" si="7"/>
        <v>46147</v>
      </c>
      <c r="H53" s="32"/>
      <c r="I53" s="32"/>
      <c r="J53" s="32"/>
      <c r="K53" s="32"/>
      <c r="M53" s="27" t="str">
        <f t="shared" ca="1" si="0"/>
        <v/>
      </c>
      <c r="N53" s="27" t="e" cm="1">
        <f t="array" aca="1" ref="N53" ca="1">IF(H53="",_xlfn.LET(
    _xlpm.vals,_xlfn._xlws.FILTER($I$4:I52,$I$4:I52&lt;&gt;"",""),
    _xlpm.avgJ,IF(COUNTA(_xlpm.vals)=0,0,AVERAGE(_xlfn.TAKE(_xlpm.vals,-MIN(7,ROWS(_xlpm.vals))))),
    _xlpm.addship,IF(M53="",0,M53),
    IF(
        AND(H52="",H53=""),
        N52-_xlpm.avgJ+_xlpm.addship,
        IF(
            H53="",
            H52-_xlpm.avgJ+_xlpm.addship,
            ""
        )
    )
),H53)</f>
        <v>#NAME?</v>
      </c>
      <c r="O53" s="27" t="str">
        <f t="shared" ca="1" si="1"/>
        <v/>
      </c>
      <c r="P53" s="27" t="e" cm="1">
        <f t="array" aca="1" ref="P53" ca="1">IF(J53="",_xlfn.LET(
    _xlpm.vals,_xlfn._xlws.FILTER($K$4:K52,$K$4:K52&lt;&gt;"",""),
    _xlpm.avgJ,IF(COUNTA(_xlpm.vals)=0,0,AVERAGE(_xlfn.TAKE(_xlpm.vals,-MIN(7,ROWS(_xlpm.vals))))),
    _xlpm.addship,IF(O53="",0,O53),
    IF(
        AND(J52="",J53=""),
        P52-_xlpm.avgJ+_xlpm.addship,
        IF(
            J53="",
            J52-_xlpm.avgJ+_xlpm.addship,
            ""
        )
    )
),J53)</f>
        <v>#NAME?</v>
      </c>
      <c r="Q53" s="4" t="e">
        <f t="shared" ca="1" si="2"/>
        <v>#NAME?</v>
      </c>
      <c r="Z53" s="51">
        <f t="shared" si="3"/>
        <v>26800</v>
      </c>
      <c r="AA53" s="51">
        <f t="shared" si="4"/>
        <v>357582</v>
      </c>
      <c r="AB53" s="51">
        <f t="shared" si="5"/>
        <v>16165</v>
      </c>
      <c r="AC53" s="51">
        <f t="shared" si="6"/>
        <v>289500</v>
      </c>
    </row>
    <row r="54" spans="7:29" ht="18" customHeight="1" x14ac:dyDescent="0.3">
      <c r="G54" s="37">
        <f t="shared" si="7"/>
        <v>46148</v>
      </c>
      <c r="H54" s="32"/>
      <c r="I54" s="32"/>
      <c r="J54" s="32"/>
      <c r="K54" s="32"/>
      <c r="M54" s="27" t="str">
        <f t="shared" ca="1" si="0"/>
        <v/>
      </c>
      <c r="N54" s="27" t="e" cm="1">
        <f t="array" aca="1" ref="N54" ca="1">IF(H54="",_xlfn.LET(
    _xlpm.vals,_xlfn._xlws.FILTER($I$4:I53,$I$4:I53&lt;&gt;"",""),
    _xlpm.avgJ,IF(COUNTA(_xlpm.vals)=0,0,AVERAGE(_xlfn.TAKE(_xlpm.vals,-MIN(7,ROWS(_xlpm.vals))))),
    _xlpm.addship,IF(M54="",0,M54),
    IF(
        AND(H53="",H54=""),
        N53-_xlpm.avgJ+_xlpm.addship,
        IF(
            H54="",
            H53-_xlpm.avgJ+_xlpm.addship,
            ""
        )
    )
),H54)</f>
        <v>#NAME?</v>
      </c>
      <c r="O54" s="27" t="str">
        <f t="shared" ca="1" si="1"/>
        <v/>
      </c>
      <c r="P54" s="27" t="e" cm="1">
        <f t="array" aca="1" ref="P54" ca="1">IF(J54="",_xlfn.LET(
    _xlpm.vals,_xlfn._xlws.FILTER($K$4:K53,$K$4:K53&lt;&gt;"",""),
    _xlpm.avgJ,IF(COUNTA(_xlpm.vals)=0,0,AVERAGE(_xlfn.TAKE(_xlpm.vals,-MIN(7,ROWS(_xlpm.vals))))),
    _xlpm.addship,IF(O54="",0,O54),
    IF(
        AND(J53="",J54=""),
        P53-_xlpm.avgJ+_xlpm.addship,
        IF(
            J54="",
            J53-_xlpm.avgJ+_xlpm.addship,
            ""
        )
    )
),J54)</f>
        <v>#NAME?</v>
      </c>
      <c r="Q54" s="4" t="e">
        <f t="shared" ca="1" si="2"/>
        <v>#NAME?</v>
      </c>
      <c r="Z54" s="51">
        <f t="shared" si="3"/>
        <v>26800</v>
      </c>
      <c r="AA54" s="51">
        <f t="shared" si="4"/>
        <v>357582</v>
      </c>
      <c r="AB54" s="51">
        <f t="shared" si="5"/>
        <v>16165</v>
      </c>
      <c r="AC54" s="51">
        <f t="shared" si="6"/>
        <v>289500</v>
      </c>
    </row>
    <row r="55" spans="7:29" ht="18" customHeight="1" x14ac:dyDescent="0.3">
      <c r="G55" s="37">
        <f t="shared" si="7"/>
        <v>46149</v>
      </c>
      <c r="H55" s="32"/>
      <c r="I55" s="32"/>
      <c r="J55" s="32"/>
      <c r="K55" s="32"/>
      <c r="M55" s="27" t="str">
        <f t="shared" ca="1" si="0"/>
        <v/>
      </c>
      <c r="N55" s="27" t="e" cm="1">
        <f t="array" aca="1" ref="N55" ca="1">IF(H55="",_xlfn.LET(
    _xlpm.vals,_xlfn._xlws.FILTER($I$4:I54,$I$4:I54&lt;&gt;"",""),
    _xlpm.avgJ,IF(COUNTA(_xlpm.vals)=0,0,AVERAGE(_xlfn.TAKE(_xlpm.vals,-MIN(7,ROWS(_xlpm.vals))))),
    _xlpm.addship,IF(M55="",0,M55),
    IF(
        AND(H54="",H55=""),
        N54-_xlpm.avgJ+_xlpm.addship,
        IF(
            H55="",
            H54-_xlpm.avgJ+_xlpm.addship,
            ""
        )
    )
),H55)</f>
        <v>#NAME?</v>
      </c>
      <c r="O55" s="27" t="str">
        <f t="shared" ca="1" si="1"/>
        <v/>
      </c>
      <c r="P55" s="27" t="e" cm="1">
        <f t="array" aca="1" ref="P55" ca="1">IF(J55="",_xlfn.LET(
    _xlpm.vals,_xlfn._xlws.FILTER($K$4:K54,$K$4:K54&lt;&gt;"",""),
    _xlpm.avgJ,IF(COUNTA(_xlpm.vals)=0,0,AVERAGE(_xlfn.TAKE(_xlpm.vals,-MIN(7,ROWS(_xlpm.vals))))),
    _xlpm.addship,IF(O55="",0,O55),
    IF(
        AND(J54="",J55=""),
        P54-_xlpm.avgJ+_xlpm.addship,
        IF(
            J55="",
            J54-_xlpm.avgJ+_xlpm.addship,
            ""
        )
    )
),J55)</f>
        <v>#NAME?</v>
      </c>
      <c r="Q55" s="4" t="e">
        <f t="shared" ca="1" si="2"/>
        <v>#NAME?</v>
      </c>
      <c r="Z55" s="51">
        <f t="shared" si="3"/>
        <v>26800</v>
      </c>
      <c r="AA55" s="51">
        <f t="shared" si="4"/>
        <v>357582</v>
      </c>
      <c r="AB55" s="51">
        <f t="shared" si="5"/>
        <v>16165</v>
      </c>
      <c r="AC55" s="51">
        <f t="shared" si="6"/>
        <v>289500</v>
      </c>
    </row>
    <row r="56" spans="7:29" ht="18" customHeight="1" x14ac:dyDescent="0.3">
      <c r="G56" s="37">
        <f t="shared" si="7"/>
        <v>46150</v>
      </c>
      <c r="H56" s="32"/>
      <c r="I56" s="32"/>
      <c r="J56" s="32"/>
      <c r="K56" s="32"/>
      <c r="M56" s="27" t="str">
        <f t="shared" ca="1" si="0"/>
        <v/>
      </c>
      <c r="N56" s="27" t="e" cm="1">
        <f t="array" aca="1" ref="N56" ca="1">IF(H56="",_xlfn.LET(
    _xlpm.vals,_xlfn._xlws.FILTER($I$4:I55,$I$4:I55&lt;&gt;"",""),
    _xlpm.avgJ,IF(COUNTA(_xlpm.vals)=0,0,AVERAGE(_xlfn.TAKE(_xlpm.vals,-MIN(7,ROWS(_xlpm.vals))))),
    _xlpm.addship,IF(M56="",0,M56),
    IF(
        AND(H55="",H56=""),
        N55-_xlpm.avgJ+_xlpm.addship,
        IF(
            H56="",
            H55-_xlpm.avgJ+_xlpm.addship,
            ""
        )
    )
),H56)</f>
        <v>#NAME?</v>
      </c>
      <c r="O56" s="27" t="str">
        <f t="shared" ca="1" si="1"/>
        <v/>
      </c>
      <c r="P56" s="27" t="e" cm="1">
        <f t="array" aca="1" ref="P56" ca="1">IF(J56="",_xlfn.LET(
    _xlpm.vals,_xlfn._xlws.FILTER($K$4:K55,$K$4:K55&lt;&gt;"",""),
    _xlpm.avgJ,IF(COUNTA(_xlpm.vals)=0,0,AVERAGE(_xlfn.TAKE(_xlpm.vals,-MIN(7,ROWS(_xlpm.vals))))),
    _xlpm.addship,IF(O56="",0,O56),
    IF(
        AND(J55="",J56=""),
        P55-_xlpm.avgJ+_xlpm.addship,
        IF(
            J56="",
            J55-_xlpm.avgJ+_xlpm.addship,
            ""
        )
    )
),J56)</f>
        <v>#NAME?</v>
      </c>
      <c r="Q56" s="4" t="e">
        <f t="shared" ca="1" si="2"/>
        <v>#NAME?</v>
      </c>
      <c r="Z56" s="51">
        <f t="shared" si="3"/>
        <v>26800</v>
      </c>
      <c r="AA56" s="51">
        <f t="shared" si="4"/>
        <v>357582</v>
      </c>
      <c r="AB56" s="51">
        <f t="shared" si="5"/>
        <v>16165</v>
      </c>
      <c r="AC56" s="51">
        <f t="shared" si="6"/>
        <v>289500</v>
      </c>
    </row>
    <row r="57" spans="7:29" ht="18" customHeight="1" x14ac:dyDescent="0.3">
      <c r="G57" s="37">
        <f t="shared" si="7"/>
        <v>46151</v>
      </c>
      <c r="H57" s="32"/>
      <c r="I57" s="32"/>
      <c r="J57" s="32"/>
      <c r="K57" s="32"/>
      <c r="M57" s="27" t="str">
        <f t="shared" ca="1" si="0"/>
        <v/>
      </c>
      <c r="N57" s="27" t="e" cm="1">
        <f t="array" aca="1" ref="N57" ca="1">IF(H57="",_xlfn.LET(
    _xlpm.vals,_xlfn._xlws.FILTER($I$4:I56,$I$4:I56&lt;&gt;"",""),
    _xlpm.avgJ,IF(COUNTA(_xlpm.vals)=0,0,AVERAGE(_xlfn.TAKE(_xlpm.vals,-MIN(7,ROWS(_xlpm.vals))))),
    _xlpm.addship,IF(M57="",0,M57),
    IF(
        AND(H56="",H57=""),
        N56-_xlpm.avgJ+_xlpm.addship,
        IF(
            H57="",
            H56-_xlpm.avgJ+_xlpm.addship,
            ""
        )
    )
),H57)</f>
        <v>#NAME?</v>
      </c>
      <c r="O57" s="27" t="str">
        <f t="shared" ca="1" si="1"/>
        <v/>
      </c>
      <c r="P57" s="27" t="e" cm="1">
        <f t="array" aca="1" ref="P57" ca="1">IF(J57="",_xlfn.LET(
    _xlpm.vals,_xlfn._xlws.FILTER($K$4:K56,$K$4:K56&lt;&gt;"",""),
    _xlpm.avgJ,IF(COUNTA(_xlpm.vals)=0,0,AVERAGE(_xlfn.TAKE(_xlpm.vals,-MIN(7,ROWS(_xlpm.vals))))),
    _xlpm.addship,IF(O57="",0,O57),
    IF(
        AND(J56="",J57=""),
        P56-_xlpm.avgJ+_xlpm.addship,
        IF(
            J57="",
            J56-_xlpm.avgJ+_xlpm.addship,
            ""
        )
    )
),J57)</f>
        <v>#NAME?</v>
      </c>
      <c r="Q57" s="4" t="e">
        <f t="shared" ca="1" si="2"/>
        <v>#NAME?</v>
      </c>
      <c r="Z57" s="51">
        <f t="shared" si="3"/>
        <v>26800</v>
      </c>
      <c r="AA57" s="51">
        <f t="shared" si="4"/>
        <v>357582</v>
      </c>
      <c r="AB57" s="51">
        <f t="shared" si="5"/>
        <v>16165</v>
      </c>
      <c r="AC57" s="51">
        <f t="shared" si="6"/>
        <v>289500</v>
      </c>
    </row>
    <row r="58" spans="7:29" ht="18" customHeight="1" x14ac:dyDescent="0.3">
      <c r="G58" s="37">
        <f t="shared" si="7"/>
        <v>46152</v>
      </c>
      <c r="H58" s="32"/>
      <c r="I58" s="32"/>
      <c r="J58" s="32"/>
      <c r="K58" s="32"/>
      <c r="M58" s="27" t="str">
        <f t="shared" ca="1" si="0"/>
        <v/>
      </c>
      <c r="N58" s="27" t="e" cm="1">
        <f t="array" aca="1" ref="N58" ca="1">IF(H58="",_xlfn.LET(
    _xlpm.vals,_xlfn._xlws.FILTER($I$4:I57,$I$4:I57&lt;&gt;"",""),
    _xlpm.avgJ,IF(COUNTA(_xlpm.vals)=0,0,AVERAGE(_xlfn.TAKE(_xlpm.vals,-MIN(7,ROWS(_xlpm.vals))))),
    _xlpm.addship,IF(M58="",0,M58),
    IF(
        AND(H57="",H58=""),
        N57-_xlpm.avgJ+_xlpm.addship,
        IF(
            H58="",
            H57-_xlpm.avgJ+_xlpm.addship,
            ""
        )
    )
),H58)</f>
        <v>#NAME?</v>
      </c>
      <c r="O58" s="27" t="str">
        <f t="shared" ca="1" si="1"/>
        <v/>
      </c>
      <c r="P58" s="27" t="e" cm="1">
        <f t="array" aca="1" ref="P58" ca="1">IF(J58="",_xlfn.LET(
    _xlpm.vals,_xlfn._xlws.FILTER($K$4:K57,$K$4:K57&lt;&gt;"",""),
    _xlpm.avgJ,IF(COUNTA(_xlpm.vals)=0,0,AVERAGE(_xlfn.TAKE(_xlpm.vals,-MIN(7,ROWS(_xlpm.vals))))),
    _xlpm.addship,IF(O58="",0,O58),
    IF(
        AND(J57="",J58=""),
        P57-_xlpm.avgJ+_xlpm.addship,
        IF(
            J58="",
            J57-_xlpm.avgJ+_xlpm.addship,
            ""
        )
    )
),J58)</f>
        <v>#NAME?</v>
      </c>
      <c r="Q58" s="4" t="e">
        <f t="shared" ca="1" si="2"/>
        <v>#NAME?</v>
      </c>
      <c r="Z58" s="51">
        <f t="shared" si="3"/>
        <v>26800</v>
      </c>
      <c r="AA58" s="51">
        <f t="shared" si="4"/>
        <v>357582</v>
      </c>
      <c r="AB58" s="51">
        <f t="shared" si="5"/>
        <v>16165</v>
      </c>
      <c r="AC58" s="51">
        <f t="shared" si="6"/>
        <v>289500</v>
      </c>
    </row>
    <row r="59" spans="7:29" ht="18" customHeight="1" x14ac:dyDescent="0.3">
      <c r="G59" s="37">
        <f t="shared" si="7"/>
        <v>46153</v>
      </c>
      <c r="H59" s="32"/>
      <c r="I59" s="32"/>
      <c r="J59" s="32"/>
      <c r="K59" s="32"/>
      <c r="M59" s="27" t="str">
        <f t="shared" ca="1" si="0"/>
        <v/>
      </c>
      <c r="N59" s="27" t="e" cm="1">
        <f t="array" aca="1" ref="N59" ca="1">IF(H59="",_xlfn.LET(
    _xlpm.vals,_xlfn._xlws.FILTER($I$4:I58,$I$4:I58&lt;&gt;"",""),
    _xlpm.avgJ,IF(COUNTA(_xlpm.vals)=0,0,AVERAGE(_xlfn.TAKE(_xlpm.vals,-MIN(7,ROWS(_xlpm.vals))))),
    _xlpm.addship,IF(M59="",0,M59),
    IF(
        AND(H58="",H59=""),
        N58-_xlpm.avgJ+_xlpm.addship,
        IF(
            H59="",
            H58-_xlpm.avgJ+_xlpm.addship,
            ""
        )
    )
),H59)</f>
        <v>#NAME?</v>
      </c>
      <c r="O59" s="27" t="str">
        <f t="shared" ca="1" si="1"/>
        <v/>
      </c>
      <c r="P59" s="27" t="e" cm="1">
        <f t="array" aca="1" ref="P59" ca="1">IF(J59="",_xlfn.LET(
    _xlpm.vals,_xlfn._xlws.FILTER($K$4:K58,$K$4:K58&lt;&gt;"",""),
    _xlpm.avgJ,IF(COUNTA(_xlpm.vals)=0,0,AVERAGE(_xlfn.TAKE(_xlpm.vals,-MIN(7,ROWS(_xlpm.vals))))),
    _xlpm.addship,IF(O59="",0,O59),
    IF(
        AND(J58="",J59=""),
        P58-_xlpm.avgJ+_xlpm.addship,
        IF(
            J59="",
            J58-_xlpm.avgJ+_xlpm.addship,
            ""
        )
    )
),J59)</f>
        <v>#NAME?</v>
      </c>
      <c r="Q59" s="4" t="e">
        <f t="shared" ca="1" si="2"/>
        <v>#NAME?</v>
      </c>
      <c r="Z59" s="51">
        <f t="shared" si="3"/>
        <v>26800</v>
      </c>
      <c r="AA59" s="51">
        <f t="shared" si="4"/>
        <v>357582</v>
      </c>
      <c r="AB59" s="51">
        <f t="shared" si="5"/>
        <v>16165</v>
      </c>
      <c r="AC59" s="51">
        <f t="shared" si="6"/>
        <v>289500</v>
      </c>
    </row>
    <row r="60" spans="7:29" ht="18" customHeight="1" x14ac:dyDescent="0.3">
      <c r="G60" s="37">
        <f t="shared" si="7"/>
        <v>46154</v>
      </c>
      <c r="H60" s="32"/>
      <c r="I60" s="32"/>
      <c r="J60" s="32"/>
      <c r="K60" s="32"/>
      <c r="M60" s="27" t="str">
        <f t="shared" ca="1" si="0"/>
        <v/>
      </c>
      <c r="N60" s="27" t="e" cm="1">
        <f t="array" aca="1" ref="N60" ca="1">IF(H60="",_xlfn.LET(
    _xlpm.vals,_xlfn._xlws.FILTER($I$4:I59,$I$4:I59&lt;&gt;"",""),
    _xlpm.avgJ,IF(COUNTA(_xlpm.vals)=0,0,AVERAGE(_xlfn.TAKE(_xlpm.vals,-MIN(7,ROWS(_xlpm.vals))))),
    _xlpm.addship,IF(M60="",0,M60),
    IF(
        AND(H59="",H60=""),
        N59-_xlpm.avgJ+_xlpm.addship,
        IF(
            H60="",
            H59-_xlpm.avgJ+_xlpm.addship,
            ""
        )
    )
),H60)</f>
        <v>#NAME?</v>
      </c>
      <c r="O60" s="27" t="str">
        <f t="shared" ca="1" si="1"/>
        <v/>
      </c>
      <c r="P60" s="27" t="e" cm="1">
        <f t="array" aca="1" ref="P60" ca="1">IF(J60="",_xlfn.LET(
    _xlpm.vals,_xlfn._xlws.FILTER($K$4:K59,$K$4:K59&lt;&gt;"",""),
    _xlpm.avgJ,IF(COUNTA(_xlpm.vals)=0,0,AVERAGE(_xlfn.TAKE(_xlpm.vals,-MIN(7,ROWS(_xlpm.vals))))),
    _xlpm.addship,IF(O60="",0,O60),
    IF(
        AND(J59="",J60=""),
        P59-_xlpm.avgJ+_xlpm.addship,
        IF(
            J60="",
            J59-_xlpm.avgJ+_xlpm.addship,
            ""
        )
    )
),J60)</f>
        <v>#NAME?</v>
      </c>
      <c r="Q60" s="4" t="e">
        <f t="shared" ca="1" si="2"/>
        <v>#NAME?</v>
      </c>
      <c r="Z60" s="51">
        <f t="shared" si="3"/>
        <v>26800</v>
      </c>
      <c r="AA60" s="51">
        <f t="shared" si="4"/>
        <v>357582</v>
      </c>
      <c r="AB60" s="51">
        <f t="shared" si="5"/>
        <v>16165</v>
      </c>
      <c r="AC60" s="51">
        <f t="shared" si="6"/>
        <v>289500</v>
      </c>
    </row>
    <row r="61" spans="7:29" ht="18" customHeight="1" x14ac:dyDescent="0.3">
      <c r="G61" s="37">
        <f t="shared" si="7"/>
        <v>46155</v>
      </c>
      <c r="H61" s="32"/>
      <c r="I61" s="32"/>
      <c r="J61" s="32"/>
      <c r="K61" s="32"/>
      <c r="M61" s="27" t="str">
        <f t="shared" ca="1" si="0"/>
        <v/>
      </c>
      <c r="N61" s="27" t="e" cm="1">
        <f t="array" aca="1" ref="N61" ca="1">IF(H61="",_xlfn.LET(
    _xlpm.vals,_xlfn._xlws.FILTER($I$4:I60,$I$4:I60&lt;&gt;"",""),
    _xlpm.avgJ,IF(COUNTA(_xlpm.vals)=0,0,AVERAGE(_xlfn.TAKE(_xlpm.vals,-MIN(7,ROWS(_xlpm.vals))))),
    _xlpm.addship,IF(M61="",0,M61),
    IF(
        AND(H60="",H61=""),
        N60-_xlpm.avgJ+_xlpm.addship,
        IF(
            H61="",
            H60-_xlpm.avgJ+_xlpm.addship,
            ""
        )
    )
),H61)</f>
        <v>#NAME?</v>
      </c>
      <c r="O61" s="27" t="str">
        <f t="shared" ca="1" si="1"/>
        <v/>
      </c>
      <c r="P61" s="27" t="e" cm="1">
        <f t="array" aca="1" ref="P61" ca="1">IF(J61="",_xlfn.LET(
    _xlpm.vals,_xlfn._xlws.FILTER($K$4:K60,$K$4:K60&lt;&gt;"",""),
    _xlpm.avgJ,IF(COUNTA(_xlpm.vals)=0,0,AVERAGE(_xlfn.TAKE(_xlpm.vals,-MIN(7,ROWS(_xlpm.vals))))),
    _xlpm.addship,IF(O61="",0,O61),
    IF(
        AND(J60="",J61=""),
        P60-_xlpm.avgJ+_xlpm.addship,
        IF(
            J61="",
            J60-_xlpm.avgJ+_xlpm.addship,
            ""
        )
    )
),J61)</f>
        <v>#NAME?</v>
      </c>
      <c r="Q61" s="4" t="e">
        <f t="shared" ca="1" si="2"/>
        <v>#NAME?</v>
      </c>
      <c r="Z61" s="51">
        <f t="shared" si="3"/>
        <v>26800</v>
      </c>
      <c r="AA61" s="51">
        <f t="shared" si="4"/>
        <v>357582</v>
      </c>
      <c r="AB61" s="51">
        <f t="shared" si="5"/>
        <v>16165</v>
      </c>
      <c r="AC61" s="51">
        <f t="shared" si="6"/>
        <v>289500</v>
      </c>
    </row>
    <row r="62" spans="7:29" ht="18" customHeight="1" x14ac:dyDescent="0.3">
      <c r="G62" s="37">
        <f t="shared" si="7"/>
        <v>46156</v>
      </c>
      <c r="H62" s="32"/>
      <c r="I62" s="32"/>
      <c r="J62" s="32"/>
      <c r="K62" s="32"/>
      <c r="M62" s="27" t="str">
        <f t="shared" ca="1" si="0"/>
        <v/>
      </c>
      <c r="N62" s="27" t="e" cm="1">
        <f t="array" aca="1" ref="N62" ca="1">IF(H62="",_xlfn.LET(
    _xlpm.vals,_xlfn._xlws.FILTER($I$4:I61,$I$4:I61&lt;&gt;"",""),
    _xlpm.avgJ,IF(COUNTA(_xlpm.vals)=0,0,AVERAGE(_xlfn.TAKE(_xlpm.vals,-MIN(7,ROWS(_xlpm.vals))))),
    _xlpm.addship,IF(M62="",0,M62),
    IF(
        AND(H61="",H62=""),
        N61-_xlpm.avgJ+_xlpm.addship,
        IF(
            H62="",
            H61-_xlpm.avgJ+_xlpm.addship,
            ""
        )
    )
),H62)</f>
        <v>#NAME?</v>
      </c>
      <c r="O62" s="27" t="str">
        <f t="shared" ca="1" si="1"/>
        <v/>
      </c>
      <c r="P62" s="27" t="e" cm="1">
        <f t="array" aca="1" ref="P62" ca="1">IF(J62="",_xlfn.LET(
    _xlpm.vals,_xlfn._xlws.FILTER($K$4:K61,$K$4:K61&lt;&gt;"",""),
    _xlpm.avgJ,IF(COUNTA(_xlpm.vals)=0,0,AVERAGE(_xlfn.TAKE(_xlpm.vals,-MIN(7,ROWS(_xlpm.vals))))),
    _xlpm.addship,IF(O62="",0,O62),
    IF(
        AND(J61="",J62=""),
        P61-_xlpm.avgJ+_xlpm.addship,
        IF(
            J62="",
            J61-_xlpm.avgJ+_xlpm.addship,
            ""
        )
    )
),J62)</f>
        <v>#NAME?</v>
      </c>
      <c r="Q62" s="4" t="e">
        <f t="shared" ca="1" si="2"/>
        <v>#NAME?</v>
      </c>
      <c r="Z62" s="51">
        <f t="shared" si="3"/>
        <v>26800</v>
      </c>
      <c r="AA62" s="51">
        <f t="shared" si="4"/>
        <v>357582</v>
      </c>
      <c r="AB62" s="51">
        <f t="shared" si="5"/>
        <v>16165</v>
      </c>
      <c r="AC62" s="51">
        <f t="shared" si="6"/>
        <v>289500</v>
      </c>
    </row>
    <row r="63" spans="7:29" ht="18" customHeight="1" x14ac:dyDescent="0.3">
      <c r="G63" s="37">
        <f t="shared" si="7"/>
        <v>46157</v>
      </c>
      <c r="H63" s="32"/>
      <c r="I63" s="32"/>
      <c r="J63" s="32"/>
      <c r="K63" s="32"/>
      <c r="M63" s="27" t="str">
        <f t="shared" ca="1" si="0"/>
        <v/>
      </c>
      <c r="N63" s="27" t="e" cm="1">
        <f t="array" aca="1" ref="N63" ca="1">IF(H63="",_xlfn.LET(
    _xlpm.vals,_xlfn._xlws.FILTER($I$4:I62,$I$4:I62&lt;&gt;"",""),
    _xlpm.avgJ,IF(COUNTA(_xlpm.vals)=0,0,AVERAGE(_xlfn.TAKE(_xlpm.vals,-MIN(7,ROWS(_xlpm.vals))))),
    _xlpm.addship,IF(M63="",0,M63),
    IF(
        AND(H62="",H63=""),
        N62-_xlpm.avgJ+_xlpm.addship,
        IF(
            H63="",
            H62-_xlpm.avgJ+_xlpm.addship,
            ""
        )
    )
),H63)</f>
        <v>#NAME?</v>
      </c>
      <c r="O63" s="27" t="str">
        <f t="shared" ca="1" si="1"/>
        <v/>
      </c>
      <c r="P63" s="27" t="e" cm="1">
        <f t="array" aca="1" ref="P63" ca="1">IF(J63="",_xlfn.LET(
    _xlpm.vals,_xlfn._xlws.FILTER($K$4:K62,$K$4:K62&lt;&gt;"",""),
    _xlpm.avgJ,IF(COUNTA(_xlpm.vals)=0,0,AVERAGE(_xlfn.TAKE(_xlpm.vals,-MIN(7,ROWS(_xlpm.vals))))),
    _xlpm.addship,IF(O63="",0,O63),
    IF(
        AND(J62="",J63=""),
        P62-_xlpm.avgJ+_xlpm.addship,
        IF(
            J63="",
            J62-_xlpm.avgJ+_xlpm.addship,
            ""
        )
    )
),J63)</f>
        <v>#NAME?</v>
      </c>
      <c r="Q63" s="4" t="e">
        <f t="shared" ca="1" si="2"/>
        <v>#NAME?</v>
      </c>
      <c r="Z63" s="51">
        <f t="shared" si="3"/>
        <v>26800</v>
      </c>
      <c r="AA63" s="51">
        <f t="shared" si="4"/>
        <v>357582</v>
      </c>
      <c r="AB63" s="51">
        <f t="shared" si="5"/>
        <v>16165</v>
      </c>
      <c r="AC63" s="51">
        <f t="shared" si="6"/>
        <v>289500</v>
      </c>
    </row>
    <row r="64" spans="7:29" ht="18" customHeight="1" x14ac:dyDescent="0.3">
      <c r="G64" s="37">
        <f t="shared" si="7"/>
        <v>46158</v>
      </c>
      <c r="H64" s="32"/>
      <c r="I64" s="32"/>
      <c r="J64" s="32"/>
      <c r="K64" s="32"/>
      <c r="M64" s="27" t="str">
        <f t="shared" ca="1" si="0"/>
        <v/>
      </c>
      <c r="N64" s="27" t="e" cm="1">
        <f t="array" aca="1" ref="N64" ca="1">IF(H64="",_xlfn.LET(
    _xlpm.vals,_xlfn._xlws.FILTER($I$4:I63,$I$4:I63&lt;&gt;"",""),
    _xlpm.avgJ,IF(COUNTA(_xlpm.vals)=0,0,AVERAGE(_xlfn.TAKE(_xlpm.vals,-MIN(7,ROWS(_xlpm.vals))))),
    _xlpm.addship,IF(M64="",0,M64),
    IF(
        AND(H63="",H64=""),
        N63-_xlpm.avgJ+_xlpm.addship,
        IF(
            H64="",
            H63-_xlpm.avgJ+_xlpm.addship,
            ""
        )
    )
),H64)</f>
        <v>#NAME?</v>
      </c>
      <c r="O64" s="27" t="str">
        <f t="shared" ca="1" si="1"/>
        <v/>
      </c>
      <c r="P64" s="27" t="e" cm="1">
        <f t="array" aca="1" ref="P64" ca="1">IF(J64="",_xlfn.LET(
    _xlpm.vals,_xlfn._xlws.FILTER($K$4:K63,$K$4:K63&lt;&gt;"",""),
    _xlpm.avgJ,IF(COUNTA(_xlpm.vals)=0,0,AVERAGE(_xlfn.TAKE(_xlpm.vals,-MIN(7,ROWS(_xlpm.vals))))),
    _xlpm.addship,IF(O64="",0,O64),
    IF(
        AND(J63="",J64=""),
        P63-_xlpm.avgJ+_xlpm.addship,
        IF(
            J64="",
            J63-_xlpm.avgJ+_xlpm.addship,
            ""
        )
    )
),J64)</f>
        <v>#NAME?</v>
      </c>
      <c r="Q64" s="4" t="e">
        <f t="shared" ca="1" si="2"/>
        <v>#NAME?</v>
      </c>
      <c r="Z64" s="51">
        <f t="shared" si="3"/>
        <v>26800</v>
      </c>
      <c r="AA64" s="51">
        <f t="shared" si="4"/>
        <v>357582</v>
      </c>
      <c r="AB64" s="51">
        <f t="shared" si="5"/>
        <v>16165</v>
      </c>
      <c r="AC64" s="51">
        <f t="shared" si="6"/>
        <v>289500</v>
      </c>
    </row>
    <row r="65" spans="7:29" ht="18" customHeight="1" x14ac:dyDescent="0.3">
      <c r="G65" s="37">
        <f t="shared" si="7"/>
        <v>46159</v>
      </c>
      <c r="H65" s="32"/>
      <c r="I65" s="32"/>
      <c r="J65" s="32"/>
      <c r="K65" s="32"/>
      <c r="M65" s="27" t="str">
        <f t="shared" ca="1" si="0"/>
        <v/>
      </c>
      <c r="N65" s="27" t="e" cm="1">
        <f t="array" aca="1" ref="N65" ca="1">IF(H65="",_xlfn.LET(
    _xlpm.vals,_xlfn._xlws.FILTER($I$4:I64,$I$4:I64&lt;&gt;"",""),
    _xlpm.avgJ,IF(COUNTA(_xlpm.vals)=0,0,AVERAGE(_xlfn.TAKE(_xlpm.vals,-MIN(7,ROWS(_xlpm.vals))))),
    _xlpm.addship,IF(M65="",0,M65),
    IF(
        AND(H64="",H65=""),
        N64-_xlpm.avgJ+_xlpm.addship,
        IF(
            H65="",
            H64-_xlpm.avgJ+_xlpm.addship,
            ""
        )
    )
),H65)</f>
        <v>#NAME?</v>
      </c>
      <c r="O65" s="27" t="str">
        <f t="shared" ca="1" si="1"/>
        <v/>
      </c>
      <c r="P65" s="27" t="e" cm="1">
        <f t="array" aca="1" ref="P65" ca="1">IF(J65="",_xlfn.LET(
    _xlpm.vals,_xlfn._xlws.FILTER($K$4:K64,$K$4:K64&lt;&gt;"",""),
    _xlpm.avgJ,IF(COUNTA(_xlpm.vals)=0,0,AVERAGE(_xlfn.TAKE(_xlpm.vals,-MIN(7,ROWS(_xlpm.vals))))),
    _xlpm.addship,IF(O65="",0,O65),
    IF(
        AND(J64="",J65=""),
        P64-_xlpm.avgJ+_xlpm.addship,
        IF(
            J65="",
            J64-_xlpm.avgJ+_xlpm.addship,
            ""
        )
    )
),J65)</f>
        <v>#NAME?</v>
      </c>
      <c r="Q65" s="4" t="e">
        <f t="shared" ca="1" si="2"/>
        <v>#NAME?</v>
      </c>
      <c r="Z65" s="51">
        <f t="shared" si="3"/>
        <v>26800</v>
      </c>
      <c r="AA65" s="51">
        <f t="shared" si="4"/>
        <v>357582</v>
      </c>
      <c r="AB65" s="51">
        <f t="shared" si="5"/>
        <v>16165</v>
      </c>
      <c r="AC65" s="51">
        <f t="shared" si="6"/>
        <v>289500</v>
      </c>
    </row>
    <row r="66" spans="7:29" ht="18" customHeight="1" x14ac:dyDescent="0.3">
      <c r="G66" s="37">
        <f t="shared" si="7"/>
        <v>46160</v>
      </c>
      <c r="H66" s="32"/>
      <c r="I66" s="32"/>
      <c r="J66" s="32"/>
      <c r="K66" s="32"/>
      <c r="M66" s="27" t="str">
        <f t="shared" ca="1" si="0"/>
        <v/>
      </c>
      <c r="N66" s="27" t="e" cm="1">
        <f t="array" aca="1" ref="N66" ca="1">IF(H66="",_xlfn.LET(
    _xlpm.vals,_xlfn._xlws.FILTER($I$4:I65,$I$4:I65&lt;&gt;"",""),
    _xlpm.avgJ,IF(COUNTA(_xlpm.vals)=0,0,AVERAGE(_xlfn.TAKE(_xlpm.vals,-MIN(7,ROWS(_xlpm.vals))))),
    _xlpm.addship,IF(M66="",0,M66),
    IF(
        AND(H65="",H66=""),
        N65-_xlpm.avgJ+_xlpm.addship,
        IF(
            H66="",
            H65-_xlpm.avgJ+_xlpm.addship,
            ""
        )
    )
),H66)</f>
        <v>#NAME?</v>
      </c>
      <c r="O66" s="27" t="str">
        <f t="shared" ca="1" si="1"/>
        <v/>
      </c>
      <c r="P66" s="27" t="e" cm="1">
        <f t="array" aca="1" ref="P66" ca="1">IF(J66="",_xlfn.LET(
    _xlpm.vals,_xlfn._xlws.FILTER($K$4:K65,$K$4:K65&lt;&gt;"",""),
    _xlpm.avgJ,IF(COUNTA(_xlpm.vals)=0,0,AVERAGE(_xlfn.TAKE(_xlpm.vals,-MIN(7,ROWS(_xlpm.vals))))),
    _xlpm.addship,IF(O66="",0,O66),
    IF(
        AND(J65="",J66=""),
        P65-_xlpm.avgJ+_xlpm.addship,
        IF(
            J66="",
            J65-_xlpm.avgJ+_xlpm.addship,
            ""
        )
    )
),J66)</f>
        <v>#NAME?</v>
      </c>
      <c r="Q66" s="4" t="e">
        <f t="shared" ca="1" si="2"/>
        <v>#NAME?</v>
      </c>
      <c r="Z66" s="51">
        <f t="shared" si="3"/>
        <v>26800</v>
      </c>
      <c r="AA66" s="51">
        <f t="shared" si="4"/>
        <v>357582</v>
      </c>
      <c r="AB66" s="51">
        <f t="shared" si="5"/>
        <v>16165</v>
      </c>
      <c r="AC66" s="51">
        <f t="shared" si="6"/>
        <v>289500</v>
      </c>
    </row>
    <row r="67" spans="7:29" ht="18" customHeight="1" x14ac:dyDescent="0.3">
      <c r="G67" s="37">
        <f t="shared" si="7"/>
        <v>46161</v>
      </c>
      <c r="H67" s="32"/>
      <c r="I67" s="32"/>
      <c r="J67" s="32"/>
      <c r="K67" s="32"/>
      <c r="M67" s="27" t="str">
        <f t="shared" ca="1" si="0"/>
        <v/>
      </c>
      <c r="N67" s="27" t="e" cm="1">
        <f t="array" aca="1" ref="N67" ca="1">IF(H67="",_xlfn.LET(
    _xlpm.vals,_xlfn._xlws.FILTER($I$4:I66,$I$4:I66&lt;&gt;"",""),
    _xlpm.avgJ,IF(COUNTA(_xlpm.vals)=0,0,AVERAGE(_xlfn.TAKE(_xlpm.vals,-MIN(7,ROWS(_xlpm.vals))))),
    _xlpm.addship,IF(M67="",0,M67),
    IF(
        AND(H66="",H67=""),
        N66-_xlpm.avgJ+_xlpm.addship,
        IF(
            H67="",
            H66-_xlpm.avgJ+_xlpm.addship,
            ""
        )
    )
),H67)</f>
        <v>#NAME?</v>
      </c>
      <c r="O67" s="27" t="str">
        <f t="shared" ca="1" si="1"/>
        <v/>
      </c>
      <c r="P67" s="27" t="e" cm="1">
        <f t="array" aca="1" ref="P67" ca="1">IF(J67="",_xlfn.LET(
    _xlpm.vals,_xlfn._xlws.FILTER($K$4:K66,$K$4:K66&lt;&gt;"",""),
    _xlpm.avgJ,IF(COUNTA(_xlpm.vals)=0,0,AVERAGE(_xlfn.TAKE(_xlpm.vals,-MIN(7,ROWS(_xlpm.vals))))),
    _xlpm.addship,IF(O67="",0,O67),
    IF(
        AND(J66="",J67=""),
        P66-_xlpm.avgJ+_xlpm.addship,
        IF(
            J67="",
            J66-_xlpm.avgJ+_xlpm.addship,
            ""
        )
    )
),J67)</f>
        <v>#NAME?</v>
      </c>
      <c r="Q67" s="4" t="e">
        <f t="shared" ca="1" si="2"/>
        <v>#NAME?</v>
      </c>
      <c r="Z67" s="51">
        <f t="shared" si="3"/>
        <v>26800</v>
      </c>
      <c r="AA67" s="51">
        <f t="shared" si="4"/>
        <v>357582</v>
      </c>
      <c r="AB67" s="51">
        <f t="shared" si="5"/>
        <v>16165</v>
      </c>
      <c r="AC67" s="51">
        <f t="shared" si="6"/>
        <v>289500</v>
      </c>
    </row>
    <row r="68" spans="7:29" ht="18" customHeight="1" x14ac:dyDescent="0.3">
      <c r="G68" s="37">
        <f t="shared" si="7"/>
        <v>46162</v>
      </c>
      <c r="H68" s="32"/>
      <c r="I68" s="32"/>
      <c r="J68" s="32"/>
      <c r="K68" s="32"/>
      <c r="M68" s="27" t="str">
        <f t="shared" ref="M68:M109" ca="1" si="8">IF(H68="",IFERROR(_xlfn.XLOOKUP(G68,$B$6:$B$10,$C$6:$C$10,""),""),"")</f>
        <v/>
      </c>
      <c r="N68" s="27" t="e" cm="1">
        <f t="array" aca="1" ref="N68" ca="1">IF(H68="",_xlfn.LET(
    _xlpm.vals,_xlfn._xlws.FILTER($I$4:I67,$I$4:I67&lt;&gt;"",""),
    _xlpm.avgJ,IF(COUNTA(_xlpm.vals)=0,0,AVERAGE(_xlfn.TAKE(_xlpm.vals,-MIN(7,ROWS(_xlpm.vals))))),
    _xlpm.addship,IF(M68="",0,M68),
    IF(
        AND(H67="",H68=""),
        N67-_xlpm.avgJ+_xlpm.addship,
        IF(
            H68="",
            H67-_xlpm.avgJ+_xlpm.addship,
            ""
        )
    )
),H68)</f>
        <v>#NAME?</v>
      </c>
      <c r="O68" s="27" t="str">
        <f t="shared" ref="O68:O109" ca="1" si="9">IF(J68="",IFERROR(_xlfn.XLOOKUP(G68,$B$6:$B$10,$D$6:$D$10,""),""),"")</f>
        <v/>
      </c>
      <c r="P68" s="27" t="e" cm="1">
        <f t="array" aca="1" ref="P68" ca="1">IF(J68="",_xlfn.LET(
    _xlpm.vals,_xlfn._xlws.FILTER($K$4:K67,$K$4:K67&lt;&gt;"",""),
    _xlpm.avgJ,IF(COUNTA(_xlpm.vals)=0,0,AVERAGE(_xlfn.TAKE(_xlpm.vals,-MIN(7,ROWS(_xlpm.vals))))),
    _xlpm.addship,IF(O68="",0,O68),
    IF(
        AND(J67="",J68=""),
        P67-_xlpm.avgJ+_xlpm.addship,
        IF(
            J68="",
            J67-_xlpm.avgJ+_xlpm.addship,
            ""
        )
    )
),J68)</f>
        <v>#NAME?</v>
      </c>
      <c r="Q68" s="4" t="e">
        <f t="shared" ref="Q68:Q109" ca="1" si="10">IF(AND(N68="",P68=""),"",
_xlfn.LET(
_xlpm.msgs,
_xlfn.TEXTJOIN(" | ",TRUE,
IF(N68&gt;$C$19,"Petrol over capacity",""),
IF(N68&lt;$C$20,"Petrol stock out",""),
IF(P68&gt;$D$19,"Diesel over capacity",""),
IF(P68&lt;$D$20,"Diesel stock out","")
),
IF(_xlpm.msgs="","",_xlpm.msgs)
))</f>
        <v>#NAME?</v>
      </c>
      <c r="Z68" s="51">
        <f t="shared" si="3"/>
        <v>26800</v>
      </c>
      <c r="AA68" s="51">
        <f t="shared" si="4"/>
        <v>357582</v>
      </c>
      <c r="AB68" s="51">
        <f t="shared" si="5"/>
        <v>16165</v>
      </c>
      <c r="AC68" s="51">
        <f t="shared" si="6"/>
        <v>289500</v>
      </c>
    </row>
    <row r="69" spans="7:29" ht="18" customHeight="1" x14ac:dyDescent="0.3">
      <c r="G69" s="37">
        <f t="shared" si="7"/>
        <v>46163</v>
      </c>
      <c r="H69" s="32"/>
      <c r="I69" s="32"/>
      <c r="J69" s="32"/>
      <c r="K69" s="32"/>
      <c r="M69" s="27" t="str">
        <f t="shared" ca="1" si="8"/>
        <v/>
      </c>
      <c r="N69" s="27" t="e" cm="1">
        <f t="array" aca="1" ref="N69" ca="1">IF(H69="",_xlfn.LET(
    _xlpm.vals,_xlfn._xlws.FILTER($I$4:I68,$I$4:I68&lt;&gt;"",""),
    _xlpm.avgJ,IF(COUNTA(_xlpm.vals)=0,0,AVERAGE(_xlfn.TAKE(_xlpm.vals,-MIN(7,ROWS(_xlpm.vals))))),
    _xlpm.addship,IF(M69="",0,M69),
    IF(
        AND(H68="",H69=""),
        N68-_xlpm.avgJ+_xlpm.addship,
        IF(
            H69="",
            H68-_xlpm.avgJ+_xlpm.addship,
            ""
        )
    )
),H69)</f>
        <v>#NAME?</v>
      </c>
      <c r="O69" s="27" t="str">
        <f t="shared" ca="1" si="9"/>
        <v/>
      </c>
      <c r="P69" s="27" t="e" cm="1">
        <f t="array" aca="1" ref="P69" ca="1">IF(J69="",_xlfn.LET(
    _xlpm.vals,_xlfn._xlws.FILTER($K$4:K68,$K$4:K68&lt;&gt;"",""),
    _xlpm.avgJ,IF(COUNTA(_xlpm.vals)=0,0,AVERAGE(_xlfn.TAKE(_xlpm.vals,-MIN(7,ROWS(_xlpm.vals))))),
    _xlpm.addship,IF(O69="",0,O69),
    IF(
        AND(J68="",J69=""),
        P68-_xlpm.avgJ+_xlpm.addship,
        IF(
            J69="",
            J68-_xlpm.avgJ+_xlpm.addship,
            ""
        )
    )
),J69)</f>
        <v>#NAME?</v>
      </c>
      <c r="Q69" s="4" t="e">
        <f t="shared" ca="1" si="10"/>
        <v>#NAME?</v>
      </c>
      <c r="Z69" s="51">
        <f t="shared" ref="Z69:Z109" si="11">$C$20</f>
        <v>26800</v>
      </c>
      <c r="AA69" s="51">
        <f t="shared" ref="AA69:AA109" si="12">$C$19</f>
        <v>357582</v>
      </c>
      <c r="AB69" s="51">
        <f t="shared" ref="AB69:AB109" si="13">$D$20</f>
        <v>16165</v>
      </c>
      <c r="AC69" s="51">
        <f t="shared" ref="AC69:AC109" si="14">$D$19</f>
        <v>289500</v>
      </c>
    </row>
    <row r="70" spans="7:29" ht="18" customHeight="1" x14ac:dyDescent="0.3">
      <c r="G70" s="37">
        <f t="shared" ref="G70:G109" si="15">G69+1</f>
        <v>46164</v>
      </c>
      <c r="H70" s="32"/>
      <c r="I70" s="32"/>
      <c r="J70" s="32"/>
      <c r="K70" s="32"/>
      <c r="M70" s="27" t="str">
        <f t="shared" ca="1" si="8"/>
        <v/>
      </c>
      <c r="N70" s="27" t="e" cm="1">
        <f t="array" aca="1" ref="N70" ca="1">IF(H70="",_xlfn.LET(
    _xlpm.vals,_xlfn._xlws.FILTER($I$4:I69,$I$4:I69&lt;&gt;"",""),
    _xlpm.avgJ,IF(COUNTA(_xlpm.vals)=0,0,AVERAGE(_xlfn.TAKE(_xlpm.vals,-MIN(7,ROWS(_xlpm.vals))))),
    _xlpm.addship,IF(M70="",0,M70),
    IF(
        AND(H69="",H70=""),
        N69-_xlpm.avgJ+_xlpm.addship,
        IF(
            H70="",
            H69-_xlpm.avgJ+_xlpm.addship,
            ""
        )
    )
),H70)</f>
        <v>#NAME?</v>
      </c>
      <c r="O70" s="27" t="str">
        <f t="shared" ca="1" si="9"/>
        <v/>
      </c>
      <c r="P70" s="27" t="e" cm="1">
        <f t="array" aca="1" ref="P70" ca="1">IF(J70="",_xlfn.LET(
    _xlpm.vals,_xlfn._xlws.FILTER($K$4:K69,$K$4:K69&lt;&gt;"",""),
    _xlpm.avgJ,IF(COUNTA(_xlpm.vals)=0,0,AVERAGE(_xlfn.TAKE(_xlpm.vals,-MIN(7,ROWS(_xlpm.vals))))),
    _xlpm.addship,IF(O70="",0,O70),
    IF(
        AND(J69="",J70=""),
        P69-_xlpm.avgJ+_xlpm.addship,
        IF(
            J70="",
            J69-_xlpm.avgJ+_xlpm.addship,
            ""
        )
    )
),J70)</f>
        <v>#NAME?</v>
      </c>
      <c r="Q70" s="4" t="e">
        <f t="shared" ca="1" si="10"/>
        <v>#NAME?</v>
      </c>
      <c r="Z70" s="51">
        <f t="shared" si="11"/>
        <v>26800</v>
      </c>
      <c r="AA70" s="51">
        <f t="shared" si="12"/>
        <v>357582</v>
      </c>
      <c r="AB70" s="51">
        <f t="shared" si="13"/>
        <v>16165</v>
      </c>
      <c r="AC70" s="51">
        <f t="shared" si="14"/>
        <v>289500</v>
      </c>
    </row>
    <row r="71" spans="7:29" ht="18" customHeight="1" x14ac:dyDescent="0.3">
      <c r="G71" s="37">
        <f t="shared" si="15"/>
        <v>46165</v>
      </c>
      <c r="H71" s="32"/>
      <c r="I71" s="32"/>
      <c r="J71" s="32"/>
      <c r="K71" s="32"/>
      <c r="M71" s="27" t="str">
        <f t="shared" ca="1" si="8"/>
        <v/>
      </c>
      <c r="N71" s="27" t="e" cm="1">
        <f t="array" aca="1" ref="N71" ca="1">IF(H71="",_xlfn.LET(
    _xlpm.vals,_xlfn._xlws.FILTER($I$4:I70,$I$4:I70&lt;&gt;"",""),
    _xlpm.avgJ,IF(COUNTA(_xlpm.vals)=0,0,AVERAGE(_xlfn.TAKE(_xlpm.vals,-MIN(7,ROWS(_xlpm.vals))))),
    _xlpm.addship,IF(M71="",0,M71),
    IF(
        AND(H70="",H71=""),
        N70-_xlpm.avgJ+_xlpm.addship,
        IF(
            H71="",
            H70-_xlpm.avgJ+_xlpm.addship,
            ""
        )
    )
),H71)</f>
        <v>#NAME?</v>
      </c>
      <c r="O71" s="27" t="str">
        <f t="shared" ca="1" si="9"/>
        <v/>
      </c>
      <c r="P71" s="27" t="e" cm="1">
        <f t="array" aca="1" ref="P71" ca="1">IF(J71="",_xlfn.LET(
    _xlpm.vals,_xlfn._xlws.FILTER($K$4:K70,$K$4:K70&lt;&gt;"",""),
    _xlpm.avgJ,IF(COUNTA(_xlpm.vals)=0,0,AVERAGE(_xlfn.TAKE(_xlpm.vals,-MIN(7,ROWS(_xlpm.vals))))),
    _xlpm.addship,IF(O71="",0,O71),
    IF(
        AND(J70="",J71=""),
        P70-_xlpm.avgJ+_xlpm.addship,
        IF(
            J71="",
            J70-_xlpm.avgJ+_xlpm.addship,
            ""
        )
    )
),J71)</f>
        <v>#NAME?</v>
      </c>
      <c r="Q71" s="4" t="e">
        <f t="shared" ca="1" si="10"/>
        <v>#NAME?</v>
      </c>
      <c r="Z71" s="51">
        <f t="shared" si="11"/>
        <v>26800</v>
      </c>
      <c r="AA71" s="51">
        <f t="shared" si="12"/>
        <v>357582</v>
      </c>
      <c r="AB71" s="51">
        <f t="shared" si="13"/>
        <v>16165</v>
      </c>
      <c r="AC71" s="51">
        <f t="shared" si="14"/>
        <v>289500</v>
      </c>
    </row>
    <row r="72" spans="7:29" ht="18" customHeight="1" x14ac:dyDescent="0.3">
      <c r="G72" s="37">
        <f t="shared" si="15"/>
        <v>46166</v>
      </c>
      <c r="H72" s="32"/>
      <c r="I72" s="32"/>
      <c r="J72" s="32"/>
      <c r="K72" s="32"/>
      <c r="M72" s="27" t="str">
        <f t="shared" ca="1" si="8"/>
        <v/>
      </c>
      <c r="N72" s="27" t="e" cm="1">
        <f t="array" aca="1" ref="N72" ca="1">IF(H72="",_xlfn.LET(
    _xlpm.vals,_xlfn._xlws.FILTER($I$4:I71,$I$4:I71&lt;&gt;"",""),
    _xlpm.avgJ,IF(COUNTA(_xlpm.vals)=0,0,AVERAGE(_xlfn.TAKE(_xlpm.vals,-MIN(7,ROWS(_xlpm.vals))))),
    _xlpm.addship,IF(M72="",0,M72),
    IF(
        AND(H71="",H72=""),
        N71-_xlpm.avgJ+_xlpm.addship,
        IF(
            H72="",
            H71-_xlpm.avgJ+_xlpm.addship,
            ""
        )
    )
),H72)</f>
        <v>#NAME?</v>
      </c>
      <c r="O72" s="27" t="str">
        <f t="shared" ca="1" si="9"/>
        <v/>
      </c>
      <c r="P72" s="27" t="e" cm="1">
        <f t="array" aca="1" ref="P72" ca="1">IF(J72="",_xlfn.LET(
    _xlpm.vals,_xlfn._xlws.FILTER($K$4:K71,$K$4:K71&lt;&gt;"",""),
    _xlpm.avgJ,IF(COUNTA(_xlpm.vals)=0,0,AVERAGE(_xlfn.TAKE(_xlpm.vals,-MIN(7,ROWS(_xlpm.vals))))),
    _xlpm.addship,IF(O72="",0,O72),
    IF(
        AND(J71="",J72=""),
        P71-_xlpm.avgJ+_xlpm.addship,
        IF(
            J72="",
            J71-_xlpm.avgJ+_xlpm.addship,
            ""
        )
    )
),J72)</f>
        <v>#NAME?</v>
      </c>
      <c r="Q72" s="4" t="e">
        <f t="shared" ca="1" si="10"/>
        <v>#NAME?</v>
      </c>
      <c r="Z72" s="51">
        <f t="shared" si="11"/>
        <v>26800</v>
      </c>
      <c r="AA72" s="51">
        <f t="shared" si="12"/>
        <v>357582</v>
      </c>
      <c r="AB72" s="51">
        <f t="shared" si="13"/>
        <v>16165</v>
      </c>
      <c r="AC72" s="51">
        <f t="shared" si="14"/>
        <v>289500</v>
      </c>
    </row>
    <row r="73" spans="7:29" ht="18" customHeight="1" x14ac:dyDescent="0.3">
      <c r="G73" s="37">
        <f t="shared" si="15"/>
        <v>46167</v>
      </c>
      <c r="H73" s="32"/>
      <c r="I73" s="32"/>
      <c r="J73" s="32"/>
      <c r="K73" s="32"/>
      <c r="M73" s="27" t="str">
        <f t="shared" ca="1" si="8"/>
        <v/>
      </c>
      <c r="N73" s="27" t="e" cm="1">
        <f t="array" aca="1" ref="N73" ca="1">IF(H73="",_xlfn.LET(
    _xlpm.vals,_xlfn._xlws.FILTER($I$4:I72,$I$4:I72&lt;&gt;"",""),
    _xlpm.avgJ,IF(COUNTA(_xlpm.vals)=0,0,AVERAGE(_xlfn.TAKE(_xlpm.vals,-MIN(7,ROWS(_xlpm.vals))))),
    _xlpm.addship,IF(M73="",0,M73),
    IF(
        AND(H72="",H73=""),
        N72-_xlpm.avgJ+_xlpm.addship,
        IF(
            H73="",
            H72-_xlpm.avgJ+_xlpm.addship,
            ""
        )
    )
),H73)</f>
        <v>#NAME?</v>
      </c>
      <c r="O73" s="27" t="str">
        <f t="shared" ca="1" si="9"/>
        <v/>
      </c>
      <c r="P73" s="27" t="e" cm="1">
        <f t="array" aca="1" ref="P73" ca="1">IF(J73="",_xlfn.LET(
    _xlpm.vals,_xlfn._xlws.FILTER($K$4:K72,$K$4:K72&lt;&gt;"",""),
    _xlpm.avgJ,IF(COUNTA(_xlpm.vals)=0,0,AVERAGE(_xlfn.TAKE(_xlpm.vals,-MIN(7,ROWS(_xlpm.vals))))),
    _xlpm.addship,IF(O73="",0,O73),
    IF(
        AND(J72="",J73=""),
        P72-_xlpm.avgJ+_xlpm.addship,
        IF(
            J73="",
            J72-_xlpm.avgJ+_xlpm.addship,
            ""
        )
    )
),J73)</f>
        <v>#NAME?</v>
      </c>
      <c r="Q73" s="4" t="e">
        <f t="shared" ca="1" si="10"/>
        <v>#NAME?</v>
      </c>
      <c r="Z73" s="51">
        <f t="shared" si="11"/>
        <v>26800</v>
      </c>
      <c r="AA73" s="51">
        <f t="shared" si="12"/>
        <v>357582</v>
      </c>
      <c r="AB73" s="51">
        <f t="shared" si="13"/>
        <v>16165</v>
      </c>
      <c r="AC73" s="51">
        <f t="shared" si="14"/>
        <v>289500</v>
      </c>
    </row>
    <row r="74" spans="7:29" ht="18" customHeight="1" x14ac:dyDescent="0.3">
      <c r="G74" s="37">
        <f t="shared" si="15"/>
        <v>46168</v>
      </c>
      <c r="H74" s="32"/>
      <c r="I74" s="32"/>
      <c r="J74" s="32"/>
      <c r="K74" s="32"/>
      <c r="M74" s="27" t="str">
        <f t="shared" ca="1" si="8"/>
        <v/>
      </c>
      <c r="N74" s="27" t="e" cm="1">
        <f t="array" aca="1" ref="N74" ca="1">IF(H74="",_xlfn.LET(
    _xlpm.vals,_xlfn._xlws.FILTER($I$4:I73,$I$4:I73&lt;&gt;"",""),
    _xlpm.avgJ,IF(COUNTA(_xlpm.vals)=0,0,AVERAGE(_xlfn.TAKE(_xlpm.vals,-MIN(7,ROWS(_xlpm.vals))))),
    _xlpm.addship,IF(M74="",0,M74),
    IF(
        AND(H73="",H74=""),
        N73-_xlpm.avgJ+_xlpm.addship,
        IF(
            H74="",
            H73-_xlpm.avgJ+_xlpm.addship,
            ""
        )
    )
),H74)</f>
        <v>#NAME?</v>
      </c>
      <c r="O74" s="27" t="str">
        <f t="shared" ca="1" si="9"/>
        <v/>
      </c>
      <c r="P74" s="27" t="e" cm="1">
        <f t="array" aca="1" ref="P74" ca="1">IF(J74="",_xlfn.LET(
    _xlpm.vals,_xlfn._xlws.FILTER($K$4:K73,$K$4:K73&lt;&gt;"",""),
    _xlpm.avgJ,IF(COUNTA(_xlpm.vals)=0,0,AVERAGE(_xlfn.TAKE(_xlpm.vals,-MIN(7,ROWS(_xlpm.vals))))),
    _xlpm.addship,IF(O74="",0,O74),
    IF(
        AND(J73="",J74=""),
        P73-_xlpm.avgJ+_xlpm.addship,
        IF(
            J74="",
            J73-_xlpm.avgJ+_xlpm.addship,
            ""
        )
    )
),J74)</f>
        <v>#NAME?</v>
      </c>
      <c r="Q74" s="4" t="e">
        <f t="shared" ca="1" si="10"/>
        <v>#NAME?</v>
      </c>
      <c r="Z74" s="51">
        <f t="shared" si="11"/>
        <v>26800</v>
      </c>
      <c r="AA74" s="51">
        <f t="shared" si="12"/>
        <v>357582</v>
      </c>
      <c r="AB74" s="51">
        <f t="shared" si="13"/>
        <v>16165</v>
      </c>
      <c r="AC74" s="51">
        <f t="shared" si="14"/>
        <v>289500</v>
      </c>
    </row>
    <row r="75" spans="7:29" ht="18" customHeight="1" x14ac:dyDescent="0.3">
      <c r="G75" s="37">
        <f t="shared" si="15"/>
        <v>46169</v>
      </c>
      <c r="H75" s="32"/>
      <c r="I75" s="32"/>
      <c r="J75" s="32"/>
      <c r="K75" s="32"/>
      <c r="M75" s="27" t="str">
        <f t="shared" ca="1" si="8"/>
        <v/>
      </c>
      <c r="N75" s="27" t="e" cm="1">
        <f t="array" aca="1" ref="N75" ca="1">IF(H75="",_xlfn.LET(
    _xlpm.vals,_xlfn._xlws.FILTER($I$4:I74,$I$4:I74&lt;&gt;"",""),
    _xlpm.avgJ,IF(COUNTA(_xlpm.vals)=0,0,AVERAGE(_xlfn.TAKE(_xlpm.vals,-MIN(7,ROWS(_xlpm.vals))))),
    _xlpm.addship,IF(M75="",0,M75),
    IF(
        AND(H74="",H75=""),
        N74-_xlpm.avgJ+_xlpm.addship,
        IF(
            H75="",
            H74-_xlpm.avgJ+_xlpm.addship,
            ""
        )
    )
),H75)</f>
        <v>#NAME?</v>
      </c>
      <c r="O75" s="27" t="str">
        <f t="shared" ca="1" si="9"/>
        <v/>
      </c>
      <c r="P75" s="27" t="e" cm="1">
        <f t="array" aca="1" ref="P75" ca="1">IF(J75="",_xlfn.LET(
    _xlpm.vals,_xlfn._xlws.FILTER($K$4:K74,$K$4:K74&lt;&gt;"",""),
    _xlpm.avgJ,IF(COUNTA(_xlpm.vals)=0,0,AVERAGE(_xlfn.TAKE(_xlpm.vals,-MIN(7,ROWS(_xlpm.vals))))),
    _xlpm.addship,IF(O75="",0,O75),
    IF(
        AND(J74="",J75=""),
        P74-_xlpm.avgJ+_xlpm.addship,
        IF(
            J75="",
            J74-_xlpm.avgJ+_xlpm.addship,
            ""
        )
    )
),J75)</f>
        <v>#NAME?</v>
      </c>
      <c r="Q75" s="4" t="e">
        <f t="shared" ca="1" si="10"/>
        <v>#NAME?</v>
      </c>
      <c r="Z75" s="51">
        <f t="shared" si="11"/>
        <v>26800</v>
      </c>
      <c r="AA75" s="51">
        <f t="shared" si="12"/>
        <v>357582</v>
      </c>
      <c r="AB75" s="51">
        <f t="shared" si="13"/>
        <v>16165</v>
      </c>
      <c r="AC75" s="51">
        <f t="shared" si="14"/>
        <v>289500</v>
      </c>
    </row>
    <row r="76" spans="7:29" ht="18" customHeight="1" x14ac:dyDescent="0.3">
      <c r="G76" s="37">
        <f t="shared" si="15"/>
        <v>46170</v>
      </c>
      <c r="H76" s="32"/>
      <c r="I76" s="32"/>
      <c r="J76" s="32"/>
      <c r="K76" s="32"/>
      <c r="M76" s="27" t="str">
        <f t="shared" ca="1" si="8"/>
        <v/>
      </c>
      <c r="N76" s="27" t="e" cm="1">
        <f t="array" aca="1" ref="N76" ca="1">IF(H76="",_xlfn.LET(
    _xlpm.vals,_xlfn._xlws.FILTER($I$4:I75,$I$4:I75&lt;&gt;"",""),
    _xlpm.avgJ,IF(COUNTA(_xlpm.vals)=0,0,AVERAGE(_xlfn.TAKE(_xlpm.vals,-MIN(7,ROWS(_xlpm.vals))))),
    _xlpm.addship,IF(M76="",0,M76),
    IF(
        AND(H75="",H76=""),
        N75-_xlpm.avgJ+_xlpm.addship,
        IF(
            H76="",
            H75-_xlpm.avgJ+_xlpm.addship,
            ""
        )
    )
),H76)</f>
        <v>#NAME?</v>
      </c>
      <c r="O76" s="27" t="str">
        <f t="shared" ca="1" si="9"/>
        <v/>
      </c>
      <c r="P76" s="27" t="e" cm="1">
        <f t="array" aca="1" ref="P76" ca="1">IF(J76="",_xlfn.LET(
    _xlpm.vals,_xlfn._xlws.FILTER($K$4:K75,$K$4:K75&lt;&gt;"",""),
    _xlpm.avgJ,IF(COUNTA(_xlpm.vals)=0,0,AVERAGE(_xlfn.TAKE(_xlpm.vals,-MIN(7,ROWS(_xlpm.vals))))),
    _xlpm.addship,IF(O76="",0,O76),
    IF(
        AND(J75="",J76=""),
        P75-_xlpm.avgJ+_xlpm.addship,
        IF(
            J76="",
            J75-_xlpm.avgJ+_xlpm.addship,
            ""
        )
    )
),J76)</f>
        <v>#NAME?</v>
      </c>
      <c r="Q76" s="4" t="e">
        <f t="shared" ca="1" si="10"/>
        <v>#NAME?</v>
      </c>
      <c r="Z76" s="51">
        <f t="shared" si="11"/>
        <v>26800</v>
      </c>
      <c r="AA76" s="51">
        <f t="shared" si="12"/>
        <v>357582</v>
      </c>
      <c r="AB76" s="51">
        <f t="shared" si="13"/>
        <v>16165</v>
      </c>
      <c r="AC76" s="51">
        <f t="shared" si="14"/>
        <v>289500</v>
      </c>
    </row>
    <row r="77" spans="7:29" ht="18" customHeight="1" x14ac:dyDescent="0.3">
      <c r="G77" s="37">
        <f t="shared" si="15"/>
        <v>46171</v>
      </c>
      <c r="H77" s="32"/>
      <c r="I77" s="32"/>
      <c r="J77" s="32"/>
      <c r="K77" s="32"/>
      <c r="M77" s="27" t="str">
        <f t="shared" ca="1" si="8"/>
        <v/>
      </c>
      <c r="N77" s="27" t="e" cm="1">
        <f t="array" aca="1" ref="N77" ca="1">IF(H77="",_xlfn.LET(
    _xlpm.vals,_xlfn._xlws.FILTER($I$4:I76,$I$4:I76&lt;&gt;"",""),
    _xlpm.avgJ,IF(COUNTA(_xlpm.vals)=0,0,AVERAGE(_xlfn.TAKE(_xlpm.vals,-MIN(7,ROWS(_xlpm.vals))))),
    _xlpm.addship,IF(M77="",0,M77),
    IF(
        AND(H76="",H77=""),
        N76-_xlpm.avgJ+_xlpm.addship,
        IF(
            H77="",
            H76-_xlpm.avgJ+_xlpm.addship,
            ""
        )
    )
),H77)</f>
        <v>#NAME?</v>
      </c>
      <c r="O77" s="27" t="str">
        <f t="shared" ca="1" si="9"/>
        <v/>
      </c>
      <c r="P77" s="27" t="e" cm="1">
        <f t="array" aca="1" ref="P77" ca="1">IF(J77="",_xlfn.LET(
    _xlpm.vals,_xlfn._xlws.FILTER($K$4:K76,$K$4:K76&lt;&gt;"",""),
    _xlpm.avgJ,IF(COUNTA(_xlpm.vals)=0,0,AVERAGE(_xlfn.TAKE(_xlpm.vals,-MIN(7,ROWS(_xlpm.vals))))),
    _xlpm.addship,IF(O77="",0,O77),
    IF(
        AND(J76="",J77=""),
        P76-_xlpm.avgJ+_xlpm.addship,
        IF(
            J77="",
            J76-_xlpm.avgJ+_xlpm.addship,
            ""
        )
    )
),J77)</f>
        <v>#NAME?</v>
      </c>
      <c r="Q77" s="4" t="e">
        <f t="shared" ca="1" si="10"/>
        <v>#NAME?</v>
      </c>
      <c r="Z77" s="51">
        <f t="shared" si="11"/>
        <v>26800</v>
      </c>
      <c r="AA77" s="51">
        <f t="shared" si="12"/>
        <v>357582</v>
      </c>
      <c r="AB77" s="51">
        <f t="shared" si="13"/>
        <v>16165</v>
      </c>
      <c r="AC77" s="51">
        <f t="shared" si="14"/>
        <v>289500</v>
      </c>
    </row>
    <row r="78" spans="7:29" ht="18" customHeight="1" x14ac:dyDescent="0.3">
      <c r="G78" s="37">
        <f t="shared" si="15"/>
        <v>46172</v>
      </c>
      <c r="H78" s="32"/>
      <c r="I78" s="32"/>
      <c r="J78" s="32"/>
      <c r="K78" s="32"/>
      <c r="M78" s="27" t="str">
        <f t="shared" ca="1" si="8"/>
        <v/>
      </c>
      <c r="N78" s="27" t="e" cm="1">
        <f t="array" aca="1" ref="N78" ca="1">IF(H78="",_xlfn.LET(
    _xlpm.vals,_xlfn._xlws.FILTER($I$4:I77,$I$4:I77&lt;&gt;"",""),
    _xlpm.avgJ,IF(COUNTA(_xlpm.vals)=0,0,AVERAGE(_xlfn.TAKE(_xlpm.vals,-MIN(7,ROWS(_xlpm.vals))))),
    _xlpm.addship,IF(M78="",0,M78),
    IF(
        AND(H77="",H78=""),
        N77-_xlpm.avgJ+_xlpm.addship,
        IF(
            H78="",
            H77-_xlpm.avgJ+_xlpm.addship,
            ""
        )
    )
),H78)</f>
        <v>#NAME?</v>
      </c>
      <c r="O78" s="27" t="str">
        <f t="shared" ca="1" si="9"/>
        <v/>
      </c>
      <c r="P78" s="27" t="e" cm="1">
        <f t="array" aca="1" ref="P78" ca="1">IF(J78="",_xlfn.LET(
    _xlpm.vals,_xlfn._xlws.FILTER($K$4:K77,$K$4:K77&lt;&gt;"",""),
    _xlpm.avgJ,IF(COUNTA(_xlpm.vals)=0,0,AVERAGE(_xlfn.TAKE(_xlpm.vals,-MIN(7,ROWS(_xlpm.vals))))),
    _xlpm.addship,IF(O78="",0,O78),
    IF(
        AND(J77="",J78=""),
        P77-_xlpm.avgJ+_xlpm.addship,
        IF(
            J78="",
            J77-_xlpm.avgJ+_xlpm.addship,
            ""
        )
    )
),J78)</f>
        <v>#NAME?</v>
      </c>
      <c r="Q78" s="4" t="e">
        <f t="shared" ca="1" si="10"/>
        <v>#NAME?</v>
      </c>
      <c r="Z78" s="51">
        <f t="shared" si="11"/>
        <v>26800</v>
      </c>
      <c r="AA78" s="51">
        <f t="shared" si="12"/>
        <v>357582</v>
      </c>
      <c r="AB78" s="51">
        <f t="shared" si="13"/>
        <v>16165</v>
      </c>
      <c r="AC78" s="51">
        <f t="shared" si="14"/>
        <v>289500</v>
      </c>
    </row>
    <row r="79" spans="7:29" ht="18" customHeight="1" x14ac:dyDescent="0.3">
      <c r="G79" s="37">
        <f t="shared" si="15"/>
        <v>46173</v>
      </c>
      <c r="H79" s="32"/>
      <c r="I79" s="32"/>
      <c r="J79" s="32"/>
      <c r="K79" s="32"/>
      <c r="M79" s="27" t="str">
        <f t="shared" ca="1" si="8"/>
        <v/>
      </c>
      <c r="N79" s="27" t="e" cm="1">
        <f t="array" aca="1" ref="N79" ca="1">IF(H79="",_xlfn.LET(
    _xlpm.vals,_xlfn._xlws.FILTER($I$4:I78,$I$4:I78&lt;&gt;"",""),
    _xlpm.avgJ,IF(COUNTA(_xlpm.vals)=0,0,AVERAGE(_xlfn.TAKE(_xlpm.vals,-MIN(7,ROWS(_xlpm.vals))))),
    _xlpm.addship,IF(M79="",0,M79),
    IF(
        AND(H78="",H79=""),
        N78-_xlpm.avgJ+_xlpm.addship,
        IF(
            H79="",
            H78-_xlpm.avgJ+_xlpm.addship,
            ""
        )
    )
),H79)</f>
        <v>#NAME?</v>
      </c>
      <c r="O79" s="27" t="str">
        <f t="shared" ca="1" si="9"/>
        <v/>
      </c>
      <c r="P79" s="27" t="e" cm="1">
        <f t="array" aca="1" ref="P79" ca="1">IF(J79="",_xlfn.LET(
    _xlpm.vals,_xlfn._xlws.FILTER($K$4:K78,$K$4:K78&lt;&gt;"",""),
    _xlpm.avgJ,IF(COUNTA(_xlpm.vals)=0,0,AVERAGE(_xlfn.TAKE(_xlpm.vals,-MIN(7,ROWS(_xlpm.vals))))),
    _xlpm.addship,IF(O79="",0,O79),
    IF(
        AND(J78="",J79=""),
        P78-_xlpm.avgJ+_xlpm.addship,
        IF(
            J79="",
            J78-_xlpm.avgJ+_xlpm.addship,
            ""
        )
    )
),J79)</f>
        <v>#NAME?</v>
      </c>
      <c r="Q79" s="4" t="e">
        <f t="shared" ca="1" si="10"/>
        <v>#NAME?</v>
      </c>
      <c r="Z79" s="51">
        <f t="shared" si="11"/>
        <v>26800</v>
      </c>
      <c r="AA79" s="51">
        <f t="shared" si="12"/>
        <v>357582</v>
      </c>
      <c r="AB79" s="51">
        <f t="shared" si="13"/>
        <v>16165</v>
      </c>
      <c r="AC79" s="51">
        <f t="shared" si="14"/>
        <v>289500</v>
      </c>
    </row>
    <row r="80" spans="7:29" ht="18" customHeight="1" x14ac:dyDescent="0.3">
      <c r="G80" s="37">
        <f t="shared" si="15"/>
        <v>46174</v>
      </c>
      <c r="H80" s="32"/>
      <c r="I80" s="32"/>
      <c r="J80" s="32"/>
      <c r="K80" s="32"/>
      <c r="M80" s="27" t="str">
        <f t="shared" ca="1" si="8"/>
        <v/>
      </c>
      <c r="N80" s="27" t="e" cm="1">
        <f t="array" aca="1" ref="N80" ca="1">IF(H80="",_xlfn.LET(
    _xlpm.vals,_xlfn._xlws.FILTER($I$4:I79,$I$4:I79&lt;&gt;"",""),
    _xlpm.avgJ,IF(COUNTA(_xlpm.vals)=0,0,AVERAGE(_xlfn.TAKE(_xlpm.vals,-MIN(7,ROWS(_xlpm.vals))))),
    _xlpm.addship,IF(M80="",0,M80),
    IF(
        AND(H79="",H80=""),
        N79-_xlpm.avgJ+_xlpm.addship,
        IF(
            H80="",
            H79-_xlpm.avgJ+_xlpm.addship,
            ""
        )
    )
),H80)</f>
        <v>#NAME?</v>
      </c>
      <c r="O80" s="27" t="str">
        <f t="shared" ca="1" si="9"/>
        <v/>
      </c>
      <c r="P80" s="27" t="e" cm="1">
        <f t="array" aca="1" ref="P80" ca="1">IF(J80="",_xlfn.LET(
    _xlpm.vals,_xlfn._xlws.FILTER($K$4:K79,$K$4:K79&lt;&gt;"",""),
    _xlpm.avgJ,IF(COUNTA(_xlpm.vals)=0,0,AVERAGE(_xlfn.TAKE(_xlpm.vals,-MIN(7,ROWS(_xlpm.vals))))),
    _xlpm.addship,IF(O80="",0,O80),
    IF(
        AND(J79="",J80=""),
        P79-_xlpm.avgJ+_xlpm.addship,
        IF(
            J80="",
            J79-_xlpm.avgJ+_xlpm.addship,
            ""
        )
    )
),J80)</f>
        <v>#NAME?</v>
      </c>
      <c r="Q80" s="4" t="e">
        <f t="shared" ca="1" si="10"/>
        <v>#NAME?</v>
      </c>
      <c r="Z80" s="51">
        <f t="shared" si="11"/>
        <v>26800</v>
      </c>
      <c r="AA80" s="51">
        <f t="shared" si="12"/>
        <v>357582</v>
      </c>
      <c r="AB80" s="51">
        <f t="shared" si="13"/>
        <v>16165</v>
      </c>
      <c r="AC80" s="51">
        <f t="shared" si="14"/>
        <v>289500</v>
      </c>
    </row>
    <row r="81" spans="7:29" ht="18" customHeight="1" x14ac:dyDescent="0.3">
      <c r="G81" s="37">
        <f t="shared" si="15"/>
        <v>46175</v>
      </c>
      <c r="H81" s="32"/>
      <c r="I81" s="32"/>
      <c r="J81" s="32"/>
      <c r="K81" s="32"/>
      <c r="M81" s="27" t="str">
        <f t="shared" ca="1" si="8"/>
        <v/>
      </c>
      <c r="N81" s="27" t="e" cm="1">
        <f t="array" aca="1" ref="N81" ca="1">IF(H81="",_xlfn.LET(
    _xlpm.vals,_xlfn._xlws.FILTER($I$4:I80,$I$4:I80&lt;&gt;"",""),
    _xlpm.avgJ,IF(COUNTA(_xlpm.vals)=0,0,AVERAGE(_xlfn.TAKE(_xlpm.vals,-MIN(7,ROWS(_xlpm.vals))))),
    _xlpm.addship,IF(M81="",0,M81),
    IF(
        AND(H80="",H81=""),
        N80-_xlpm.avgJ+_xlpm.addship,
        IF(
            H81="",
            H80-_xlpm.avgJ+_xlpm.addship,
            ""
        )
    )
),H81)</f>
        <v>#NAME?</v>
      </c>
      <c r="O81" s="27" t="str">
        <f t="shared" ca="1" si="9"/>
        <v/>
      </c>
      <c r="P81" s="27" t="e" cm="1">
        <f t="array" aca="1" ref="P81" ca="1">IF(J81="",_xlfn.LET(
    _xlpm.vals,_xlfn._xlws.FILTER($K$4:K80,$K$4:K80&lt;&gt;"",""),
    _xlpm.avgJ,IF(COUNTA(_xlpm.vals)=0,0,AVERAGE(_xlfn.TAKE(_xlpm.vals,-MIN(7,ROWS(_xlpm.vals))))),
    _xlpm.addship,IF(O81="",0,O81),
    IF(
        AND(J80="",J81=""),
        P80-_xlpm.avgJ+_xlpm.addship,
        IF(
            J81="",
            J80-_xlpm.avgJ+_xlpm.addship,
            ""
        )
    )
),J81)</f>
        <v>#NAME?</v>
      </c>
      <c r="Q81" s="4" t="e">
        <f t="shared" ca="1" si="10"/>
        <v>#NAME?</v>
      </c>
      <c r="Z81" s="51">
        <f t="shared" si="11"/>
        <v>26800</v>
      </c>
      <c r="AA81" s="51">
        <f t="shared" si="12"/>
        <v>357582</v>
      </c>
      <c r="AB81" s="51">
        <f t="shared" si="13"/>
        <v>16165</v>
      </c>
      <c r="AC81" s="51">
        <f t="shared" si="14"/>
        <v>289500</v>
      </c>
    </row>
    <row r="82" spans="7:29" ht="18" customHeight="1" x14ac:dyDescent="0.3">
      <c r="G82" s="37">
        <f t="shared" si="15"/>
        <v>46176</v>
      </c>
      <c r="H82" s="32"/>
      <c r="I82" s="32"/>
      <c r="J82" s="32"/>
      <c r="K82" s="32"/>
      <c r="M82" s="27" t="str">
        <f t="shared" ca="1" si="8"/>
        <v/>
      </c>
      <c r="N82" s="27" t="e" cm="1">
        <f t="array" aca="1" ref="N82" ca="1">IF(H82="",_xlfn.LET(
    _xlpm.vals,_xlfn._xlws.FILTER($I$4:I81,$I$4:I81&lt;&gt;"",""),
    _xlpm.avgJ,IF(COUNTA(_xlpm.vals)=0,0,AVERAGE(_xlfn.TAKE(_xlpm.vals,-MIN(7,ROWS(_xlpm.vals))))),
    _xlpm.addship,IF(M82="",0,M82),
    IF(
        AND(H81="",H82=""),
        N81-_xlpm.avgJ+_xlpm.addship,
        IF(
            H82="",
            H81-_xlpm.avgJ+_xlpm.addship,
            ""
        )
    )
),H82)</f>
        <v>#NAME?</v>
      </c>
      <c r="O82" s="27" t="str">
        <f t="shared" ca="1" si="9"/>
        <v/>
      </c>
      <c r="P82" s="27" t="e" cm="1">
        <f t="array" aca="1" ref="P82" ca="1">IF(J82="",_xlfn.LET(
    _xlpm.vals,_xlfn._xlws.FILTER($K$4:K81,$K$4:K81&lt;&gt;"",""),
    _xlpm.avgJ,IF(COUNTA(_xlpm.vals)=0,0,AVERAGE(_xlfn.TAKE(_xlpm.vals,-MIN(7,ROWS(_xlpm.vals))))),
    _xlpm.addship,IF(O82="",0,O82),
    IF(
        AND(J81="",J82=""),
        P81-_xlpm.avgJ+_xlpm.addship,
        IF(
            J82="",
            J81-_xlpm.avgJ+_xlpm.addship,
            ""
        )
    )
),J82)</f>
        <v>#NAME?</v>
      </c>
      <c r="Q82" s="4" t="e">
        <f t="shared" ca="1" si="10"/>
        <v>#NAME?</v>
      </c>
      <c r="Z82" s="51">
        <f t="shared" si="11"/>
        <v>26800</v>
      </c>
      <c r="AA82" s="51">
        <f t="shared" si="12"/>
        <v>357582</v>
      </c>
      <c r="AB82" s="51">
        <f t="shared" si="13"/>
        <v>16165</v>
      </c>
      <c r="AC82" s="51">
        <f t="shared" si="14"/>
        <v>289500</v>
      </c>
    </row>
    <row r="83" spans="7:29" ht="18" customHeight="1" x14ac:dyDescent="0.3">
      <c r="G83" s="37">
        <f t="shared" si="15"/>
        <v>46177</v>
      </c>
      <c r="H83" s="32"/>
      <c r="I83" s="32"/>
      <c r="J83" s="32"/>
      <c r="K83" s="32"/>
      <c r="M83" s="27" t="str">
        <f t="shared" ca="1" si="8"/>
        <v/>
      </c>
      <c r="N83" s="27" t="e" cm="1">
        <f t="array" aca="1" ref="N83" ca="1">IF(H83="",_xlfn.LET(
    _xlpm.vals,_xlfn._xlws.FILTER($I$4:I82,$I$4:I82&lt;&gt;"",""),
    _xlpm.avgJ,IF(COUNTA(_xlpm.vals)=0,0,AVERAGE(_xlfn.TAKE(_xlpm.vals,-MIN(7,ROWS(_xlpm.vals))))),
    _xlpm.addship,IF(M83="",0,M83),
    IF(
        AND(H82="",H83=""),
        N82-_xlpm.avgJ+_xlpm.addship,
        IF(
            H83="",
            H82-_xlpm.avgJ+_xlpm.addship,
            ""
        )
    )
),H83)</f>
        <v>#NAME?</v>
      </c>
      <c r="O83" s="27" t="str">
        <f t="shared" ca="1" si="9"/>
        <v/>
      </c>
      <c r="P83" s="27" t="e" cm="1">
        <f t="array" aca="1" ref="P83" ca="1">IF(J83="",_xlfn.LET(
    _xlpm.vals,_xlfn._xlws.FILTER($K$4:K82,$K$4:K82&lt;&gt;"",""),
    _xlpm.avgJ,IF(COUNTA(_xlpm.vals)=0,0,AVERAGE(_xlfn.TAKE(_xlpm.vals,-MIN(7,ROWS(_xlpm.vals))))),
    _xlpm.addship,IF(O83="",0,O83),
    IF(
        AND(J82="",J83=""),
        P82-_xlpm.avgJ+_xlpm.addship,
        IF(
            J83="",
            J82-_xlpm.avgJ+_xlpm.addship,
            ""
        )
    )
),J83)</f>
        <v>#NAME?</v>
      </c>
      <c r="Q83" s="4" t="e">
        <f t="shared" ca="1" si="10"/>
        <v>#NAME?</v>
      </c>
      <c r="Z83" s="51">
        <f t="shared" si="11"/>
        <v>26800</v>
      </c>
      <c r="AA83" s="51">
        <f t="shared" si="12"/>
        <v>357582</v>
      </c>
      <c r="AB83" s="51">
        <f t="shared" si="13"/>
        <v>16165</v>
      </c>
      <c r="AC83" s="51">
        <f t="shared" si="14"/>
        <v>289500</v>
      </c>
    </row>
    <row r="84" spans="7:29" ht="18" customHeight="1" x14ac:dyDescent="0.3">
      <c r="G84" s="37">
        <f t="shared" si="15"/>
        <v>46178</v>
      </c>
      <c r="H84" s="32"/>
      <c r="I84" s="32"/>
      <c r="J84" s="32"/>
      <c r="K84" s="32"/>
      <c r="M84" s="27" t="str">
        <f t="shared" ca="1" si="8"/>
        <v/>
      </c>
      <c r="N84" s="27" t="e" cm="1">
        <f t="array" aca="1" ref="N84" ca="1">IF(H84="",_xlfn.LET(
    _xlpm.vals,_xlfn._xlws.FILTER($I$4:I83,$I$4:I83&lt;&gt;"",""),
    _xlpm.avgJ,IF(COUNTA(_xlpm.vals)=0,0,AVERAGE(_xlfn.TAKE(_xlpm.vals,-MIN(7,ROWS(_xlpm.vals))))),
    _xlpm.addship,IF(M84="",0,M84),
    IF(
        AND(H83="",H84=""),
        N83-_xlpm.avgJ+_xlpm.addship,
        IF(
            H84="",
            H83-_xlpm.avgJ+_xlpm.addship,
            ""
        )
    )
),H84)</f>
        <v>#NAME?</v>
      </c>
      <c r="O84" s="27" t="str">
        <f t="shared" ca="1" si="9"/>
        <v/>
      </c>
      <c r="P84" s="27" t="e" cm="1">
        <f t="array" aca="1" ref="P84" ca="1">IF(J84="",_xlfn.LET(
    _xlpm.vals,_xlfn._xlws.FILTER($K$4:K83,$K$4:K83&lt;&gt;"",""),
    _xlpm.avgJ,IF(COUNTA(_xlpm.vals)=0,0,AVERAGE(_xlfn.TAKE(_xlpm.vals,-MIN(7,ROWS(_xlpm.vals))))),
    _xlpm.addship,IF(O84="",0,O84),
    IF(
        AND(J83="",J84=""),
        P83-_xlpm.avgJ+_xlpm.addship,
        IF(
            J84="",
            J83-_xlpm.avgJ+_xlpm.addship,
            ""
        )
    )
),J84)</f>
        <v>#NAME?</v>
      </c>
      <c r="Q84" s="4" t="e">
        <f t="shared" ca="1" si="10"/>
        <v>#NAME?</v>
      </c>
      <c r="Z84" s="51">
        <f t="shared" si="11"/>
        <v>26800</v>
      </c>
      <c r="AA84" s="51">
        <f t="shared" si="12"/>
        <v>357582</v>
      </c>
      <c r="AB84" s="51">
        <f t="shared" si="13"/>
        <v>16165</v>
      </c>
      <c r="AC84" s="51">
        <f t="shared" si="14"/>
        <v>289500</v>
      </c>
    </row>
    <row r="85" spans="7:29" ht="18" customHeight="1" x14ac:dyDescent="0.3">
      <c r="G85" s="37">
        <f t="shared" si="15"/>
        <v>46179</v>
      </c>
      <c r="H85" s="32"/>
      <c r="I85" s="32"/>
      <c r="J85" s="32"/>
      <c r="K85" s="32"/>
      <c r="M85" s="27" t="str">
        <f t="shared" ca="1" si="8"/>
        <v/>
      </c>
      <c r="N85" s="27" t="e" cm="1">
        <f t="array" aca="1" ref="N85" ca="1">IF(H85="",_xlfn.LET(
    _xlpm.vals,_xlfn._xlws.FILTER($I$4:I84,$I$4:I84&lt;&gt;"",""),
    _xlpm.avgJ,IF(COUNTA(_xlpm.vals)=0,0,AVERAGE(_xlfn.TAKE(_xlpm.vals,-MIN(7,ROWS(_xlpm.vals))))),
    _xlpm.addship,IF(M85="",0,M85),
    IF(
        AND(H84="",H85=""),
        N84-_xlpm.avgJ+_xlpm.addship,
        IF(
            H85="",
            H84-_xlpm.avgJ+_xlpm.addship,
            ""
        )
    )
),H85)</f>
        <v>#NAME?</v>
      </c>
      <c r="O85" s="27" t="str">
        <f t="shared" ca="1" si="9"/>
        <v/>
      </c>
      <c r="P85" s="27" t="e" cm="1">
        <f t="array" aca="1" ref="P85" ca="1">IF(J85="",_xlfn.LET(
    _xlpm.vals,_xlfn._xlws.FILTER($K$4:K84,$K$4:K84&lt;&gt;"",""),
    _xlpm.avgJ,IF(COUNTA(_xlpm.vals)=0,0,AVERAGE(_xlfn.TAKE(_xlpm.vals,-MIN(7,ROWS(_xlpm.vals))))),
    _xlpm.addship,IF(O85="",0,O85),
    IF(
        AND(J84="",J85=""),
        P84-_xlpm.avgJ+_xlpm.addship,
        IF(
            J85="",
            J84-_xlpm.avgJ+_xlpm.addship,
            ""
        )
    )
),J85)</f>
        <v>#NAME?</v>
      </c>
      <c r="Q85" s="4" t="e">
        <f t="shared" ca="1" si="10"/>
        <v>#NAME?</v>
      </c>
      <c r="Z85" s="51">
        <f t="shared" si="11"/>
        <v>26800</v>
      </c>
      <c r="AA85" s="51">
        <f t="shared" si="12"/>
        <v>357582</v>
      </c>
      <c r="AB85" s="51">
        <f t="shared" si="13"/>
        <v>16165</v>
      </c>
      <c r="AC85" s="51">
        <f t="shared" si="14"/>
        <v>289500</v>
      </c>
    </row>
    <row r="86" spans="7:29" ht="18" customHeight="1" x14ac:dyDescent="0.3">
      <c r="G86" s="37">
        <f t="shared" si="15"/>
        <v>46180</v>
      </c>
      <c r="H86" s="32"/>
      <c r="I86" s="32"/>
      <c r="J86" s="32"/>
      <c r="K86" s="32"/>
      <c r="M86" s="27" t="str">
        <f t="shared" ca="1" si="8"/>
        <v/>
      </c>
      <c r="N86" s="27" t="e" cm="1">
        <f t="array" aca="1" ref="N86" ca="1">IF(H86="",_xlfn.LET(
    _xlpm.vals,_xlfn._xlws.FILTER($I$4:I85,$I$4:I85&lt;&gt;"",""),
    _xlpm.avgJ,IF(COUNTA(_xlpm.vals)=0,0,AVERAGE(_xlfn.TAKE(_xlpm.vals,-MIN(7,ROWS(_xlpm.vals))))),
    _xlpm.addship,IF(M86="",0,M86),
    IF(
        AND(H85="",H86=""),
        N85-_xlpm.avgJ+_xlpm.addship,
        IF(
            H86="",
            H85-_xlpm.avgJ+_xlpm.addship,
            ""
        )
    )
),H86)</f>
        <v>#NAME?</v>
      </c>
      <c r="O86" s="27" t="str">
        <f t="shared" ca="1" si="9"/>
        <v/>
      </c>
      <c r="P86" s="27" t="e" cm="1">
        <f t="array" aca="1" ref="P86" ca="1">IF(J86="",_xlfn.LET(
    _xlpm.vals,_xlfn._xlws.FILTER($K$4:K85,$K$4:K85&lt;&gt;"",""),
    _xlpm.avgJ,IF(COUNTA(_xlpm.vals)=0,0,AVERAGE(_xlfn.TAKE(_xlpm.vals,-MIN(7,ROWS(_xlpm.vals))))),
    _xlpm.addship,IF(O86="",0,O86),
    IF(
        AND(J85="",J86=""),
        P85-_xlpm.avgJ+_xlpm.addship,
        IF(
            J86="",
            J85-_xlpm.avgJ+_xlpm.addship,
            ""
        )
    )
),J86)</f>
        <v>#NAME?</v>
      </c>
      <c r="Q86" s="4" t="e">
        <f t="shared" ca="1" si="10"/>
        <v>#NAME?</v>
      </c>
      <c r="Z86" s="51">
        <f t="shared" si="11"/>
        <v>26800</v>
      </c>
      <c r="AA86" s="51">
        <f t="shared" si="12"/>
        <v>357582</v>
      </c>
      <c r="AB86" s="51">
        <f t="shared" si="13"/>
        <v>16165</v>
      </c>
      <c r="AC86" s="51">
        <f t="shared" si="14"/>
        <v>289500</v>
      </c>
    </row>
    <row r="87" spans="7:29" ht="18" customHeight="1" x14ac:dyDescent="0.3">
      <c r="G87" s="37">
        <f t="shared" si="15"/>
        <v>46181</v>
      </c>
      <c r="H87" s="32"/>
      <c r="I87" s="32"/>
      <c r="J87" s="32"/>
      <c r="K87" s="32"/>
      <c r="M87" s="27" t="str">
        <f t="shared" ca="1" si="8"/>
        <v/>
      </c>
      <c r="N87" s="27" t="e" cm="1">
        <f t="array" aca="1" ref="N87" ca="1">IF(H87="",_xlfn.LET(
    _xlpm.vals,_xlfn._xlws.FILTER($I$4:I86,$I$4:I86&lt;&gt;"",""),
    _xlpm.avgJ,IF(COUNTA(_xlpm.vals)=0,0,AVERAGE(_xlfn.TAKE(_xlpm.vals,-MIN(7,ROWS(_xlpm.vals))))),
    _xlpm.addship,IF(M87="",0,M87),
    IF(
        AND(H86="",H87=""),
        N86-_xlpm.avgJ+_xlpm.addship,
        IF(
            H87="",
            H86-_xlpm.avgJ+_xlpm.addship,
            ""
        )
    )
),H87)</f>
        <v>#NAME?</v>
      </c>
      <c r="O87" s="27" t="str">
        <f t="shared" ca="1" si="9"/>
        <v/>
      </c>
      <c r="P87" s="27" t="e" cm="1">
        <f t="array" aca="1" ref="P87" ca="1">IF(J87="",_xlfn.LET(
    _xlpm.vals,_xlfn._xlws.FILTER($K$4:K86,$K$4:K86&lt;&gt;"",""),
    _xlpm.avgJ,IF(COUNTA(_xlpm.vals)=0,0,AVERAGE(_xlfn.TAKE(_xlpm.vals,-MIN(7,ROWS(_xlpm.vals))))),
    _xlpm.addship,IF(O87="",0,O87),
    IF(
        AND(J86="",J87=""),
        P86-_xlpm.avgJ+_xlpm.addship,
        IF(
            J87="",
            J86-_xlpm.avgJ+_xlpm.addship,
            ""
        )
    )
),J87)</f>
        <v>#NAME?</v>
      </c>
      <c r="Q87" s="4" t="e">
        <f t="shared" ca="1" si="10"/>
        <v>#NAME?</v>
      </c>
      <c r="Z87" s="51">
        <f t="shared" si="11"/>
        <v>26800</v>
      </c>
      <c r="AA87" s="51">
        <f t="shared" si="12"/>
        <v>357582</v>
      </c>
      <c r="AB87" s="51">
        <f t="shared" si="13"/>
        <v>16165</v>
      </c>
      <c r="AC87" s="51">
        <f t="shared" si="14"/>
        <v>289500</v>
      </c>
    </row>
    <row r="88" spans="7:29" ht="18" customHeight="1" x14ac:dyDescent="0.3">
      <c r="G88" s="37">
        <f t="shared" si="15"/>
        <v>46182</v>
      </c>
      <c r="H88" s="32"/>
      <c r="I88" s="32"/>
      <c r="J88" s="32"/>
      <c r="K88" s="32"/>
      <c r="M88" s="27" t="str">
        <f t="shared" ca="1" si="8"/>
        <v/>
      </c>
      <c r="N88" s="27" t="e" cm="1">
        <f t="array" aca="1" ref="N88" ca="1">IF(H88="",_xlfn.LET(
    _xlpm.vals,_xlfn._xlws.FILTER($I$4:I87,$I$4:I87&lt;&gt;"",""),
    _xlpm.avgJ,IF(COUNTA(_xlpm.vals)=0,0,AVERAGE(_xlfn.TAKE(_xlpm.vals,-MIN(7,ROWS(_xlpm.vals))))),
    _xlpm.addship,IF(M88="",0,M88),
    IF(
        AND(H87="",H88=""),
        N87-_xlpm.avgJ+_xlpm.addship,
        IF(
            H88="",
            H87-_xlpm.avgJ+_xlpm.addship,
            ""
        )
    )
),H88)</f>
        <v>#NAME?</v>
      </c>
      <c r="O88" s="27" t="str">
        <f t="shared" ca="1" si="9"/>
        <v/>
      </c>
      <c r="P88" s="27" t="e" cm="1">
        <f t="array" aca="1" ref="P88" ca="1">IF(J88="",_xlfn.LET(
    _xlpm.vals,_xlfn._xlws.FILTER($K$4:K87,$K$4:K87&lt;&gt;"",""),
    _xlpm.avgJ,IF(COUNTA(_xlpm.vals)=0,0,AVERAGE(_xlfn.TAKE(_xlpm.vals,-MIN(7,ROWS(_xlpm.vals))))),
    _xlpm.addship,IF(O88="",0,O88),
    IF(
        AND(J87="",J88=""),
        P87-_xlpm.avgJ+_xlpm.addship,
        IF(
            J88="",
            J87-_xlpm.avgJ+_xlpm.addship,
            ""
        )
    )
),J88)</f>
        <v>#NAME?</v>
      </c>
      <c r="Q88" s="4" t="e">
        <f t="shared" ca="1" si="10"/>
        <v>#NAME?</v>
      </c>
      <c r="Z88" s="51">
        <f t="shared" si="11"/>
        <v>26800</v>
      </c>
      <c r="AA88" s="51">
        <f t="shared" si="12"/>
        <v>357582</v>
      </c>
      <c r="AB88" s="51">
        <f t="shared" si="13"/>
        <v>16165</v>
      </c>
      <c r="AC88" s="51">
        <f t="shared" si="14"/>
        <v>289500</v>
      </c>
    </row>
    <row r="89" spans="7:29" ht="18" customHeight="1" x14ac:dyDescent="0.3">
      <c r="G89" s="37">
        <f t="shared" si="15"/>
        <v>46183</v>
      </c>
      <c r="H89" s="32"/>
      <c r="I89" s="32"/>
      <c r="J89" s="32"/>
      <c r="K89" s="32"/>
      <c r="M89" s="27" t="str">
        <f t="shared" ca="1" si="8"/>
        <v/>
      </c>
      <c r="N89" s="27" t="e" cm="1">
        <f t="array" aca="1" ref="N89" ca="1">IF(H89="",_xlfn.LET(
    _xlpm.vals,_xlfn._xlws.FILTER($I$4:I88,$I$4:I88&lt;&gt;"",""),
    _xlpm.avgJ,IF(COUNTA(_xlpm.vals)=0,0,AVERAGE(_xlfn.TAKE(_xlpm.vals,-MIN(7,ROWS(_xlpm.vals))))),
    _xlpm.addship,IF(M89="",0,M89),
    IF(
        AND(H88="",H89=""),
        N88-_xlpm.avgJ+_xlpm.addship,
        IF(
            H89="",
            H88-_xlpm.avgJ+_xlpm.addship,
            ""
        )
    )
),H89)</f>
        <v>#NAME?</v>
      </c>
      <c r="O89" s="27" t="str">
        <f t="shared" ca="1" si="9"/>
        <v/>
      </c>
      <c r="P89" s="27" t="e" cm="1">
        <f t="array" aca="1" ref="P89" ca="1">IF(J89="",_xlfn.LET(
    _xlpm.vals,_xlfn._xlws.FILTER($K$4:K88,$K$4:K88&lt;&gt;"",""),
    _xlpm.avgJ,IF(COUNTA(_xlpm.vals)=0,0,AVERAGE(_xlfn.TAKE(_xlpm.vals,-MIN(7,ROWS(_xlpm.vals))))),
    _xlpm.addship,IF(O89="",0,O89),
    IF(
        AND(J88="",J89=""),
        P88-_xlpm.avgJ+_xlpm.addship,
        IF(
            J89="",
            J88-_xlpm.avgJ+_xlpm.addship,
            ""
        )
    )
),J89)</f>
        <v>#NAME?</v>
      </c>
      <c r="Q89" s="4" t="e">
        <f t="shared" ca="1" si="10"/>
        <v>#NAME?</v>
      </c>
      <c r="Z89" s="51">
        <f t="shared" si="11"/>
        <v>26800</v>
      </c>
      <c r="AA89" s="51">
        <f t="shared" si="12"/>
        <v>357582</v>
      </c>
      <c r="AB89" s="51">
        <f t="shared" si="13"/>
        <v>16165</v>
      </c>
      <c r="AC89" s="51">
        <f t="shared" si="14"/>
        <v>289500</v>
      </c>
    </row>
    <row r="90" spans="7:29" ht="18" customHeight="1" x14ac:dyDescent="0.3">
      <c r="G90" s="37">
        <f t="shared" si="15"/>
        <v>46184</v>
      </c>
      <c r="H90" s="32"/>
      <c r="I90" s="32"/>
      <c r="J90" s="32"/>
      <c r="K90" s="32"/>
      <c r="M90" s="27" t="str">
        <f t="shared" ca="1" si="8"/>
        <v/>
      </c>
      <c r="N90" s="27" t="e" cm="1">
        <f t="array" aca="1" ref="N90" ca="1">IF(H90="",_xlfn.LET(
    _xlpm.vals,_xlfn._xlws.FILTER($I$4:I89,$I$4:I89&lt;&gt;"",""),
    _xlpm.avgJ,IF(COUNTA(_xlpm.vals)=0,0,AVERAGE(_xlfn.TAKE(_xlpm.vals,-MIN(7,ROWS(_xlpm.vals))))),
    _xlpm.addship,IF(M90="",0,M90),
    IF(
        AND(H89="",H90=""),
        N89-_xlpm.avgJ+_xlpm.addship,
        IF(
            H90="",
            H89-_xlpm.avgJ+_xlpm.addship,
            ""
        )
    )
),H90)</f>
        <v>#NAME?</v>
      </c>
      <c r="O90" s="27" t="str">
        <f t="shared" ca="1" si="9"/>
        <v/>
      </c>
      <c r="P90" s="27" t="e" cm="1">
        <f t="array" aca="1" ref="P90" ca="1">IF(J90="",_xlfn.LET(
    _xlpm.vals,_xlfn._xlws.FILTER($K$4:K89,$K$4:K89&lt;&gt;"",""),
    _xlpm.avgJ,IF(COUNTA(_xlpm.vals)=0,0,AVERAGE(_xlfn.TAKE(_xlpm.vals,-MIN(7,ROWS(_xlpm.vals))))),
    _xlpm.addship,IF(O90="",0,O90),
    IF(
        AND(J89="",J90=""),
        P89-_xlpm.avgJ+_xlpm.addship,
        IF(
            J90="",
            J89-_xlpm.avgJ+_xlpm.addship,
            ""
        )
    )
),J90)</f>
        <v>#NAME?</v>
      </c>
      <c r="Q90" s="4" t="e">
        <f t="shared" ca="1" si="10"/>
        <v>#NAME?</v>
      </c>
      <c r="Z90" s="51">
        <f t="shared" si="11"/>
        <v>26800</v>
      </c>
      <c r="AA90" s="51">
        <f t="shared" si="12"/>
        <v>357582</v>
      </c>
      <c r="AB90" s="51">
        <f t="shared" si="13"/>
        <v>16165</v>
      </c>
      <c r="AC90" s="51">
        <f t="shared" si="14"/>
        <v>289500</v>
      </c>
    </row>
    <row r="91" spans="7:29" ht="18" customHeight="1" x14ac:dyDescent="0.3">
      <c r="G91" s="37">
        <f t="shared" si="15"/>
        <v>46185</v>
      </c>
      <c r="H91" s="32"/>
      <c r="I91" s="32"/>
      <c r="J91" s="32"/>
      <c r="K91" s="32"/>
      <c r="M91" s="27" t="str">
        <f t="shared" ca="1" si="8"/>
        <v/>
      </c>
      <c r="N91" s="27" t="e" cm="1">
        <f t="array" aca="1" ref="N91" ca="1">IF(H91="",_xlfn.LET(
    _xlpm.vals,_xlfn._xlws.FILTER($I$4:I90,$I$4:I90&lt;&gt;"",""),
    _xlpm.avgJ,IF(COUNTA(_xlpm.vals)=0,0,AVERAGE(_xlfn.TAKE(_xlpm.vals,-MIN(7,ROWS(_xlpm.vals))))),
    _xlpm.addship,IF(M91="",0,M91),
    IF(
        AND(H90="",H91=""),
        N90-_xlpm.avgJ+_xlpm.addship,
        IF(
            H91="",
            H90-_xlpm.avgJ+_xlpm.addship,
            ""
        )
    )
),H91)</f>
        <v>#NAME?</v>
      </c>
      <c r="O91" s="27" t="str">
        <f t="shared" ca="1" si="9"/>
        <v/>
      </c>
      <c r="P91" s="27" t="e" cm="1">
        <f t="array" aca="1" ref="P91" ca="1">IF(J91="",_xlfn.LET(
    _xlpm.vals,_xlfn._xlws.FILTER($K$4:K90,$K$4:K90&lt;&gt;"",""),
    _xlpm.avgJ,IF(COUNTA(_xlpm.vals)=0,0,AVERAGE(_xlfn.TAKE(_xlpm.vals,-MIN(7,ROWS(_xlpm.vals))))),
    _xlpm.addship,IF(O91="",0,O91),
    IF(
        AND(J90="",J91=""),
        P90-_xlpm.avgJ+_xlpm.addship,
        IF(
            J91="",
            J90-_xlpm.avgJ+_xlpm.addship,
            ""
        )
    )
),J91)</f>
        <v>#NAME?</v>
      </c>
      <c r="Q91" s="4" t="e">
        <f t="shared" ca="1" si="10"/>
        <v>#NAME?</v>
      </c>
      <c r="Z91" s="51">
        <f t="shared" si="11"/>
        <v>26800</v>
      </c>
      <c r="AA91" s="51">
        <f t="shared" si="12"/>
        <v>357582</v>
      </c>
      <c r="AB91" s="51">
        <f t="shared" si="13"/>
        <v>16165</v>
      </c>
      <c r="AC91" s="51">
        <f t="shared" si="14"/>
        <v>289500</v>
      </c>
    </row>
    <row r="92" spans="7:29" ht="18" customHeight="1" x14ac:dyDescent="0.3">
      <c r="G92" s="37">
        <f t="shared" si="15"/>
        <v>46186</v>
      </c>
      <c r="H92" s="32"/>
      <c r="I92" s="32"/>
      <c r="J92" s="32"/>
      <c r="K92" s="32"/>
      <c r="M92" s="27" t="str">
        <f t="shared" ca="1" si="8"/>
        <v/>
      </c>
      <c r="N92" s="27" t="e" cm="1">
        <f t="array" aca="1" ref="N92" ca="1">IF(H92="",_xlfn.LET(
    _xlpm.vals,_xlfn._xlws.FILTER($I$4:I91,$I$4:I91&lt;&gt;"",""),
    _xlpm.avgJ,IF(COUNTA(_xlpm.vals)=0,0,AVERAGE(_xlfn.TAKE(_xlpm.vals,-MIN(7,ROWS(_xlpm.vals))))),
    _xlpm.addship,IF(M92="",0,M92),
    IF(
        AND(H91="",H92=""),
        N91-_xlpm.avgJ+_xlpm.addship,
        IF(
            H92="",
            H91-_xlpm.avgJ+_xlpm.addship,
            ""
        )
    )
),H92)</f>
        <v>#NAME?</v>
      </c>
      <c r="O92" s="27" t="str">
        <f t="shared" ca="1" si="9"/>
        <v/>
      </c>
      <c r="P92" s="27" t="e" cm="1">
        <f t="array" aca="1" ref="P92" ca="1">IF(J92="",_xlfn.LET(
    _xlpm.vals,_xlfn._xlws.FILTER($K$4:K91,$K$4:K91&lt;&gt;"",""),
    _xlpm.avgJ,IF(COUNTA(_xlpm.vals)=0,0,AVERAGE(_xlfn.TAKE(_xlpm.vals,-MIN(7,ROWS(_xlpm.vals))))),
    _xlpm.addship,IF(O92="",0,O92),
    IF(
        AND(J91="",J92=""),
        P91-_xlpm.avgJ+_xlpm.addship,
        IF(
            J92="",
            J91-_xlpm.avgJ+_xlpm.addship,
            ""
        )
    )
),J92)</f>
        <v>#NAME?</v>
      </c>
      <c r="Q92" s="4" t="e">
        <f t="shared" ca="1" si="10"/>
        <v>#NAME?</v>
      </c>
      <c r="Z92" s="51">
        <f t="shared" si="11"/>
        <v>26800</v>
      </c>
      <c r="AA92" s="51">
        <f t="shared" si="12"/>
        <v>357582</v>
      </c>
      <c r="AB92" s="51">
        <f t="shared" si="13"/>
        <v>16165</v>
      </c>
      <c r="AC92" s="51">
        <f t="shared" si="14"/>
        <v>289500</v>
      </c>
    </row>
    <row r="93" spans="7:29" ht="18" customHeight="1" x14ac:dyDescent="0.3">
      <c r="G93" s="37">
        <f t="shared" si="15"/>
        <v>46187</v>
      </c>
      <c r="H93" s="32"/>
      <c r="I93" s="32"/>
      <c r="J93" s="32"/>
      <c r="K93" s="32"/>
      <c r="M93" s="27" t="str">
        <f t="shared" ca="1" si="8"/>
        <v/>
      </c>
      <c r="N93" s="27" t="e" cm="1">
        <f t="array" aca="1" ref="N93" ca="1">IF(H93="",_xlfn.LET(
    _xlpm.vals,_xlfn._xlws.FILTER($I$4:I92,$I$4:I92&lt;&gt;"",""),
    _xlpm.avgJ,IF(COUNTA(_xlpm.vals)=0,0,AVERAGE(_xlfn.TAKE(_xlpm.vals,-MIN(7,ROWS(_xlpm.vals))))),
    _xlpm.addship,IF(M93="",0,M93),
    IF(
        AND(H92="",H93=""),
        N92-_xlpm.avgJ+_xlpm.addship,
        IF(
            H93="",
            H92-_xlpm.avgJ+_xlpm.addship,
            ""
        )
    )
),H93)</f>
        <v>#NAME?</v>
      </c>
      <c r="O93" s="27" t="str">
        <f t="shared" ca="1" si="9"/>
        <v/>
      </c>
      <c r="P93" s="27" t="e" cm="1">
        <f t="array" aca="1" ref="P93" ca="1">IF(J93="",_xlfn.LET(
    _xlpm.vals,_xlfn._xlws.FILTER($K$4:K92,$K$4:K92&lt;&gt;"",""),
    _xlpm.avgJ,IF(COUNTA(_xlpm.vals)=0,0,AVERAGE(_xlfn.TAKE(_xlpm.vals,-MIN(7,ROWS(_xlpm.vals))))),
    _xlpm.addship,IF(O93="",0,O93),
    IF(
        AND(J92="",J93=""),
        P92-_xlpm.avgJ+_xlpm.addship,
        IF(
            J93="",
            J92-_xlpm.avgJ+_xlpm.addship,
            ""
        )
    )
),J93)</f>
        <v>#NAME?</v>
      </c>
      <c r="Q93" s="4" t="e">
        <f t="shared" ca="1" si="10"/>
        <v>#NAME?</v>
      </c>
      <c r="Z93" s="51">
        <f t="shared" si="11"/>
        <v>26800</v>
      </c>
      <c r="AA93" s="51">
        <f t="shared" si="12"/>
        <v>357582</v>
      </c>
      <c r="AB93" s="51">
        <f t="shared" si="13"/>
        <v>16165</v>
      </c>
      <c r="AC93" s="51">
        <f t="shared" si="14"/>
        <v>289500</v>
      </c>
    </row>
    <row r="94" spans="7:29" ht="18" customHeight="1" x14ac:dyDescent="0.3">
      <c r="G94" s="37">
        <f t="shared" si="15"/>
        <v>46188</v>
      </c>
      <c r="H94" s="32"/>
      <c r="I94" s="32"/>
      <c r="J94" s="32"/>
      <c r="K94" s="32"/>
      <c r="M94" s="27" t="str">
        <f t="shared" ca="1" si="8"/>
        <v/>
      </c>
      <c r="N94" s="27" t="e" cm="1">
        <f t="array" aca="1" ref="N94" ca="1">IF(H94="",_xlfn.LET(
    _xlpm.vals,_xlfn._xlws.FILTER($I$4:I93,$I$4:I93&lt;&gt;"",""),
    _xlpm.avgJ,IF(COUNTA(_xlpm.vals)=0,0,AVERAGE(_xlfn.TAKE(_xlpm.vals,-MIN(7,ROWS(_xlpm.vals))))),
    _xlpm.addship,IF(M94="",0,M94),
    IF(
        AND(H93="",H94=""),
        N93-_xlpm.avgJ+_xlpm.addship,
        IF(
            H94="",
            H93-_xlpm.avgJ+_xlpm.addship,
            ""
        )
    )
),H94)</f>
        <v>#NAME?</v>
      </c>
      <c r="O94" s="27" t="str">
        <f t="shared" ca="1" si="9"/>
        <v/>
      </c>
      <c r="P94" s="27" t="e" cm="1">
        <f t="array" aca="1" ref="P94" ca="1">IF(J94="",_xlfn.LET(
    _xlpm.vals,_xlfn._xlws.FILTER($K$4:K93,$K$4:K93&lt;&gt;"",""),
    _xlpm.avgJ,IF(COUNTA(_xlpm.vals)=0,0,AVERAGE(_xlfn.TAKE(_xlpm.vals,-MIN(7,ROWS(_xlpm.vals))))),
    _xlpm.addship,IF(O94="",0,O94),
    IF(
        AND(J93="",J94=""),
        P93-_xlpm.avgJ+_xlpm.addship,
        IF(
            J94="",
            J93-_xlpm.avgJ+_xlpm.addship,
            ""
        )
    )
),J94)</f>
        <v>#NAME?</v>
      </c>
      <c r="Q94" s="4" t="e">
        <f t="shared" ca="1" si="10"/>
        <v>#NAME?</v>
      </c>
      <c r="Z94" s="51">
        <f t="shared" si="11"/>
        <v>26800</v>
      </c>
      <c r="AA94" s="51">
        <f t="shared" si="12"/>
        <v>357582</v>
      </c>
      <c r="AB94" s="51">
        <f t="shared" si="13"/>
        <v>16165</v>
      </c>
      <c r="AC94" s="51">
        <f t="shared" si="14"/>
        <v>289500</v>
      </c>
    </row>
    <row r="95" spans="7:29" ht="18" customHeight="1" x14ac:dyDescent="0.3">
      <c r="G95" s="37">
        <f t="shared" si="15"/>
        <v>46189</v>
      </c>
      <c r="H95" s="32"/>
      <c r="I95" s="32"/>
      <c r="J95" s="32"/>
      <c r="K95" s="32"/>
      <c r="M95" s="27" t="str">
        <f t="shared" ca="1" si="8"/>
        <v/>
      </c>
      <c r="N95" s="27" t="e" cm="1">
        <f t="array" aca="1" ref="N95" ca="1">IF(H95="",_xlfn.LET(
    _xlpm.vals,_xlfn._xlws.FILTER($I$4:I94,$I$4:I94&lt;&gt;"",""),
    _xlpm.avgJ,IF(COUNTA(_xlpm.vals)=0,0,AVERAGE(_xlfn.TAKE(_xlpm.vals,-MIN(7,ROWS(_xlpm.vals))))),
    _xlpm.addship,IF(M95="",0,M95),
    IF(
        AND(H94="",H95=""),
        N94-_xlpm.avgJ+_xlpm.addship,
        IF(
            H95="",
            H94-_xlpm.avgJ+_xlpm.addship,
            ""
        )
    )
),H95)</f>
        <v>#NAME?</v>
      </c>
      <c r="O95" s="27" t="str">
        <f t="shared" ca="1" si="9"/>
        <v/>
      </c>
      <c r="P95" s="27" t="e" cm="1">
        <f t="array" aca="1" ref="P95" ca="1">IF(J95="",_xlfn.LET(
    _xlpm.vals,_xlfn._xlws.FILTER($K$4:K94,$K$4:K94&lt;&gt;"",""),
    _xlpm.avgJ,IF(COUNTA(_xlpm.vals)=0,0,AVERAGE(_xlfn.TAKE(_xlpm.vals,-MIN(7,ROWS(_xlpm.vals))))),
    _xlpm.addship,IF(O95="",0,O95),
    IF(
        AND(J94="",J95=""),
        P94-_xlpm.avgJ+_xlpm.addship,
        IF(
            J95="",
            J94-_xlpm.avgJ+_xlpm.addship,
            ""
        )
    )
),J95)</f>
        <v>#NAME?</v>
      </c>
      <c r="Q95" s="4" t="e">
        <f t="shared" ca="1" si="10"/>
        <v>#NAME?</v>
      </c>
      <c r="Z95" s="51">
        <f t="shared" si="11"/>
        <v>26800</v>
      </c>
      <c r="AA95" s="51">
        <f t="shared" si="12"/>
        <v>357582</v>
      </c>
      <c r="AB95" s="51">
        <f t="shared" si="13"/>
        <v>16165</v>
      </c>
      <c r="AC95" s="51">
        <f t="shared" si="14"/>
        <v>289500</v>
      </c>
    </row>
    <row r="96" spans="7:29" ht="18" customHeight="1" x14ac:dyDescent="0.3">
      <c r="G96" s="37">
        <f t="shared" si="15"/>
        <v>46190</v>
      </c>
      <c r="H96" s="32"/>
      <c r="I96" s="32"/>
      <c r="J96" s="32"/>
      <c r="K96" s="32"/>
      <c r="M96" s="27" t="str">
        <f t="shared" ca="1" si="8"/>
        <v/>
      </c>
      <c r="N96" s="27" t="e" cm="1">
        <f t="array" aca="1" ref="N96" ca="1">IF(H96="",_xlfn.LET(
    _xlpm.vals,_xlfn._xlws.FILTER($I$4:I95,$I$4:I95&lt;&gt;"",""),
    _xlpm.avgJ,IF(COUNTA(_xlpm.vals)=0,0,AVERAGE(_xlfn.TAKE(_xlpm.vals,-MIN(7,ROWS(_xlpm.vals))))),
    _xlpm.addship,IF(M96="",0,M96),
    IF(
        AND(H95="",H96=""),
        N95-_xlpm.avgJ+_xlpm.addship,
        IF(
            H96="",
            H95-_xlpm.avgJ+_xlpm.addship,
            ""
        )
    )
),H96)</f>
        <v>#NAME?</v>
      </c>
      <c r="O96" s="27" t="str">
        <f t="shared" ca="1" si="9"/>
        <v/>
      </c>
      <c r="P96" s="27" t="e" cm="1">
        <f t="array" aca="1" ref="P96" ca="1">IF(J96="",_xlfn.LET(
    _xlpm.vals,_xlfn._xlws.FILTER($K$4:K95,$K$4:K95&lt;&gt;"",""),
    _xlpm.avgJ,IF(COUNTA(_xlpm.vals)=0,0,AVERAGE(_xlfn.TAKE(_xlpm.vals,-MIN(7,ROWS(_xlpm.vals))))),
    _xlpm.addship,IF(O96="",0,O96),
    IF(
        AND(J95="",J96=""),
        P95-_xlpm.avgJ+_xlpm.addship,
        IF(
            J96="",
            J95-_xlpm.avgJ+_xlpm.addship,
            ""
        )
    )
),J96)</f>
        <v>#NAME?</v>
      </c>
      <c r="Q96" s="4" t="e">
        <f t="shared" ca="1" si="10"/>
        <v>#NAME?</v>
      </c>
      <c r="Z96" s="51">
        <f t="shared" si="11"/>
        <v>26800</v>
      </c>
      <c r="AA96" s="51">
        <f t="shared" si="12"/>
        <v>357582</v>
      </c>
      <c r="AB96" s="51">
        <f t="shared" si="13"/>
        <v>16165</v>
      </c>
      <c r="AC96" s="51">
        <f t="shared" si="14"/>
        <v>289500</v>
      </c>
    </row>
    <row r="97" spans="7:29" ht="18" customHeight="1" x14ac:dyDescent="0.3">
      <c r="G97" s="37">
        <f t="shared" si="15"/>
        <v>46191</v>
      </c>
      <c r="H97" s="32"/>
      <c r="I97" s="32"/>
      <c r="J97" s="32"/>
      <c r="K97" s="32"/>
      <c r="M97" s="27" t="str">
        <f t="shared" ca="1" si="8"/>
        <v/>
      </c>
      <c r="N97" s="27" t="e" cm="1">
        <f t="array" aca="1" ref="N97" ca="1">IF(H97="",_xlfn.LET(
    _xlpm.vals,_xlfn._xlws.FILTER($I$4:I96,$I$4:I96&lt;&gt;"",""),
    _xlpm.avgJ,IF(COUNTA(_xlpm.vals)=0,0,AVERAGE(_xlfn.TAKE(_xlpm.vals,-MIN(7,ROWS(_xlpm.vals))))),
    _xlpm.addship,IF(M97="",0,M97),
    IF(
        AND(H96="",H97=""),
        N96-_xlpm.avgJ+_xlpm.addship,
        IF(
            H97="",
            H96-_xlpm.avgJ+_xlpm.addship,
            ""
        )
    )
),H97)</f>
        <v>#NAME?</v>
      </c>
      <c r="O97" s="27" t="str">
        <f t="shared" ca="1" si="9"/>
        <v/>
      </c>
      <c r="P97" s="27" t="e" cm="1">
        <f t="array" aca="1" ref="P97" ca="1">IF(J97="",_xlfn.LET(
    _xlpm.vals,_xlfn._xlws.FILTER($K$4:K96,$K$4:K96&lt;&gt;"",""),
    _xlpm.avgJ,IF(COUNTA(_xlpm.vals)=0,0,AVERAGE(_xlfn.TAKE(_xlpm.vals,-MIN(7,ROWS(_xlpm.vals))))),
    _xlpm.addship,IF(O97="",0,O97),
    IF(
        AND(J96="",J97=""),
        P96-_xlpm.avgJ+_xlpm.addship,
        IF(
            J97="",
            J96-_xlpm.avgJ+_xlpm.addship,
            ""
        )
    )
),J97)</f>
        <v>#NAME?</v>
      </c>
      <c r="Q97" s="4" t="e">
        <f t="shared" ca="1" si="10"/>
        <v>#NAME?</v>
      </c>
      <c r="Z97" s="51">
        <f t="shared" si="11"/>
        <v>26800</v>
      </c>
      <c r="AA97" s="51">
        <f t="shared" si="12"/>
        <v>357582</v>
      </c>
      <c r="AB97" s="51">
        <f t="shared" si="13"/>
        <v>16165</v>
      </c>
      <c r="AC97" s="51">
        <f t="shared" si="14"/>
        <v>289500</v>
      </c>
    </row>
    <row r="98" spans="7:29" ht="18" customHeight="1" x14ac:dyDescent="0.3">
      <c r="G98" s="37">
        <f t="shared" si="15"/>
        <v>46192</v>
      </c>
      <c r="H98" s="32"/>
      <c r="I98" s="32"/>
      <c r="J98" s="32"/>
      <c r="K98" s="32"/>
      <c r="M98" s="27" t="str">
        <f t="shared" ca="1" si="8"/>
        <v/>
      </c>
      <c r="N98" s="27" t="e" cm="1">
        <f t="array" aca="1" ref="N98" ca="1">IF(H98="",_xlfn.LET(
    _xlpm.vals,_xlfn._xlws.FILTER($I$4:I97,$I$4:I97&lt;&gt;"",""),
    _xlpm.avgJ,IF(COUNTA(_xlpm.vals)=0,0,AVERAGE(_xlfn.TAKE(_xlpm.vals,-MIN(7,ROWS(_xlpm.vals))))),
    _xlpm.addship,IF(M98="",0,M98),
    IF(
        AND(H97="",H98=""),
        N97-_xlpm.avgJ+_xlpm.addship,
        IF(
            H98="",
            H97-_xlpm.avgJ+_xlpm.addship,
            ""
        )
    )
),H98)</f>
        <v>#NAME?</v>
      </c>
      <c r="O98" s="27" t="str">
        <f t="shared" ca="1" si="9"/>
        <v/>
      </c>
      <c r="P98" s="27" t="e" cm="1">
        <f t="array" aca="1" ref="P98" ca="1">IF(J98="",_xlfn.LET(
    _xlpm.vals,_xlfn._xlws.FILTER($K$4:K97,$K$4:K97&lt;&gt;"",""),
    _xlpm.avgJ,IF(COUNTA(_xlpm.vals)=0,0,AVERAGE(_xlfn.TAKE(_xlpm.vals,-MIN(7,ROWS(_xlpm.vals))))),
    _xlpm.addship,IF(O98="",0,O98),
    IF(
        AND(J97="",J98=""),
        P97-_xlpm.avgJ+_xlpm.addship,
        IF(
            J98="",
            J97-_xlpm.avgJ+_xlpm.addship,
            ""
        )
    )
),J98)</f>
        <v>#NAME?</v>
      </c>
      <c r="Q98" s="4" t="e">
        <f t="shared" ca="1" si="10"/>
        <v>#NAME?</v>
      </c>
      <c r="Z98" s="51">
        <f t="shared" si="11"/>
        <v>26800</v>
      </c>
      <c r="AA98" s="51">
        <f t="shared" si="12"/>
        <v>357582</v>
      </c>
      <c r="AB98" s="51">
        <f t="shared" si="13"/>
        <v>16165</v>
      </c>
      <c r="AC98" s="51">
        <f t="shared" si="14"/>
        <v>289500</v>
      </c>
    </row>
    <row r="99" spans="7:29" ht="18" customHeight="1" x14ac:dyDescent="0.3">
      <c r="G99" s="37">
        <f t="shared" si="15"/>
        <v>46193</v>
      </c>
      <c r="H99" s="32"/>
      <c r="I99" s="32"/>
      <c r="J99" s="32"/>
      <c r="K99" s="32"/>
      <c r="M99" s="27" t="str">
        <f t="shared" ca="1" si="8"/>
        <v/>
      </c>
      <c r="N99" s="27" t="e" cm="1">
        <f t="array" aca="1" ref="N99" ca="1">IF(H99="",_xlfn.LET(
    _xlpm.vals,_xlfn._xlws.FILTER($I$4:I98,$I$4:I98&lt;&gt;"",""),
    _xlpm.avgJ,IF(COUNTA(_xlpm.vals)=0,0,AVERAGE(_xlfn.TAKE(_xlpm.vals,-MIN(7,ROWS(_xlpm.vals))))),
    _xlpm.addship,IF(M99="",0,M99),
    IF(
        AND(H98="",H99=""),
        N98-_xlpm.avgJ+_xlpm.addship,
        IF(
            H99="",
            H98-_xlpm.avgJ+_xlpm.addship,
            ""
        )
    )
),H99)</f>
        <v>#NAME?</v>
      </c>
      <c r="O99" s="27" t="str">
        <f t="shared" ca="1" si="9"/>
        <v/>
      </c>
      <c r="P99" s="27" t="e" cm="1">
        <f t="array" aca="1" ref="P99" ca="1">IF(J99="",_xlfn.LET(
    _xlpm.vals,_xlfn._xlws.FILTER($K$4:K98,$K$4:K98&lt;&gt;"",""),
    _xlpm.avgJ,IF(COUNTA(_xlpm.vals)=0,0,AVERAGE(_xlfn.TAKE(_xlpm.vals,-MIN(7,ROWS(_xlpm.vals))))),
    _xlpm.addship,IF(O99="",0,O99),
    IF(
        AND(J98="",J99=""),
        P98-_xlpm.avgJ+_xlpm.addship,
        IF(
            J99="",
            J98-_xlpm.avgJ+_xlpm.addship,
            ""
        )
    )
),J99)</f>
        <v>#NAME?</v>
      </c>
      <c r="Q99" s="4" t="e">
        <f t="shared" ca="1" si="10"/>
        <v>#NAME?</v>
      </c>
      <c r="Z99" s="51">
        <f t="shared" si="11"/>
        <v>26800</v>
      </c>
      <c r="AA99" s="51">
        <f t="shared" si="12"/>
        <v>357582</v>
      </c>
      <c r="AB99" s="51">
        <f t="shared" si="13"/>
        <v>16165</v>
      </c>
      <c r="AC99" s="51">
        <f t="shared" si="14"/>
        <v>289500</v>
      </c>
    </row>
    <row r="100" spans="7:29" ht="18" customHeight="1" x14ac:dyDescent="0.3">
      <c r="G100" s="37">
        <f t="shared" si="15"/>
        <v>46194</v>
      </c>
      <c r="H100" s="32"/>
      <c r="I100" s="32"/>
      <c r="J100" s="32"/>
      <c r="K100" s="32"/>
      <c r="M100" s="27" t="str">
        <f t="shared" ca="1" si="8"/>
        <v/>
      </c>
      <c r="N100" s="27" t="e" cm="1">
        <f t="array" aca="1" ref="N100" ca="1">IF(H100="",_xlfn.LET(
    _xlpm.vals,_xlfn._xlws.FILTER($I$4:I99,$I$4:I99&lt;&gt;"",""),
    _xlpm.avgJ,IF(COUNTA(_xlpm.vals)=0,0,AVERAGE(_xlfn.TAKE(_xlpm.vals,-MIN(7,ROWS(_xlpm.vals))))),
    _xlpm.addship,IF(M100="",0,M100),
    IF(
        AND(H99="",H100=""),
        N99-_xlpm.avgJ+_xlpm.addship,
        IF(
            H100="",
            H99-_xlpm.avgJ+_xlpm.addship,
            ""
        )
    )
),H100)</f>
        <v>#NAME?</v>
      </c>
      <c r="O100" s="27" t="str">
        <f t="shared" ca="1" si="9"/>
        <v/>
      </c>
      <c r="P100" s="27" t="e" cm="1">
        <f t="array" aca="1" ref="P100" ca="1">IF(J100="",_xlfn.LET(
    _xlpm.vals,_xlfn._xlws.FILTER($K$4:K99,$K$4:K99&lt;&gt;"",""),
    _xlpm.avgJ,IF(COUNTA(_xlpm.vals)=0,0,AVERAGE(_xlfn.TAKE(_xlpm.vals,-MIN(7,ROWS(_xlpm.vals))))),
    _xlpm.addship,IF(O100="",0,O100),
    IF(
        AND(J99="",J100=""),
        P99-_xlpm.avgJ+_xlpm.addship,
        IF(
            J100="",
            J99-_xlpm.avgJ+_xlpm.addship,
            ""
        )
    )
),J100)</f>
        <v>#NAME?</v>
      </c>
      <c r="Q100" s="4" t="e">
        <f t="shared" ca="1" si="10"/>
        <v>#NAME?</v>
      </c>
      <c r="Z100" s="51">
        <f t="shared" si="11"/>
        <v>26800</v>
      </c>
      <c r="AA100" s="51">
        <f t="shared" si="12"/>
        <v>357582</v>
      </c>
      <c r="AB100" s="51">
        <f t="shared" si="13"/>
        <v>16165</v>
      </c>
      <c r="AC100" s="51">
        <f t="shared" si="14"/>
        <v>289500</v>
      </c>
    </row>
    <row r="101" spans="7:29" ht="18" customHeight="1" x14ac:dyDescent="0.3">
      <c r="G101" s="37">
        <f t="shared" si="15"/>
        <v>46195</v>
      </c>
      <c r="H101" s="32"/>
      <c r="I101" s="32"/>
      <c r="J101" s="32"/>
      <c r="K101" s="32"/>
      <c r="M101" s="27" t="str">
        <f t="shared" ca="1" si="8"/>
        <v/>
      </c>
      <c r="N101" s="27" t="e" cm="1">
        <f t="array" aca="1" ref="N101" ca="1">IF(H101="",_xlfn.LET(
    _xlpm.vals,_xlfn._xlws.FILTER($I$4:I100,$I$4:I100&lt;&gt;"",""),
    _xlpm.avgJ,IF(COUNTA(_xlpm.vals)=0,0,AVERAGE(_xlfn.TAKE(_xlpm.vals,-MIN(7,ROWS(_xlpm.vals))))),
    _xlpm.addship,IF(M101="",0,M101),
    IF(
        AND(H100="",H101=""),
        N100-_xlpm.avgJ+_xlpm.addship,
        IF(
            H101="",
            H100-_xlpm.avgJ+_xlpm.addship,
            ""
        )
    )
),H101)</f>
        <v>#NAME?</v>
      </c>
      <c r="O101" s="27" t="str">
        <f t="shared" ca="1" si="9"/>
        <v/>
      </c>
      <c r="P101" s="27" t="e" cm="1">
        <f t="array" aca="1" ref="P101" ca="1">IF(J101="",_xlfn.LET(
    _xlpm.vals,_xlfn._xlws.FILTER($K$4:K100,$K$4:K100&lt;&gt;"",""),
    _xlpm.avgJ,IF(COUNTA(_xlpm.vals)=0,0,AVERAGE(_xlfn.TAKE(_xlpm.vals,-MIN(7,ROWS(_xlpm.vals))))),
    _xlpm.addship,IF(O101="",0,O101),
    IF(
        AND(J100="",J101=""),
        P100-_xlpm.avgJ+_xlpm.addship,
        IF(
            J101="",
            J100-_xlpm.avgJ+_xlpm.addship,
            ""
        )
    )
),J101)</f>
        <v>#NAME?</v>
      </c>
      <c r="Q101" s="4" t="e">
        <f t="shared" ca="1" si="10"/>
        <v>#NAME?</v>
      </c>
      <c r="Z101" s="51">
        <f t="shared" si="11"/>
        <v>26800</v>
      </c>
      <c r="AA101" s="51">
        <f t="shared" si="12"/>
        <v>357582</v>
      </c>
      <c r="AB101" s="51">
        <f t="shared" si="13"/>
        <v>16165</v>
      </c>
      <c r="AC101" s="51">
        <f t="shared" si="14"/>
        <v>289500</v>
      </c>
    </row>
    <row r="102" spans="7:29" ht="18" customHeight="1" x14ac:dyDescent="0.3">
      <c r="G102" s="37">
        <f t="shared" si="15"/>
        <v>46196</v>
      </c>
      <c r="H102" s="32"/>
      <c r="I102" s="32"/>
      <c r="J102" s="32"/>
      <c r="K102" s="32"/>
      <c r="M102" s="27" t="str">
        <f t="shared" ca="1" si="8"/>
        <v/>
      </c>
      <c r="N102" s="27" t="e" cm="1">
        <f t="array" aca="1" ref="N102" ca="1">IF(H102="",_xlfn.LET(
    _xlpm.vals,_xlfn._xlws.FILTER($I$4:I101,$I$4:I101&lt;&gt;"",""),
    _xlpm.avgJ,IF(COUNTA(_xlpm.vals)=0,0,AVERAGE(_xlfn.TAKE(_xlpm.vals,-MIN(7,ROWS(_xlpm.vals))))),
    _xlpm.addship,IF(M102="",0,M102),
    IF(
        AND(H101="",H102=""),
        N101-_xlpm.avgJ+_xlpm.addship,
        IF(
            H102="",
            H101-_xlpm.avgJ+_xlpm.addship,
            ""
        )
    )
),H102)</f>
        <v>#NAME?</v>
      </c>
      <c r="O102" s="27" t="str">
        <f t="shared" ca="1" si="9"/>
        <v/>
      </c>
      <c r="P102" s="27" t="e" cm="1">
        <f t="array" aca="1" ref="P102" ca="1">IF(J102="",_xlfn.LET(
    _xlpm.vals,_xlfn._xlws.FILTER($K$4:K101,$K$4:K101&lt;&gt;"",""),
    _xlpm.avgJ,IF(COUNTA(_xlpm.vals)=0,0,AVERAGE(_xlfn.TAKE(_xlpm.vals,-MIN(7,ROWS(_xlpm.vals))))),
    _xlpm.addship,IF(O102="",0,O102),
    IF(
        AND(J101="",J102=""),
        P101-_xlpm.avgJ+_xlpm.addship,
        IF(
            J102="",
            J101-_xlpm.avgJ+_xlpm.addship,
            ""
        )
    )
),J102)</f>
        <v>#NAME?</v>
      </c>
      <c r="Q102" s="4" t="e">
        <f t="shared" ca="1" si="10"/>
        <v>#NAME?</v>
      </c>
      <c r="Z102" s="51">
        <f t="shared" si="11"/>
        <v>26800</v>
      </c>
      <c r="AA102" s="51">
        <f t="shared" si="12"/>
        <v>357582</v>
      </c>
      <c r="AB102" s="51">
        <f t="shared" si="13"/>
        <v>16165</v>
      </c>
      <c r="AC102" s="51">
        <f t="shared" si="14"/>
        <v>289500</v>
      </c>
    </row>
    <row r="103" spans="7:29" ht="18" customHeight="1" x14ac:dyDescent="0.3">
      <c r="G103" s="37">
        <f t="shared" si="15"/>
        <v>46197</v>
      </c>
      <c r="H103" s="32"/>
      <c r="I103" s="32"/>
      <c r="J103" s="32"/>
      <c r="K103" s="32"/>
      <c r="M103" s="27" t="str">
        <f t="shared" ca="1" si="8"/>
        <v/>
      </c>
      <c r="N103" s="27" t="e" cm="1">
        <f t="array" aca="1" ref="N103" ca="1">IF(H103="",_xlfn.LET(
    _xlpm.vals,_xlfn._xlws.FILTER($I$4:I102,$I$4:I102&lt;&gt;"",""),
    _xlpm.avgJ,IF(COUNTA(_xlpm.vals)=0,0,AVERAGE(_xlfn.TAKE(_xlpm.vals,-MIN(7,ROWS(_xlpm.vals))))),
    _xlpm.addship,IF(M103="",0,M103),
    IF(
        AND(H102="",H103=""),
        N102-_xlpm.avgJ+_xlpm.addship,
        IF(
            H103="",
            H102-_xlpm.avgJ+_xlpm.addship,
            ""
        )
    )
),H103)</f>
        <v>#NAME?</v>
      </c>
      <c r="O103" s="27" t="str">
        <f t="shared" ca="1" si="9"/>
        <v/>
      </c>
      <c r="P103" s="27" t="e" cm="1">
        <f t="array" aca="1" ref="P103" ca="1">IF(J103="",_xlfn.LET(
    _xlpm.vals,_xlfn._xlws.FILTER($K$4:K102,$K$4:K102&lt;&gt;"",""),
    _xlpm.avgJ,IF(COUNTA(_xlpm.vals)=0,0,AVERAGE(_xlfn.TAKE(_xlpm.vals,-MIN(7,ROWS(_xlpm.vals))))),
    _xlpm.addship,IF(O103="",0,O103),
    IF(
        AND(J102="",J103=""),
        P102-_xlpm.avgJ+_xlpm.addship,
        IF(
            J103="",
            J102-_xlpm.avgJ+_xlpm.addship,
            ""
        )
    )
),J103)</f>
        <v>#NAME?</v>
      </c>
      <c r="Q103" s="4" t="e">
        <f t="shared" ca="1" si="10"/>
        <v>#NAME?</v>
      </c>
      <c r="Z103" s="51">
        <f t="shared" si="11"/>
        <v>26800</v>
      </c>
      <c r="AA103" s="51">
        <f t="shared" si="12"/>
        <v>357582</v>
      </c>
      <c r="AB103" s="51">
        <f t="shared" si="13"/>
        <v>16165</v>
      </c>
      <c r="AC103" s="51">
        <f t="shared" si="14"/>
        <v>289500</v>
      </c>
    </row>
    <row r="104" spans="7:29" ht="18" customHeight="1" x14ac:dyDescent="0.3">
      <c r="G104" s="37">
        <f t="shared" si="15"/>
        <v>46198</v>
      </c>
      <c r="H104" s="32"/>
      <c r="I104" s="32"/>
      <c r="J104" s="32"/>
      <c r="K104" s="32"/>
      <c r="M104" s="27" t="str">
        <f t="shared" ca="1" si="8"/>
        <v/>
      </c>
      <c r="N104" s="27" t="e" cm="1">
        <f t="array" aca="1" ref="N104" ca="1">IF(H104="",_xlfn.LET(
    _xlpm.vals,_xlfn._xlws.FILTER($I$4:I103,$I$4:I103&lt;&gt;"",""),
    _xlpm.avgJ,IF(COUNTA(_xlpm.vals)=0,0,AVERAGE(_xlfn.TAKE(_xlpm.vals,-MIN(7,ROWS(_xlpm.vals))))),
    _xlpm.addship,IF(M104="",0,M104),
    IF(
        AND(H103="",H104=""),
        N103-_xlpm.avgJ+_xlpm.addship,
        IF(
            H104="",
            H103-_xlpm.avgJ+_xlpm.addship,
            ""
        )
    )
),H104)</f>
        <v>#NAME?</v>
      </c>
      <c r="O104" s="27" t="str">
        <f t="shared" ca="1" si="9"/>
        <v/>
      </c>
      <c r="P104" s="27" t="e" cm="1">
        <f t="array" aca="1" ref="P104" ca="1">IF(J104="",_xlfn.LET(
    _xlpm.vals,_xlfn._xlws.FILTER($K$4:K103,$K$4:K103&lt;&gt;"",""),
    _xlpm.avgJ,IF(COUNTA(_xlpm.vals)=0,0,AVERAGE(_xlfn.TAKE(_xlpm.vals,-MIN(7,ROWS(_xlpm.vals))))),
    _xlpm.addship,IF(O104="",0,O104),
    IF(
        AND(J103="",J104=""),
        P103-_xlpm.avgJ+_xlpm.addship,
        IF(
            J104="",
            J103-_xlpm.avgJ+_xlpm.addship,
            ""
        )
    )
),J104)</f>
        <v>#NAME?</v>
      </c>
      <c r="Q104" s="4" t="e">
        <f t="shared" ca="1" si="10"/>
        <v>#NAME?</v>
      </c>
      <c r="Z104" s="51">
        <f t="shared" si="11"/>
        <v>26800</v>
      </c>
      <c r="AA104" s="51">
        <f t="shared" si="12"/>
        <v>357582</v>
      </c>
      <c r="AB104" s="51">
        <f t="shared" si="13"/>
        <v>16165</v>
      </c>
      <c r="AC104" s="51">
        <f t="shared" si="14"/>
        <v>289500</v>
      </c>
    </row>
    <row r="105" spans="7:29" ht="18" customHeight="1" x14ac:dyDescent="0.3">
      <c r="G105" s="37">
        <f t="shared" si="15"/>
        <v>46199</v>
      </c>
      <c r="H105" s="32"/>
      <c r="I105" s="32"/>
      <c r="J105" s="32"/>
      <c r="K105" s="32"/>
      <c r="M105" s="27" t="str">
        <f t="shared" ca="1" si="8"/>
        <v/>
      </c>
      <c r="N105" s="27" t="e" cm="1">
        <f t="array" aca="1" ref="N105" ca="1">IF(H105="",_xlfn.LET(
    _xlpm.vals,_xlfn._xlws.FILTER($I$4:I104,$I$4:I104&lt;&gt;"",""),
    _xlpm.avgJ,IF(COUNTA(_xlpm.vals)=0,0,AVERAGE(_xlfn.TAKE(_xlpm.vals,-MIN(7,ROWS(_xlpm.vals))))),
    _xlpm.addship,IF(M105="",0,M105),
    IF(
        AND(H104="",H105=""),
        N104-_xlpm.avgJ+_xlpm.addship,
        IF(
            H105="",
            H104-_xlpm.avgJ+_xlpm.addship,
            ""
        )
    )
),H105)</f>
        <v>#NAME?</v>
      </c>
      <c r="O105" s="27" t="str">
        <f t="shared" ca="1" si="9"/>
        <v/>
      </c>
      <c r="P105" s="27" t="e" cm="1">
        <f t="array" aca="1" ref="P105" ca="1">IF(J105="",_xlfn.LET(
    _xlpm.vals,_xlfn._xlws.FILTER($K$4:K104,$K$4:K104&lt;&gt;"",""),
    _xlpm.avgJ,IF(COUNTA(_xlpm.vals)=0,0,AVERAGE(_xlfn.TAKE(_xlpm.vals,-MIN(7,ROWS(_xlpm.vals))))),
    _xlpm.addship,IF(O105="",0,O105),
    IF(
        AND(J104="",J105=""),
        P104-_xlpm.avgJ+_xlpm.addship,
        IF(
            J105="",
            J104-_xlpm.avgJ+_xlpm.addship,
            ""
        )
    )
),J105)</f>
        <v>#NAME?</v>
      </c>
      <c r="Q105" s="4" t="e">
        <f t="shared" ca="1" si="10"/>
        <v>#NAME?</v>
      </c>
      <c r="Z105" s="51">
        <f t="shared" si="11"/>
        <v>26800</v>
      </c>
      <c r="AA105" s="51">
        <f t="shared" si="12"/>
        <v>357582</v>
      </c>
      <c r="AB105" s="51">
        <f t="shared" si="13"/>
        <v>16165</v>
      </c>
      <c r="AC105" s="51">
        <f t="shared" si="14"/>
        <v>289500</v>
      </c>
    </row>
    <row r="106" spans="7:29" ht="18" customHeight="1" x14ac:dyDescent="0.3">
      <c r="G106" s="37">
        <f t="shared" si="15"/>
        <v>46200</v>
      </c>
      <c r="H106" s="32"/>
      <c r="I106" s="32"/>
      <c r="J106" s="32"/>
      <c r="K106" s="32"/>
      <c r="M106" s="27" t="str">
        <f t="shared" ca="1" si="8"/>
        <v/>
      </c>
      <c r="N106" s="27" t="e" cm="1">
        <f t="array" aca="1" ref="N106" ca="1">IF(H106="",_xlfn.LET(
    _xlpm.vals,_xlfn._xlws.FILTER($I$4:I105,$I$4:I105&lt;&gt;"",""),
    _xlpm.avgJ,IF(COUNTA(_xlpm.vals)=0,0,AVERAGE(_xlfn.TAKE(_xlpm.vals,-MIN(7,ROWS(_xlpm.vals))))),
    _xlpm.addship,IF(M106="",0,M106),
    IF(
        AND(H105="",H106=""),
        N105-_xlpm.avgJ+_xlpm.addship,
        IF(
            H106="",
            H105-_xlpm.avgJ+_xlpm.addship,
            ""
        )
    )
),H106)</f>
        <v>#NAME?</v>
      </c>
      <c r="O106" s="27" t="str">
        <f t="shared" ca="1" si="9"/>
        <v/>
      </c>
      <c r="P106" s="27" t="e" cm="1">
        <f t="array" aca="1" ref="P106" ca="1">IF(J106="",_xlfn.LET(
    _xlpm.vals,_xlfn._xlws.FILTER($K$4:K105,$K$4:K105&lt;&gt;"",""),
    _xlpm.avgJ,IF(COUNTA(_xlpm.vals)=0,0,AVERAGE(_xlfn.TAKE(_xlpm.vals,-MIN(7,ROWS(_xlpm.vals))))),
    _xlpm.addship,IF(O106="",0,O106),
    IF(
        AND(J105="",J106=""),
        P105-_xlpm.avgJ+_xlpm.addship,
        IF(
            J106="",
            J105-_xlpm.avgJ+_xlpm.addship,
            ""
        )
    )
),J106)</f>
        <v>#NAME?</v>
      </c>
      <c r="Q106" s="4" t="e">
        <f t="shared" ca="1" si="10"/>
        <v>#NAME?</v>
      </c>
      <c r="Z106" s="51">
        <f t="shared" si="11"/>
        <v>26800</v>
      </c>
      <c r="AA106" s="51">
        <f t="shared" si="12"/>
        <v>357582</v>
      </c>
      <c r="AB106" s="51">
        <f t="shared" si="13"/>
        <v>16165</v>
      </c>
      <c r="AC106" s="51">
        <f t="shared" si="14"/>
        <v>289500</v>
      </c>
    </row>
    <row r="107" spans="7:29" ht="18" customHeight="1" x14ac:dyDescent="0.3">
      <c r="G107" s="37">
        <f t="shared" si="15"/>
        <v>46201</v>
      </c>
      <c r="H107" s="32"/>
      <c r="I107" s="32"/>
      <c r="J107" s="32"/>
      <c r="K107" s="32"/>
      <c r="M107" s="27" t="str">
        <f t="shared" ca="1" si="8"/>
        <v/>
      </c>
      <c r="N107" s="27" t="e" cm="1">
        <f t="array" aca="1" ref="N107" ca="1">IF(H107="",_xlfn.LET(
    _xlpm.vals,_xlfn._xlws.FILTER($I$4:I106,$I$4:I106&lt;&gt;"",""),
    _xlpm.avgJ,IF(COUNTA(_xlpm.vals)=0,0,AVERAGE(_xlfn.TAKE(_xlpm.vals,-MIN(7,ROWS(_xlpm.vals))))),
    _xlpm.addship,IF(M107="",0,M107),
    IF(
        AND(H106="",H107=""),
        N106-_xlpm.avgJ+_xlpm.addship,
        IF(
            H107="",
            H106-_xlpm.avgJ+_xlpm.addship,
            ""
        )
    )
),H107)</f>
        <v>#NAME?</v>
      </c>
      <c r="O107" s="27" t="str">
        <f t="shared" ca="1" si="9"/>
        <v/>
      </c>
      <c r="P107" s="27" t="e" cm="1">
        <f t="array" aca="1" ref="P107" ca="1">IF(J107="",_xlfn.LET(
    _xlpm.vals,_xlfn._xlws.FILTER($K$4:K106,$K$4:K106&lt;&gt;"",""),
    _xlpm.avgJ,IF(COUNTA(_xlpm.vals)=0,0,AVERAGE(_xlfn.TAKE(_xlpm.vals,-MIN(7,ROWS(_xlpm.vals))))),
    _xlpm.addship,IF(O107="",0,O107),
    IF(
        AND(J106="",J107=""),
        P106-_xlpm.avgJ+_xlpm.addship,
        IF(
            J107="",
            J106-_xlpm.avgJ+_xlpm.addship,
            ""
        )
    )
),J107)</f>
        <v>#NAME?</v>
      </c>
      <c r="Q107" s="4" t="e">
        <f t="shared" ca="1" si="10"/>
        <v>#NAME?</v>
      </c>
      <c r="Z107" s="51">
        <f t="shared" si="11"/>
        <v>26800</v>
      </c>
      <c r="AA107" s="51">
        <f t="shared" si="12"/>
        <v>357582</v>
      </c>
      <c r="AB107" s="51">
        <f t="shared" si="13"/>
        <v>16165</v>
      </c>
      <c r="AC107" s="51">
        <f t="shared" si="14"/>
        <v>289500</v>
      </c>
    </row>
    <row r="108" spans="7:29" ht="18" customHeight="1" x14ac:dyDescent="0.3">
      <c r="G108" s="37">
        <f t="shared" si="15"/>
        <v>46202</v>
      </c>
      <c r="H108" s="32"/>
      <c r="I108" s="32"/>
      <c r="J108" s="32"/>
      <c r="K108" s="32"/>
      <c r="M108" s="27" t="str">
        <f t="shared" ca="1" si="8"/>
        <v/>
      </c>
      <c r="N108" s="27" t="e" cm="1">
        <f t="array" aca="1" ref="N108" ca="1">IF(H108="",_xlfn.LET(
    _xlpm.vals,_xlfn._xlws.FILTER($I$4:I107,$I$4:I107&lt;&gt;"",""),
    _xlpm.avgJ,IF(COUNTA(_xlpm.vals)=0,0,AVERAGE(_xlfn.TAKE(_xlpm.vals,-MIN(7,ROWS(_xlpm.vals))))),
    _xlpm.addship,IF(M108="",0,M108),
    IF(
        AND(H107="",H108=""),
        N107-_xlpm.avgJ+_xlpm.addship,
        IF(
            H108="",
            H107-_xlpm.avgJ+_xlpm.addship,
            ""
        )
    )
),H108)</f>
        <v>#NAME?</v>
      </c>
      <c r="O108" s="27" t="str">
        <f t="shared" ca="1" si="9"/>
        <v/>
      </c>
      <c r="P108" s="27" t="e" cm="1">
        <f t="array" aca="1" ref="P108" ca="1">IF(J108="",_xlfn.LET(
    _xlpm.vals,_xlfn._xlws.FILTER($K$4:K107,$K$4:K107&lt;&gt;"",""),
    _xlpm.avgJ,IF(COUNTA(_xlpm.vals)=0,0,AVERAGE(_xlfn.TAKE(_xlpm.vals,-MIN(7,ROWS(_xlpm.vals))))),
    _xlpm.addship,IF(O108="",0,O108),
    IF(
        AND(J107="",J108=""),
        P107-_xlpm.avgJ+_xlpm.addship,
        IF(
            J108="",
            J107-_xlpm.avgJ+_xlpm.addship,
            ""
        )
    )
),J108)</f>
        <v>#NAME?</v>
      </c>
      <c r="Q108" s="4" t="e">
        <f t="shared" ca="1" si="10"/>
        <v>#NAME?</v>
      </c>
      <c r="Z108" s="51">
        <f t="shared" si="11"/>
        <v>26800</v>
      </c>
      <c r="AA108" s="51">
        <f t="shared" si="12"/>
        <v>357582</v>
      </c>
      <c r="AB108" s="51">
        <f t="shared" si="13"/>
        <v>16165</v>
      </c>
      <c r="AC108" s="51">
        <f t="shared" si="14"/>
        <v>289500</v>
      </c>
    </row>
    <row r="109" spans="7:29" ht="18" customHeight="1" x14ac:dyDescent="0.3">
      <c r="G109" s="37">
        <f t="shared" si="15"/>
        <v>46203</v>
      </c>
      <c r="H109" s="32"/>
      <c r="I109" s="32"/>
      <c r="J109" s="32"/>
      <c r="K109" s="32"/>
      <c r="M109" s="27" t="str">
        <f t="shared" ca="1" si="8"/>
        <v/>
      </c>
      <c r="N109" s="27" t="e" cm="1">
        <f t="array" aca="1" ref="N109" ca="1">IF(H109="",_xlfn.LET(
    _xlpm.vals,_xlfn._xlws.FILTER($I$4:I108,$I$4:I108&lt;&gt;"",""),
    _xlpm.avgJ,IF(COUNTA(_xlpm.vals)=0,0,AVERAGE(_xlfn.TAKE(_xlpm.vals,-MIN(7,ROWS(_xlpm.vals))))),
    _xlpm.addship,IF(M109="",0,M109),
    IF(
        AND(H108="",H109=""),
        N108-_xlpm.avgJ+_xlpm.addship,
        IF(
            H109="",
            H108-_xlpm.avgJ+_xlpm.addship,
            ""
        )
    )
),H109)</f>
        <v>#NAME?</v>
      </c>
      <c r="O109" s="27" t="str">
        <f t="shared" ca="1" si="9"/>
        <v/>
      </c>
      <c r="P109" s="27" t="e" cm="1">
        <f t="array" aca="1" ref="P109" ca="1">IF(J109="",_xlfn.LET(
    _xlpm.vals,_xlfn._xlws.FILTER($K$4:K108,$K$4:K108&lt;&gt;"",""),
    _xlpm.avgJ,IF(COUNTA(_xlpm.vals)=0,0,AVERAGE(_xlfn.TAKE(_xlpm.vals,-MIN(7,ROWS(_xlpm.vals))))),
    _xlpm.addship,IF(O109="",0,O109),
    IF(
        AND(J108="",J109=""),
        P108-_xlpm.avgJ+_xlpm.addship,
        IF(
            J109="",
            J108-_xlpm.avgJ+_xlpm.addship,
            ""
        )
    )
),J109)</f>
        <v>#NAME?</v>
      </c>
      <c r="Q109" s="4" t="e">
        <f t="shared" ca="1" si="10"/>
        <v>#NAME?</v>
      </c>
      <c r="Z109" s="51">
        <f t="shared" si="11"/>
        <v>26800</v>
      </c>
      <c r="AA109" s="51">
        <f t="shared" si="12"/>
        <v>357582</v>
      </c>
      <c r="AB109" s="51">
        <f t="shared" si="13"/>
        <v>16165</v>
      </c>
      <c r="AC109" s="51">
        <f t="shared" si="14"/>
        <v>289500</v>
      </c>
    </row>
  </sheetData>
  <sheetProtection algorithmName="SHA-512" hashValue="Tr2gIg3sCvyvh4vwKYhVyz1o63nI9cijRMjOu357gT3fHOwbdklE/ebJywi9vXMzQAuMXiY9b93xesFGjMhPaw==" saltValue="QLumda87+nG5i3aGBP9lxA==" spinCount="100000" sheet="1" objects="1" scenarios="1"/>
  <mergeCells count="7">
    <mergeCell ref="M2:N2"/>
    <mergeCell ref="O2:P2"/>
    <mergeCell ref="B3:D3"/>
    <mergeCell ref="C17:D17"/>
    <mergeCell ref="D1:E1"/>
    <mergeCell ref="H2:I2"/>
    <mergeCell ref="J2:K2"/>
  </mergeCells>
  <conditionalFormatting sqref="N4:N109">
    <cfRule type="expression" dxfId="3" priority="1">
      <formula>AND(N4&gt;$C$19,N4&lt;&gt;"")</formula>
    </cfRule>
    <cfRule type="expression" dxfId="2" priority="2">
      <formula>AND(N4&lt;$C$20,N4&lt;&gt;"")</formula>
    </cfRule>
  </conditionalFormatting>
  <conditionalFormatting sqref="P4:P109">
    <cfRule type="expression" dxfId="1" priority="3">
      <formula>AND(P4&gt;$D$19,P4&lt;&gt;"")</formula>
    </cfRule>
    <cfRule type="expression" dxfId="0" priority="4">
      <formula>AND(P4&lt;$D$20,P4&lt;&gt;"")</formula>
    </cfRule>
  </conditionalFormatting>
  <pageMargins left="0.7" right="0.7" top="0.75" bottom="0.75" header="0.3" footer="0.3"/>
  <pageSetup orientation="portrait" horizontalDpi="1200" verticalDpi="1200" r:id="rId1"/>
  <customProperties>
    <customPr name="GU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509D16B1-FFFF-4FC2-B906-522A94E00B82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TONGATAPU Daily Stock Report</vt:lpstr>
      <vt:lpstr>VAVA'U Daily Stock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Jull</dc:creator>
  <cp:lastModifiedBy>Akosita kofe</cp:lastModifiedBy>
  <dcterms:created xsi:type="dcterms:W3CDTF">2025-11-06T03:57:08Z</dcterms:created>
  <dcterms:modified xsi:type="dcterms:W3CDTF">2026-04-13T00:53:08Z</dcterms:modified>
</cp:coreProperties>
</file>