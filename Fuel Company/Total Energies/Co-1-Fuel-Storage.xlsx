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b74d578bbeeb88/1-NTU-Tonga/DoE/Petroleum/Emergency-response/"/>
    </mc:Choice>
  </mc:AlternateContent>
  <xr:revisionPtr revIDLastSave="9" documentId="8_{2B6C2BF5-1949-450E-85CF-908AE158CCC2}" xr6:coauthVersionLast="47" xr6:coauthVersionMax="47" xr10:uidLastSave="{FC8FD6F4-56F8-4D8E-BFBF-BC67FD6AB5A9}"/>
  <bookViews>
    <workbookView xWindow="-109" yWindow="-109" windowWidth="23040" windowHeight="13762" xr2:uid="{652AF2AB-F9B3-4700-9E2C-7B8C07E0B438}"/>
  </bookViews>
  <sheets>
    <sheet name="Tongatapu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12" i="1" l="1"/>
  <c r="AD112" i="1"/>
  <c r="AC112" i="1"/>
  <c r="N112" i="1"/>
  <c r="AF111" i="1"/>
  <c r="AD111" i="1"/>
  <c r="AC111" i="1"/>
  <c r="N111" i="1"/>
  <c r="AF110" i="1"/>
  <c r="AD110" i="1"/>
  <c r="AC110" i="1"/>
  <c r="N110" i="1"/>
  <c r="AF109" i="1"/>
  <c r="AD109" i="1"/>
  <c r="AC109" i="1"/>
  <c r="N109" i="1"/>
  <c r="AF108" i="1"/>
  <c r="AD108" i="1"/>
  <c r="AC108" i="1"/>
  <c r="N108" i="1"/>
  <c r="AF107" i="1"/>
  <c r="AD107" i="1"/>
  <c r="AC107" i="1"/>
  <c r="N107" i="1"/>
  <c r="AF106" i="1"/>
  <c r="AD106" i="1"/>
  <c r="AC106" i="1"/>
  <c r="N106" i="1"/>
  <c r="AF105" i="1"/>
  <c r="AD105" i="1"/>
  <c r="AC105" i="1"/>
  <c r="N105" i="1"/>
  <c r="AF104" i="1"/>
  <c r="AD104" i="1"/>
  <c r="AC104" i="1"/>
  <c r="N104" i="1"/>
  <c r="AF103" i="1"/>
  <c r="AD103" i="1"/>
  <c r="AC103" i="1"/>
  <c r="N103" i="1"/>
  <c r="AF102" i="1"/>
  <c r="AD102" i="1"/>
  <c r="AC102" i="1"/>
  <c r="N102" i="1"/>
  <c r="AF101" i="1"/>
  <c r="AD101" i="1"/>
  <c r="AC101" i="1"/>
  <c r="N101" i="1"/>
  <c r="AF100" i="1"/>
  <c r="AD100" i="1"/>
  <c r="AC100" i="1"/>
  <c r="N100" i="1"/>
  <c r="AF99" i="1"/>
  <c r="AD99" i="1"/>
  <c r="AC99" i="1"/>
  <c r="N99" i="1"/>
  <c r="AF98" i="1"/>
  <c r="AD98" i="1"/>
  <c r="AC98" i="1"/>
  <c r="N98" i="1"/>
  <c r="AF97" i="1"/>
  <c r="AD97" i="1"/>
  <c r="AC97" i="1"/>
  <c r="N97" i="1"/>
  <c r="AF96" i="1"/>
  <c r="AD96" i="1"/>
  <c r="AC96" i="1"/>
  <c r="N96" i="1"/>
  <c r="AF95" i="1"/>
  <c r="AD95" i="1"/>
  <c r="AC95" i="1"/>
  <c r="N95" i="1"/>
  <c r="AF94" i="1"/>
  <c r="AD94" i="1"/>
  <c r="AC94" i="1"/>
  <c r="N94" i="1"/>
  <c r="AF93" i="1"/>
  <c r="AD93" i="1"/>
  <c r="AC93" i="1"/>
  <c r="N93" i="1"/>
  <c r="AF92" i="1"/>
  <c r="AD92" i="1"/>
  <c r="AC92" i="1"/>
  <c r="N92" i="1"/>
  <c r="AF91" i="1"/>
  <c r="AD91" i="1"/>
  <c r="AC91" i="1"/>
  <c r="N91" i="1"/>
  <c r="AF90" i="1"/>
  <c r="AD90" i="1"/>
  <c r="AC90" i="1"/>
  <c r="N90" i="1"/>
  <c r="AF89" i="1"/>
  <c r="AD89" i="1"/>
  <c r="AC89" i="1"/>
  <c r="N89" i="1"/>
  <c r="AF88" i="1"/>
  <c r="AD88" i="1"/>
  <c r="AC88" i="1"/>
  <c r="N88" i="1"/>
  <c r="AF87" i="1"/>
  <c r="AD87" i="1"/>
  <c r="AC87" i="1"/>
  <c r="N87" i="1"/>
  <c r="AF86" i="1"/>
  <c r="AD86" i="1"/>
  <c r="AC86" i="1"/>
  <c r="N86" i="1"/>
  <c r="AF85" i="1"/>
  <c r="AD85" i="1"/>
  <c r="AC85" i="1"/>
  <c r="N85" i="1"/>
  <c r="AF84" i="1"/>
  <c r="AD84" i="1"/>
  <c r="AC84" i="1"/>
  <c r="N84" i="1"/>
  <c r="AF83" i="1"/>
  <c r="AD83" i="1"/>
  <c r="AC83" i="1"/>
  <c r="N83" i="1"/>
  <c r="AF82" i="1"/>
  <c r="AD82" i="1"/>
  <c r="AC82" i="1"/>
  <c r="N82" i="1"/>
  <c r="AF81" i="1"/>
  <c r="AD81" i="1"/>
  <c r="AC81" i="1"/>
  <c r="N81" i="1"/>
  <c r="AF80" i="1"/>
  <c r="AD80" i="1"/>
  <c r="AC80" i="1"/>
  <c r="N80" i="1"/>
  <c r="AF79" i="1"/>
  <c r="AD79" i="1"/>
  <c r="AC79" i="1"/>
  <c r="N79" i="1"/>
  <c r="AF78" i="1"/>
  <c r="AD78" i="1"/>
  <c r="AC78" i="1"/>
  <c r="N78" i="1"/>
  <c r="AF77" i="1"/>
  <c r="AD77" i="1"/>
  <c r="AC77" i="1"/>
  <c r="N77" i="1"/>
  <c r="AF76" i="1"/>
  <c r="AD76" i="1"/>
  <c r="AC76" i="1"/>
  <c r="N76" i="1"/>
  <c r="AF75" i="1"/>
  <c r="AD75" i="1"/>
  <c r="AC75" i="1"/>
  <c r="N75" i="1"/>
  <c r="AF74" i="1"/>
  <c r="AD74" i="1"/>
  <c r="AC74" i="1"/>
  <c r="N74" i="1"/>
  <c r="AF73" i="1"/>
  <c r="AD73" i="1"/>
  <c r="AC73" i="1"/>
  <c r="N73" i="1"/>
  <c r="AF72" i="1"/>
  <c r="AD72" i="1"/>
  <c r="AC72" i="1"/>
  <c r="N72" i="1"/>
  <c r="AF71" i="1"/>
  <c r="AD71" i="1"/>
  <c r="AC71" i="1"/>
  <c r="N71" i="1"/>
  <c r="AF70" i="1"/>
  <c r="AD70" i="1"/>
  <c r="AC70" i="1"/>
  <c r="N70" i="1"/>
  <c r="AF69" i="1"/>
  <c r="AD69" i="1"/>
  <c r="AC69" i="1"/>
  <c r="N69" i="1"/>
  <c r="AF68" i="1"/>
  <c r="AD68" i="1"/>
  <c r="AC68" i="1"/>
  <c r="N68" i="1"/>
  <c r="AF67" i="1"/>
  <c r="AD67" i="1"/>
  <c r="AC67" i="1"/>
  <c r="N67" i="1"/>
  <c r="AF66" i="1"/>
  <c r="AD66" i="1"/>
  <c r="AC66" i="1"/>
  <c r="N66" i="1"/>
  <c r="AF65" i="1"/>
  <c r="AD65" i="1"/>
  <c r="AC65" i="1"/>
  <c r="N65" i="1"/>
  <c r="AF64" i="1"/>
  <c r="AD64" i="1"/>
  <c r="AC64" i="1"/>
  <c r="N64" i="1"/>
  <c r="AF63" i="1"/>
  <c r="AD63" i="1"/>
  <c r="AC63" i="1"/>
  <c r="N63" i="1"/>
  <c r="AF62" i="1"/>
  <c r="AD62" i="1"/>
  <c r="AC62" i="1"/>
  <c r="N62" i="1"/>
  <c r="AF61" i="1"/>
  <c r="AD61" i="1"/>
  <c r="AC61" i="1"/>
  <c r="N61" i="1"/>
  <c r="AF60" i="1"/>
  <c r="AD60" i="1"/>
  <c r="AC60" i="1"/>
  <c r="N60" i="1"/>
  <c r="AF59" i="1"/>
  <c r="AD59" i="1"/>
  <c r="AC59" i="1"/>
  <c r="N59" i="1"/>
  <c r="AF58" i="1"/>
  <c r="AD58" i="1"/>
  <c r="AC58" i="1"/>
  <c r="N58" i="1"/>
  <c r="AF57" i="1"/>
  <c r="AD57" i="1"/>
  <c r="AC57" i="1"/>
  <c r="N57" i="1"/>
  <c r="AF56" i="1"/>
  <c r="AD56" i="1"/>
  <c r="AC56" i="1"/>
  <c r="N56" i="1"/>
  <c r="AF55" i="1"/>
  <c r="AD55" i="1"/>
  <c r="AC55" i="1"/>
  <c r="N55" i="1"/>
  <c r="AF54" i="1"/>
  <c r="AD54" i="1"/>
  <c r="AC54" i="1"/>
  <c r="N54" i="1"/>
  <c r="AF53" i="1"/>
  <c r="AD53" i="1"/>
  <c r="AC53" i="1"/>
  <c r="N53" i="1"/>
  <c r="AF52" i="1"/>
  <c r="AD52" i="1"/>
  <c r="AC52" i="1"/>
  <c r="N52" i="1"/>
  <c r="AF51" i="1"/>
  <c r="AD51" i="1"/>
  <c r="AC51" i="1"/>
  <c r="N51" i="1"/>
  <c r="AF50" i="1"/>
  <c r="AD50" i="1"/>
  <c r="AC50" i="1"/>
  <c r="N50" i="1"/>
  <c r="AF49" i="1"/>
  <c r="AD49" i="1"/>
  <c r="AC49" i="1"/>
  <c r="N49" i="1"/>
  <c r="AF48" i="1"/>
  <c r="AD48" i="1"/>
  <c r="AC48" i="1"/>
  <c r="N48" i="1"/>
  <c r="AF47" i="1"/>
  <c r="AD47" i="1"/>
  <c r="AC47" i="1"/>
  <c r="N47" i="1"/>
  <c r="AF46" i="1"/>
  <c r="AD46" i="1"/>
  <c r="AC46" i="1"/>
  <c r="N46" i="1"/>
  <c r="AF45" i="1"/>
  <c r="AD45" i="1"/>
  <c r="AC45" i="1"/>
  <c r="N45" i="1"/>
  <c r="AF44" i="1"/>
  <c r="AD44" i="1"/>
  <c r="AC44" i="1"/>
  <c r="N44" i="1"/>
  <c r="AF43" i="1"/>
  <c r="AD43" i="1"/>
  <c r="AC43" i="1"/>
  <c r="N43" i="1"/>
  <c r="AF42" i="1"/>
  <c r="AD42" i="1"/>
  <c r="AC42" i="1"/>
  <c r="N42" i="1"/>
  <c r="AF41" i="1"/>
  <c r="AD41" i="1"/>
  <c r="AC41" i="1"/>
  <c r="N41" i="1"/>
  <c r="AF40" i="1"/>
  <c r="AD40" i="1"/>
  <c r="AC40" i="1"/>
  <c r="N40" i="1"/>
  <c r="AF39" i="1"/>
  <c r="AD39" i="1"/>
  <c r="AC39" i="1"/>
  <c r="N39" i="1"/>
  <c r="AF38" i="1"/>
  <c r="AD38" i="1"/>
  <c r="AC38" i="1"/>
  <c r="N38" i="1"/>
  <c r="AF37" i="1"/>
  <c r="AD37" i="1"/>
  <c r="AC37" i="1"/>
  <c r="N37" i="1"/>
  <c r="AF36" i="1"/>
  <c r="AD36" i="1"/>
  <c r="AC36" i="1"/>
  <c r="N36" i="1"/>
  <c r="AF35" i="1"/>
  <c r="AD35" i="1"/>
  <c r="AC35" i="1"/>
  <c r="N35" i="1"/>
  <c r="AF34" i="1"/>
  <c r="AD34" i="1"/>
  <c r="AC34" i="1"/>
  <c r="N34" i="1"/>
  <c r="AF33" i="1"/>
  <c r="AD33" i="1"/>
  <c r="AC33" i="1"/>
  <c r="N33" i="1"/>
  <c r="AF32" i="1"/>
  <c r="AD32" i="1"/>
  <c r="AC32" i="1"/>
  <c r="N32" i="1"/>
  <c r="AF31" i="1"/>
  <c r="AD31" i="1"/>
  <c r="AC31" i="1"/>
  <c r="N31" i="1"/>
  <c r="AF30" i="1"/>
  <c r="AD30" i="1"/>
  <c r="AC30" i="1"/>
  <c r="N30" i="1"/>
  <c r="AF29" i="1"/>
  <c r="AD29" i="1"/>
  <c r="AC29" i="1"/>
  <c r="N29" i="1"/>
  <c r="AF28" i="1"/>
  <c r="AD28" i="1"/>
  <c r="AC28" i="1"/>
  <c r="N28" i="1"/>
  <c r="AF27" i="1"/>
  <c r="AD27" i="1"/>
  <c r="AC27" i="1"/>
  <c r="S27" i="1" a="1"/>
  <c r="S27" i="1" s="1"/>
  <c r="R27" i="1"/>
  <c r="Q27" i="1" a="1"/>
  <c r="Q27" i="1" s="1"/>
  <c r="P27" i="1"/>
  <c r="N27" i="1"/>
  <c r="AF26" i="1"/>
  <c r="AD26" i="1"/>
  <c r="AC26" i="1"/>
  <c r="S26" i="1" a="1"/>
  <c r="S26" i="1" s="1"/>
  <c r="R26" i="1"/>
  <c r="Q26" i="1" a="1"/>
  <c r="Q26" i="1" s="1"/>
  <c r="P26" i="1"/>
  <c r="N26" i="1"/>
  <c r="AF25" i="1"/>
  <c r="AD25" i="1"/>
  <c r="AC25" i="1"/>
  <c r="S25" i="1" a="1"/>
  <c r="S25" i="1" s="1"/>
  <c r="R25" i="1"/>
  <c r="Q25" i="1" a="1"/>
  <c r="Q25" i="1" s="1"/>
  <c r="P25" i="1"/>
  <c r="N25" i="1"/>
  <c r="D25" i="1"/>
  <c r="AF24" i="1"/>
  <c r="AD24" i="1"/>
  <c r="AC24" i="1"/>
  <c r="S24" i="1" a="1"/>
  <c r="S24" i="1" s="1"/>
  <c r="R24" i="1"/>
  <c r="Q24" i="1" a="1"/>
  <c r="Q24" i="1" s="1"/>
  <c r="P24" i="1"/>
  <c r="N24" i="1"/>
  <c r="E24" i="1"/>
  <c r="AE101" i="1" s="1"/>
  <c r="AF23" i="1"/>
  <c r="AD23" i="1"/>
  <c r="AC23" i="1"/>
  <c r="S23" i="1" a="1"/>
  <c r="S23" i="1" s="1"/>
  <c r="R23" i="1"/>
  <c r="Q23" i="1" a="1"/>
  <c r="Q23" i="1" s="1"/>
  <c r="P23" i="1"/>
  <c r="M23" i="1"/>
  <c r="N23" i="1" s="1"/>
  <c r="AF22" i="1"/>
  <c r="AD22" i="1"/>
  <c r="AC22" i="1"/>
  <c r="S22" i="1" a="1"/>
  <c r="S22" i="1" s="1"/>
  <c r="R22" i="1"/>
  <c r="Q22" i="1" a="1"/>
  <c r="Q22" i="1" s="1"/>
  <c r="P22" i="1"/>
  <c r="M22" i="1"/>
  <c r="N22" i="1" s="1"/>
  <c r="AF21" i="1"/>
  <c r="AD21" i="1"/>
  <c r="AC21" i="1"/>
  <c r="S21" i="1" a="1"/>
  <c r="S21" i="1" s="1"/>
  <c r="R21" i="1"/>
  <c r="Q21" i="1" a="1"/>
  <c r="Q21" i="1" s="1"/>
  <c r="P21" i="1"/>
  <c r="M21" i="1"/>
  <c r="N21" i="1" s="1"/>
  <c r="AF20" i="1"/>
  <c r="AD20" i="1"/>
  <c r="AC20" i="1"/>
  <c r="N20" i="1"/>
  <c r="AF19" i="1"/>
  <c r="AD19" i="1"/>
  <c r="AC19" i="1"/>
  <c r="N19" i="1"/>
  <c r="AF18" i="1"/>
  <c r="AD18" i="1"/>
  <c r="AC18" i="1"/>
  <c r="N18" i="1"/>
  <c r="AF17" i="1"/>
  <c r="AD17" i="1"/>
  <c r="AC17" i="1"/>
  <c r="N17" i="1"/>
  <c r="AF16" i="1"/>
  <c r="AD16" i="1"/>
  <c r="AC16" i="1"/>
  <c r="N16" i="1"/>
  <c r="AF15" i="1"/>
  <c r="AD15" i="1"/>
  <c r="AC15" i="1"/>
  <c r="N15" i="1"/>
  <c r="AF14" i="1"/>
  <c r="AD14" i="1"/>
  <c r="AC14" i="1"/>
  <c r="N14" i="1"/>
  <c r="AF13" i="1"/>
  <c r="AD13" i="1"/>
  <c r="AC13" i="1"/>
  <c r="N13" i="1"/>
  <c r="AF12" i="1"/>
  <c r="AD12" i="1"/>
  <c r="AC12" i="1"/>
  <c r="N12" i="1"/>
  <c r="AF11" i="1"/>
  <c r="AD11" i="1"/>
  <c r="AC11" i="1"/>
  <c r="N11" i="1"/>
  <c r="AF10" i="1"/>
  <c r="AD10" i="1"/>
  <c r="AC10" i="1"/>
  <c r="N10" i="1"/>
  <c r="AF9" i="1"/>
  <c r="AE9" i="1"/>
  <c r="AD9" i="1"/>
  <c r="AC9" i="1"/>
  <c r="N9" i="1"/>
  <c r="AF8" i="1"/>
  <c r="AD8" i="1"/>
  <c r="AC8" i="1"/>
  <c r="N8" i="1"/>
  <c r="H8" i="1"/>
  <c r="AF7" i="1"/>
  <c r="AD7" i="1"/>
  <c r="AC7" i="1"/>
  <c r="R7" i="1"/>
  <c r="P7" i="1"/>
  <c r="Q7" i="1" s="1" a="1"/>
  <c r="Q7" i="1" s="1"/>
  <c r="N7" i="1"/>
  <c r="N6" i="1"/>
  <c r="AE7" i="1" l="1"/>
  <c r="AE67" i="1"/>
  <c r="AE96" i="1"/>
  <c r="AE104" i="1"/>
  <c r="E25" i="1"/>
  <c r="AE26" i="1"/>
  <c r="AE46" i="1"/>
  <c r="AE57" i="1"/>
  <c r="AE86" i="1"/>
  <c r="AE97" i="1"/>
  <c r="AE20" i="1"/>
  <c r="AE74" i="1"/>
  <c r="T23" i="1"/>
  <c r="AE28" i="1"/>
  <c r="AE32" i="1"/>
  <c r="AE79" i="1"/>
  <c r="AE90" i="1"/>
  <c r="AE47" i="1"/>
  <c r="AE16" i="1"/>
  <c r="AE80" i="1"/>
  <c r="AE37" i="1"/>
  <c r="AE70" i="1"/>
  <c r="AE106" i="1"/>
  <c r="AE63" i="1"/>
  <c r="AE24" i="1"/>
  <c r="AE11" i="1"/>
  <c r="AE21" i="1"/>
  <c r="AE43" i="1"/>
  <c r="AE54" i="1"/>
  <c r="AE33" i="1"/>
  <c r="AE109" i="1"/>
  <c r="AE77" i="1"/>
  <c r="AE27" i="1"/>
  <c r="AE110" i="1"/>
  <c r="AE60" i="1"/>
  <c r="AE93" i="1"/>
  <c r="AE19" i="1"/>
  <c r="AE23" i="1"/>
  <c r="AE76" i="1"/>
  <c r="AE83" i="1"/>
  <c r="AE73" i="1"/>
  <c r="AE30" i="1"/>
  <c r="AE44" i="1"/>
  <c r="AE13" i="1"/>
  <c r="AE41" i="1"/>
  <c r="AE99" i="1"/>
  <c r="AE10" i="1"/>
  <c r="AE56" i="1"/>
  <c r="AE31" i="1"/>
  <c r="AE107" i="1"/>
  <c r="AE100" i="1"/>
  <c r="AE12" i="1"/>
  <c r="AE40" i="1"/>
  <c r="T24" i="1"/>
  <c r="T27" i="1"/>
  <c r="T26" i="1"/>
  <c r="T22" i="1"/>
  <c r="T25" i="1"/>
  <c r="AE38" i="1"/>
  <c r="AE51" i="1"/>
  <c r="AE64" i="1"/>
  <c r="AE84" i="1"/>
  <c r="AE94" i="1"/>
  <c r="AE17" i="1"/>
  <c r="AE35" i="1"/>
  <c r="AE61" i="1"/>
  <c r="AE91" i="1"/>
  <c r="AE14" i="1"/>
  <c r="AE48" i="1"/>
  <c r="AE58" i="1"/>
  <c r="AE81" i="1"/>
  <c r="AE88" i="1"/>
  <c r="AE111" i="1"/>
  <c r="AE45" i="1"/>
  <c r="AE55" i="1"/>
  <c r="AE68" i="1"/>
  <c r="AE108" i="1"/>
  <c r="AE29" i="1"/>
  <c r="AE42" i="1"/>
  <c r="AE75" i="1"/>
  <c r="AE22" i="1"/>
  <c r="AE25" i="1"/>
  <c r="AE36" i="1"/>
  <c r="AE62" i="1"/>
  <c r="AE92" i="1"/>
  <c r="AE102" i="1"/>
  <c r="AE78" i="1"/>
  <c r="AE8" i="1"/>
  <c r="AE105" i="1"/>
  <c r="AE39" i="1"/>
  <c r="AE52" i="1"/>
  <c r="AE65" i="1"/>
  <c r="AE72" i="1"/>
  <c r="AE95" i="1"/>
  <c r="AE18" i="1"/>
  <c r="AE15" i="1"/>
  <c r="AE49" i="1"/>
  <c r="AE59" i="1"/>
  <c r="AE89" i="1"/>
  <c r="AE112" i="1"/>
  <c r="T21" i="1"/>
  <c r="S7" i="1" a="1"/>
  <c r="S7" i="1" s="1"/>
  <c r="T7" i="1" s="1"/>
  <c r="R8" i="1"/>
  <c r="S8" i="1" s="1" a="1"/>
  <c r="S8" i="1" s="1"/>
  <c r="P8" i="1"/>
  <c r="Q8" i="1" s="1" a="1"/>
  <c r="Q8" i="1" s="1"/>
  <c r="H9" i="1"/>
  <c r="AE34" i="1"/>
  <c r="AE50" i="1"/>
  <c r="AE66" i="1"/>
  <c r="AE82" i="1"/>
  <c r="AE98" i="1"/>
  <c r="AE71" i="1"/>
  <c r="AE87" i="1"/>
  <c r="AE103" i="1"/>
  <c r="AE53" i="1"/>
  <c r="AE69" i="1"/>
  <c r="AE85" i="1"/>
  <c r="P9" i="1" l="1"/>
  <c r="Q9" i="1" s="1" a="1"/>
  <c r="Q9" i="1" s="1"/>
  <c r="H10" i="1"/>
  <c r="R9" i="1"/>
  <c r="S9" i="1" s="1" a="1"/>
  <c r="S9" i="1" s="1"/>
  <c r="T8" i="1"/>
  <c r="T9" i="1" l="1"/>
  <c r="P10" i="1"/>
  <c r="Q10" i="1" s="1" a="1"/>
  <c r="Q10" i="1" s="1"/>
  <c r="H11" i="1"/>
  <c r="R10" i="1"/>
  <c r="S10" i="1" s="1" a="1"/>
  <c r="S10" i="1" s="1"/>
  <c r="R11" i="1" l="1"/>
  <c r="S11" i="1" s="1" a="1"/>
  <c r="S11" i="1" s="1"/>
  <c r="P11" i="1"/>
  <c r="Q11" i="1" s="1" a="1"/>
  <c r="Q11" i="1" s="1"/>
  <c r="T11" i="1" s="1"/>
  <c r="H12" i="1"/>
  <c r="T10" i="1"/>
  <c r="P12" i="1" l="1"/>
  <c r="Q12" i="1" s="1" a="1"/>
  <c r="Q12" i="1" s="1"/>
  <c r="H13" i="1"/>
  <c r="R12" i="1"/>
  <c r="S12" i="1" s="1" a="1"/>
  <c r="S12" i="1" s="1"/>
  <c r="T12" i="1" l="1"/>
  <c r="R13" i="1"/>
  <c r="S13" i="1" s="1" a="1"/>
  <c r="S13" i="1" s="1"/>
  <c r="H14" i="1"/>
  <c r="P13" i="1"/>
  <c r="Q13" i="1" s="1" a="1"/>
  <c r="Q13" i="1" s="1"/>
  <c r="T13" i="1" s="1"/>
  <c r="R14" i="1" l="1"/>
  <c r="S14" i="1" s="1" a="1"/>
  <c r="S14" i="1" s="1"/>
  <c r="P14" i="1"/>
  <c r="Q14" i="1" s="1" a="1"/>
  <c r="Q14" i="1" s="1"/>
  <c r="H15" i="1"/>
  <c r="T14" i="1" l="1"/>
  <c r="H16" i="1"/>
  <c r="P15" i="1"/>
  <c r="Q15" i="1" s="1" a="1"/>
  <c r="Q15" i="1" s="1"/>
  <c r="T15" i="1" s="1"/>
  <c r="R15" i="1"/>
  <c r="S15" i="1" s="1" a="1"/>
  <c r="S15" i="1" s="1"/>
  <c r="H17" i="1" l="1"/>
  <c r="P16" i="1"/>
  <c r="Q16" i="1" s="1" a="1"/>
  <c r="Q16" i="1" s="1"/>
  <c r="T16" i="1" s="1"/>
  <c r="R16" i="1"/>
  <c r="S16" i="1" s="1" a="1"/>
  <c r="S16" i="1" s="1"/>
  <c r="R17" i="1" l="1"/>
  <c r="S17" i="1" s="1" a="1"/>
  <c r="S17" i="1" s="1"/>
  <c r="P17" i="1"/>
  <c r="Q17" i="1" s="1" a="1"/>
  <c r="Q17" i="1" s="1"/>
  <c r="T17" i="1" s="1"/>
  <c r="H18" i="1"/>
  <c r="P18" i="1" l="1"/>
  <c r="Q18" i="1" s="1" a="1"/>
  <c r="Q18" i="1" s="1"/>
  <c r="R18" i="1"/>
  <c r="S18" i="1" s="1" a="1"/>
  <c r="S18" i="1" s="1"/>
  <c r="H19" i="1"/>
  <c r="R19" i="1" l="1"/>
  <c r="S19" i="1" s="1" a="1"/>
  <c r="S19" i="1" s="1"/>
  <c r="H20" i="1"/>
  <c r="P19" i="1"/>
  <c r="Q19" i="1" s="1" a="1"/>
  <c r="Q19" i="1" s="1"/>
  <c r="T18" i="1"/>
  <c r="T19" i="1" l="1"/>
  <c r="H21" i="1"/>
  <c r="H22" i="1" s="1"/>
  <c r="H23" i="1" s="1"/>
  <c r="H24" i="1" s="1"/>
  <c r="H25" i="1" s="1"/>
  <c r="H26" i="1" s="1"/>
  <c r="H27" i="1" s="1"/>
  <c r="H28" i="1" s="1"/>
  <c r="R20" i="1"/>
  <c r="S20" i="1" s="1" a="1"/>
  <c r="S20" i="1" s="1"/>
  <c r="P20" i="1"/>
  <c r="Q20" i="1" s="1" a="1"/>
  <c r="Q20" i="1" s="1"/>
  <c r="T20" i="1" l="1"/>
  <c r="H29" i="1"/>
  <c r="R28" i="1"/>
  <c r="S28" i="1" s="1" a="1"/>
  <c r="S28" i="1" s="1"/>
  <c r="P28" i="1"/>
  <c r="Q28" i="1" s="1" a="1"/>
  <c r="Q28" i="1" s="1"/>
  <c r="T28" i="1" s="1"/>
  <c r="H30" i="1" l="1"/>
  <c r="R29" i="1"/>
  <c r="S29" i="1" s="1" a="1"/>
  <c r="S29" i="1" s="1"/>
  <c r="P29" i="1"/>
  <c r="Q29" i="1" s="1" a="1"/>
  <c r="Q29" i="1" s="1"/>
  <c r="T29" i="1" l="1"/>
  <c r="R30" i="1"/>
  <c r="S30" i="1" s="1" a="1"/>
  <c r="S30" i="1" s="1"/>
  <c r="P30" i="1"/>
  <c r="Q30" i="1" s="1" a="1"/>
  <c r="Q30" i="1" s="1"/>
  <c r="T30" i="1" s="1"/>
  <c r="H31" i="1"/>
  <c r="P31" i="1" l="1"/>
  <c r="Q31" i="1" s="1" a="1"/>
  <c r="Q31" i="1" s="1"/>
  <c r="R31" i="1"/>
  <c r="S31" i="1" s="1" a="1"/>
  <c r="S31" i="1" s="1"/>
  <c r="H32" i="1"/>
  <c r="R32" i="1" l="1"/>
  <c r="S32" i="1" s="1" a="1"/>
  <c r="S32" i="1" s="1"/>
  <c r="P32" i="1"/>
  <c r="Q32" i="1" s="1" a="1"/>
  <c r="Q32" i="1" s="1"/>
  <c r="T32" i="1" s="1"/>
  <c r="H33" i="1"/>
  <c r="T31" i="1"/>
  <c r="H34" i="1" l="1"/>
  <c r="R33" i="1"/>
  <c r="S33" i="1" s="1" a="1"/>
  <c r="S33" i="1" s="1"/>
  <c r="P33" i="1"/>
  <c r="Q33" i="1" s="1" a="1"/>
  <c r="Q33" i="1" s="1"/>
  <c r="T33" i="1" l="1"/>
  <c r="P34" i="1"/>
  <c r="Q34" i="1" s="1" a="1"/>
  <c r="Q34" i="1" s="1"/>
  <c r="H35" i="1"/>
  <c r="R34" i="1"/>
  <c r="S34" i="1" s="1" a="1"/>
  <c r="S34" i="1" s="1"/>
  <c r="R35" i="1" l="1"/>
  <c r="S35" i="1" s="1" a="1"/>
  <c r="S35" i="1" s="1"/>
  <c r="P35" i="1"/>
  <c r="Q35" i="1" s="1" a="1"/>
  <c r="Q35" i="1" s="1"/>
  <c r="H36" i="1"/>
  <c r="T34" i="1"/>
  <c r="T35" i="1" l="1"/>
  <c r="P36" i="1"/>
  <c r="Q36" i="1" s="1" a="1"/>
  <c r="Q36" i="1" s="1"/>
  <c r="H37" i="1"/>
  <c r="R36" i="1"/>
  <c r="S36" i="1" s="1" a="1"/>
  <c r="S36" i="1" s="1"/>
  <c r="R37" i="1" l="1"/>
  <c r="S37" i="1" s="1" a="1"/>
  <c r="S37" i="1" s="1"/>
  <c r="H38" i="1"/>
  <c r="P37" i="1"/>
  <c r="Q37" i="1" s="1" a="1"/>
  <c r="Q37" i="1" s="1"/>
  <c r="T36" i="1"/>
  <c r="T37" i="1" l="1"/>
  <c r="R38" i="1"/>
  <c r="S38" i="1" s="1" a="1"/>
  <c r="S38" i="1" s="1"/>
  <c r="P38" i="1"/>
  <c r="Q38" i="1" s="1" a="1"/>
  <c r="Q38" i="1" s="1"/>
  <c r="T38" i="1" s="1"/>
  <c r="H39" i="1"/>
  <c r="H40" i="1" l="1"/>
  <c r="R39" i="1"/>
  <c r="S39" i="1" s="1" a="1"/>
  <c r="S39" i="1" s="1"/>
  <c r="P39" i="1"/>
  <c r="Q39" i="1" s="1" a="1"/>
  <c r="Q39" i="1" s="1"/>
  <c r="T39" i="1" l="1"/>
  <c r="H41" i="1"/>
  <c r="P40" i="1"/>
  <c r="Q40" i="1" s="1" a="1"/>
  <c r="Q40" i="1" s="1"/>
  <c r="R40" i="1"/>
  <c r="S40" i="1" s="1" a="1"/>
  <c r="S40" i="1" s="1"/>
  <c r="T40" i="1" l="1"/>
  <c r="P41" i="1"/>
  <c r="Q41" i="1" s="1" a="1"/>
  <c r="Q41" i="1" s="1"/>
  <c r="R41" i="1"/>
  <c r="S41" i="1" s="1" a="1"/>
  <c r="S41" i="1" s="1"/>
  <c r="H42" i="1"/>
  <c r="T41" i="1" l="1"/>
  <c r="H43" i="1"/>
  <c r="R42" i="1"/>
  <c r="S42" i="1" s="1" a="1"/>
  <c r="S42" i="1" s="1"/>
  <c r="P42" i="1"/>
  <c r="Q42" i="1" s="1" a="1"/>
  <c r="Q42" i="1" s="1"/>
  <c r="T42" i="1" s="1"/>
  <c r="H44" i="1" l="1"/>
  <c r="R43" i="1"/>
  <c r="S43" i="1" s="1" a="1"/>
  <c r="S43" i="1" s="1"/>
  <c r="P43" i="1"/>
  <c r="Q43" i="1" s="1" a="1"/>
  <c r="Q43" i="1" s="1"/>
  <c r="T43" i="1" l="1"/>
  <c r="P44" i="1"/>
  <c r="Q44" i="1" s="1" a="1"/>
  <c r="Q44" i="1" s="1"/>
  <c r="R44" i="1"/>
  <c r="S44" i="1" s="1" a="1"/>
  <c r="S44" i="1" s="1"/>
  <c r="H45" i="1"/>
  <c r="H46" i="1" l="1"/>
  <c r="R45" i="1"/>
  <c r="S45" i="1" s="1" a="1"/>
  <c r="S45" i="1" s="1"/>
  <c r="P45" i="1"/>
  <c r="Q45" i="1" s="1" a="1"/>
  <c r="Q45" i="1" s="1"/>
  <c r="T44" i="1"/>
  <c r="T45" i="1" l="1"/>
  <c r="R46" i="1"/>
  <c r="S46" i="1" s="1" a="1"/>
  <c r="S46" i="1" s="1"/>
  <c r="P46" i="1"/>
  <c r="Q46" i="1" s="1" a="1"/>
  <c r="Q46" i="1" s="1"/>
  <c r="H47" i="1"/>
  <c r="T46" i="1" l="1"/>
  <c r="P47" i="1"/>
  <c r="Q47" i="1" s="1" a="1"/>
  <c r="Q47" i="1" s="1"/>
  <c r="H48" i="1"/>
  <c r="R47" i="1"/>
  <c r="S47" i="1" s="1" a="1"/>
  <c r="S47" i="1" s="1"/>
  <c r="R48" i="1" l="1"/>
  <c r="S48" i="1" s="1" a="1"/>
  <c r="S48" i="1" s="1"/>
  <c r="P48" i="1"/>
  <c r="Q48" i="1" s="1" a="1"/>
  <c r="Q48" i="1" s="1"/>
  <c r="H49" i="1"/>
  <c r="T47" i="1"/>
  <c r="T48" i="1" l="1"/>
  <c r="R49" i="1"/>
  <c r="S49" i="1" s="1" a="1"/>
  <c r="S49" i="1" s="1"/>
  <c r="H50" i="1"/>
  <c r="P49" i="1"/>
  <c r="Q49" i="1" s="1" a="1"/>
  <c r="Q49" i="1" s="1"/>
  <c r="T49" i="1" s="1"/>
  <c r="P50" i="1" l="1"/>
  <c r="Q50" i="1" s="1" a="1"/>
  <c r="Q50" i="1" s="1"/>
  <c r="H51" i="1"/>
  <c r="R50" i="1"/>
  <c r="S50" i="1" s="1" a="1"/>
  <c r="S50" i="1" s="1"/>
  <c r="R51" i="1" l="1"/>
  <c r="S51" i="1" s="1" a="1"/>
  <c r="S51" i="1" s="1"/>
  <c r="P51" i="1"/>
  <c r="Q51" i="1" s="1" a="1"/>
  <c r="Q51" i="1" s="1"/>
  <c r="T51" i="1" s="1"/>
  <c r="H52" i="1"/>
  <c r="T50" i="1"/>
  <c r="P52" i="1" l="1"/>
  <c r="Q52" i="1" s="1" a="1"/>
  <c r="Q52" i="1" s="1"/>
  <c r="R52" i="1"/>
  <c r="S52" i="1" s="1" a="1"/>
  <c r="S52" i="1" s="1"/>
  <c r="H53" i="1"/>
  <c r="R53" i="1" l="1"/>
  <c r="S53" i="1" s="1" a="1"/>
  <c r="S53" i="1" s="1"/>
  <c r="H54" i="1"/>
  <c r="P53" i="1"/>
  <c r="Q53" i="1" s="1" a="1"/>
  <c r="Q53" i="1" s="1"/>
  <c r="T52" i="1"/>
  <c r="T53" i="1" l="1"/>
  <c r="H55" i="1"/>
  <c r="P54" i="1"/>
  <c r="Q54" i="1" s="1" a="1"/>
  <c r="Q54" i="1" s="1"/>
  <c r="R54" i="1"/>
  <c r="S54" i="1" s="1" a="1"/>
  <c r="S54" i="1" s="1"/>
  <c r="T54" i="1" l="1"/>
  <c r="R55" i="1"/>
  <c r="S55" i="1" s="1" a="1"/>
  <c r="S55" i="1" s="1"/>
  <c r="P55" i="1"/>
  <c r="Q55" i="1" s="1" a="1"/>
  <c r="Q55" i="1" s="1"/>
  <c r="H56" i="1"/>
  <c r="T55" i="1" l="1"/>
  <c r="H57" i="1"/>
  <c r="R56" i="1"/>
  <c r="S56" i="1" s="1" a="1"/>
  <c r="S56" i="1" s="1"/>
  <c r="P56" i="1"/>
  <c r="Q56" i="1" s="1" a="1"/>
  <c r="Q56" i="1" s="1"/>
  <c r="T56" i="1" l="1"/>
  <c r="H58" i="1"/>
  <c r="R57" i="1"/>
  <c r="S57" i="1" s="1" a="1"/>
  <c r="S57" i="1" s="1"/>
  <c r="P57" i="1"/>
  <c r="Q57" i="1" s="1" a="1"/>
  <c r="Q57" i="1" s="1"/>
  <c r="T57" i="1" l="1"/>
  <c r="P58" i="1"/>
  <c r="Q58" i="1" s="1" a="1"/>
  <c r="Q58" i="1" s="1"/>
  <c r="R58" i="1"/>
  <c r="S58" i="1" s="1" a="1"/>
  <c r="S58" i="1" s="1"/>
  <c r="H59" i="1"/>
  <c r="H60" i="1" l="1"/>
  <c r="R59" i="1"/>
  <c r="S59" i="1" s="1" a="1"/>
  <c r="S59" i="1" s="1"/>
  <c r="P59" i="1"/>
  <c r="Q59" i="1" s="1" a="1"/>
  <c r="Q59" i="1" s="1"/>
  <c r="T58" i="1"/>
  <c r="T59" i="1" l="1"/>
  <c r="P60" i="1"/>
  <c r="Q60" i="1" s="1" a="1"/>
  <c r="Q60" i="1" s="1"/>
  <c r="R60" i="1"/>
  <c r="S60" i="1" s="1" a="1"/>
  <c r="S60" i="1" s="1"/>
  <c r="H61" i="1"/>
  <c r="P61" i="1" l="1"/>
  <c r="Q61" i="1" s="1" a="1"/>
  <c r="Q61" i="1" s="1"/>
  <c r="H62" i="1"/>
  <c r="R61" i="1"/>
  <c r="S61" i="1" s="1" a="1"/>
  <c r="S61" i="1" s="1"/>
  <c r="T60" i="1"/>
  <c r="R62" i="1" l="1"/>
  <c r="S62" i="1" s="1" a="1"/>
  <c r="S62" i="1" s="1"/>
  <c r="H63" i="1"/>
  <c r="P62" i="1"/>
  <c r="Q62" i="1" s="1" a="1"/>
  <c r="Q62" i="1" s="1"/>
  <c r="T61" i="1"/>
  <c r="T62" i="1" l="1"/>
  <c r="P63" i="1"/>
  <c r="Q63" i="1" s="1" a="1"/>
  <c r="Q63" i="1" s="1"/>
  <c r="H64" i="1"/>
  <c r="R63" i="1"/>
  <c r="S63" i="1" s="1" a="1"/>
  <c r="S63" i="1" s="1"/>
  <c r="R64" i="1" l="1"/>
  <c r="S64" i="1" s="1" a="1"/>
  <c r="S64" i="1" s="1"/>
  <c r="P64" i="1"/>
  <c r="Q64" i="1" s="1" a="1"/>
  <c r="Q64" i="1" s="1"/>
  <c r="H65" i="1"/>
  <c r="T63" i="1"/>
  <c r="T64" i="1" l="1"/>
  <c r="H66" i="1"/>
  <c r="R65" i="1"/>
  <c r="S65" i="1" s="1" a="1"/>
  <c r="S65" i="1" s="1"/>
  <c r="P65" i="1"/>
  <c r="Q65" i="1" s="1" a="1"/>
  <c r="Q65" i="1" s="1"/>
  <c r="T65" i="1" l="1"/>
  <c r="P66" i="1"/>
  <c r="Q66" i="1" s="1" a="1"/>
  <c r="Q66" i="1" s="1"/>
  <c r="R66" i="1"/>
  <c r="S66" i="1" s="1" a="1"/>
  <c r="S66" i="1" s="1"/>
  <c r="H67" i="1"/>
  <c r="R67" i="1" l="1"/>
  <c r="S67" i="1" s="1" a="1"/>
  <c r="S67" i="1" s="1"/>
  <c r="H68" i="1"/>
  <c r="P67" i="1"/>
  <c r="Q67" i="1" s="1" a="1"/>
  <c r="Q67" i="1" s="1"/>
  <c r="T66" i="1"/>
  <c r="T67" i="1" l="1"/>
  <c r="P68" i="1"/>
  <c r="Q68" i="1" s="1" a="1"/>
  <c r="Q68" i="1" s="1"/>
  <c r="H69" i="1"/>
  <c r="R68" i="1"/>
  <c r="S68" i="1" s="1" a="1"/>
  <c r="S68" i="1" s="1"/>
  <c r="R69" i="1" l="1"/>
  <c r="S69" i="1" s="1" a="1"/>
  <c r="S69" i="1" s="1"/>
  <c r="P69" i="1"/>
  <c r="Q69" i="1" s="1" a="1"/>
  <c r="Q69" i="1" s="1"/>
  <c r="T69" i="1" s="1"/>
  <c r="H70" i="1"/>
  <c r="T68" i="1"/>
  <c r="H71" i="1" l="1"/>
  <c r="P70" i="1"/>
  <c r="Q70" i="1" s="1" a="1"/>
  <c r="Q70" i="1" s="1"/>
  <c r="R70" i="1"/>
  <c r="S70" i="1" s="1" a="1"/>
  <c r="S70" i="1" s="1"/>
  <c r="T70" i="1" l="1"/>
  <c r="P71" i="1"/>
  <c r="Q71" i="1" s="1" a="1"/>
  <c r="Q71" i="1" s="1"/>
  <c r="R71" i="1"/>
  <c r="S71" i="1" s="1" a="1"/>
  <c r="S71" i="1" s="1"/>
  <c r="H72" i="1"/>
  <c r="H73" i="1" l="1"/>
  <c r="R72" i="1"/>
  <c r="S72" i="1" s="1" a="1"/>
  <c r="S72" i="1" s="1"/>
  <c r="P72" i="1"/>
  <c r="Q72" i="1" s="1" a="1"/>
  <c r="Q72" i="1" s="1"/>
  <c r="T71" i="1"/>
  <c r="T72" i="1" l="1"/>
  <c r="H74" i="1"/>
  <c r="R73" i="1"/>
  <c r="S73" i="1" s="1" a="1"/>
  <c r="S73" i="1" s="1"/>
  <c r="P73" i="1"/>
  <c r="Q73" i="1" s="1" a="1"/>
  <c r="Q73" i="1" s="1"/>
  <c r="T73" i="1" s="1"/>
  <c r="P74" i="1" l="1"/>
  <c r="Q74" i="1" s="1" a="1"/>
  <c r="Q74" i="1" s="1"/>
  <c r="H75" i="1"/>
  <c r="R74" i="1"/>
  <c r="S74" i="1" s="1" a="1"/>
  <c r="S74" i="1" s="1"/>
  <c r="H76" i="1" l="1"/>
  <c r="R75" i="1"/>
  <c r="S75" i="1" s="1" a="1"/>
  <c r="S75" i="1" s="1"/>
  <c r="P75" i="1"/>
  <c r="Q75" i="1" s="1" a="1"/>
  <c r="Q75" i="1" s="1"/>
  <c r="T74" i="1"/>
  <c r="T75" i="1" l="1"/>
  <c r="H77" i="1"/>
  <c r="P76" i="1"/>
  <c r="Q76" i="1" s="1" a="1"/>
  <c r="Q76" i="1" s="1"/>
  <c r="R76" i="1"/>
  <c r="S76" i="1" s="1" a="1"/>
  <c r="S76" i="1" s="1"/>
  <c r="T76" i="1" l="1"/>
  <c r="P77" i="1"/>
  <c r="Q77" i="1" s="1" a="1"/>
  <c r="Q77" i="1" s="1"/>
  <c r="H78" i="1"/>
  <c r="R77" i="1"/>
  <c r="S77" i="1" s="1" a="1"/>
  <c r="S77" i="1" s="1"/>
  <c r="R78" i="1" l="1"/>
  <c r="S78" i="1" s="1" a="1"/>
  <c r="S78" i="1" s="1"/>
  <c r="H79" i="1"/>
  <c r="P78" i="1"/>
  <c r="Q78" i="1" s="1" a="1"/>
  <c r="Q78" i="1" s="1"/>
  <c r="T77" i="1"/>
  <c r="T78" i="1" l="1"/>
  <c r="P79" i="1"/>
  <c r="Q79" i="1" s="1" a="1"/>
  <c r="Q79" i="1" s="1"/>
  <c r="H80" i="1"/>
  <c r="R79" i="1"/>
  <c r="S79" i="1" s="1" a="1"/>
  <c r="S79" i="1" s="1"/>
  <c r="R80" i="1" l="1"/>
  <c r="S80" i="1" s="1" a="1"/>
  <c r="S80" i="1" s="1"/>
  <c r="P80" i="1"/>
  <c r="Q80" i="1" s="1" a="1"/>
  <c r="Q80" i="1" s="1"/>
  <c r="H81" i="1"/>
  <c r="T79" i="1"/>
  <c r="T80" i="1" l="1"/>
  <c r="R81" i="1"/>
  <c r="S81" i="1" s="1" a="1"/>
  <c r="S81" i="1" s="1"/>
  <c r="P81" i="1"/>
  <c r="Q81" i="1" s="1" a="1"/>
  <c r="Q81" i="1" s="1"/>
  <c r="H82" i="1"/>
  <c r="P82" i="1" l="1"/>
  <c r="Q82" i="1" s="1" a="1"/>
  <c r="Q82" i="1" s="1"/>
  <c r="H83" i="1"/>
  <c r="R82" i="1"/>
  <c r="S82" i="1" s="1" a="1"/>
  <c r="S82" i="1" s="1"/>
  <c r="T81" i="1"/>
  <c r="R83" i="1" l="1"/>
  <c r="S83" i="1" s="1" a="1"/>
  <c r="S83" i="1" s="1"/>
  <c r="H84" i="1"/>
  <c r="P83" i="1"/>
  <c r="Q83" i="1" s="1" a="1"/>
  <c r="Q83" i="1" s="1"/>
  <c r="T83" i="1" s="1"/>
  <c r="T82" i="1"/>
  <c r="P84" i="1" l="1"/>
  <c r="Q84" i="1" s="1" a="1"/>
  <c r="Q84" i="1" s="1"/>
  <c r="R84" i="1"/>
  <c r="S84" i="1" s="1" a="1"/>
  <c r="S84" i="1" s="1"/>
  <c r="H85" i="1"/>
  <c r="R85" i="1" l="1"/>
  <c r="S85" i="1" s="1" a="1"/>
  <c r="S85" i="1" s="1"/>
  <c r="H86" i="1"/>
  <c r="P85" i="1"/>
  <c r="Q85" i="1" s="1" a="1"/>
  <c r="Q85" i="1" s="1"/>
  <c r="T84" i="1"/>
  <c r="T85" i="1" l="1"/>
  <c r="H87" i="1"/>
  <c r="R86" i="1"/>
  <c r="S86" i="1" s="1" a="1"/>
  <c r="S86" i="1" s="1"/>
  <c r="P86" i="1"/>
  <c r="Q86" i="1" s="1" a="1"/>
  <c r="Q86" i="1" s="1"/>
  <c r="T86" i="1" l="1"/>
  <c r="H88" i="1"/>
  <c r="R87" i="1"/>
  <c r="S87" i="1" s="1" a="1"/>
  <c r="S87" i="1" s="1"/>
  <c r="P87" i="1"/>
  <c r="Q87" i="1" s="1" a="1"/>
  <c r="Q87" i="1" s="1"/>
  <c r="T87" i="1" l="1"/>
  <c r="H89" i="1"/>
  <c r="R88" i="1"/>
  <c r="S88" i="1" s="1" a="1"/>
  <c r="S88" i="1" s="1"/>
  <c r="P88" i="1"/>
  <c r="Q88" i="1" s="1" a="1"/>
  <c r="Q88" i="1" s="1"/>
  <c r="T88" i="1" l="1"/>
  <c r="R89" i="1"/>
  <c r="S89" i="1" s="1" a="1"/>
  <c r="S89" i="1" s="1"/>
  <c r="H90" i="1"/>
  <c r="P89" i="1"/>
  <c r="Q89" i="1" s="1" a="1"/>
  <c r="Q89" i="1" s="1"/>
  <c r="T89" i="1" l="1"/>
  <c r="P90" i="1"/>
  <c r="Q90" i="1" s="1" a="1"/>
  <c r="Q90" i="1" s="1"/>
  <c r="H91" i="1"/>
  <c r="R90" i="1"/>
  <c r="S90" i="1" s="1" a="1"/>
  <c r="S90" i="1" s="1"/>
  <c r="H92" i="1" l="1"/>
  <c r="R91" i="1"/>
  <c r="S91" i="1" s="1" a="1"/>
  <c r="S91" i="1" s="1"/>
  <c r="P91" i="1"/>
  <c r="Q91" i="1" s="1" a="1"/>
  <c r="Q91" i="1" s="1"/>
  <c r="T90" i="1"/>
  <c r="T91" i="1" l="1"/>
  <c r="R92" i="1"/>
  <c r="S92" i="1" s="1" a="1"/>
  <c r="S92" i="1" s="1"/>
  <c r="P92" i="1"/>
  <c r="Q92" i="1" s="1" a="1"/>
  <c r="Q92" i="1" s="1"/>
  <c r="H93" i="1"/>
  <c r="T92" i="1" l="1"/>
  <c r="P93" i="1"/>
  <c r="Q93" i="1" s="1" a="1"/>
  <c r="Q93" i="1" s="1"/>
  <c r="H94" i="1"/>
  <c r="R93" i="1"/>
  <c r="S93" i="1" s="1" a="1"/>
  <c r="S93" i="1" s="1"/>
  <c r="R94" i="1" l="1"/>
  <c r="S94" i="1" s="1" a="1"/>
  <c r="S94" i="1" s="1"/>
  <c r="P94" i="1"/>
  <c r="Q94" i="1" s="1" a="1"/>
  <c r="Q94" i="1" s="1"/>
  <c r="H95" i="1"/>
  <c r="T93" i="1"/>
  <c r="T94" i="1" l="1"/>
  <c r="P95" i="1"/>
  <c r="Q95" i="1" s="1" a="1"/>
  <c r="Q95" i="1" s="1"/>
  <c r="H96" i="1"/>
  <c r="R95" i="1"/>
  <c r="S95" i="1" s="1" a="1"/>
  <c r="S95" i="1" s="1"/>
  <c r="R96" i="1" l="1"/>
  <c r="S96" i="1" s="1" a="1"/>
  <c r="S96" i="1" s="1"/>
  <c r="H97" i="1"/>
  <c r="P96" i="1"/>
  <c r="Q96" i="1" s="1" a="1"/>
  <c r="Q96" i="1" s="1"/>
  <c r="T95" i="1"/>
  <c r="T96" i="1" l="1"/>
  <c r="P97" i="1"/>
  <c r="Q97" i="1" s="1" a="1"/>
  <c r="Q97" i="1" s="1"/>
  <c r="R97" i="1"/>
  <c r="S97" i="1" s="1" a="1"/>
  <c r="S97" i="1" s="1"/>
  <c r="H98" i="1"/>
  <c r="P98" i="1" l="1"/>
  <c r="Q98" i="1" s="1" a="1"/>
  <c r="Q98" i="1" s="1"/>
  <c r="H99" i="1"/>
  <c r="R98" i="1"/>
  <c r="S98" i="1" s="1" a="1"/>
  <c r="S98" i="1" s="1"/>
  <c r="T97" i="1"/>
  <c r="R99" i="1" l="1"/>
  <c r="S99" i="1" s="1" a="1"/>
  <c r="S99" i="1" s="1"/>
  <c r="H100" i="1"/>
  <c r="P99" i="1"/>
  <c r="Q99" i="1" s="1" a="1"/>
  <c r="Q99" i="1" s="1"/>
  <c r="T98" i="1"/>
  <c r="T99" i="1" l="1"/>
  <c r="P100" i="1"/>
  <c r="Q100" i="1" s="1" a="1"/>
  <c r="Q100" i="1" s="1"/>
  <c r="R100" i="1"/>
  <c r="S100" i="1" s="1" a="1"/>
  <c r="S100" i="1" s="1"/>
  <c r="H101" i="1"/>
  <c r="T100" i="1" l="1"/>
  <c r="R101" i="1"/>
  <c r="S101" i="1" s="1" a="1"/>
  <c r="S101" i="1" s="1"/>
  <c r="H102" i="1"/>
  <c r="P101" i="1"/>
  <c r="Q101" i="1" s="1" a="1"/>
  <c r="Q101" i="1" s="1"/>
  <c r="T101" i="1" l="1"/>
  <c r="H103" i="1"/>
  <c r="P102" i="1"/>
  <c r="Q102" i="1" s="1" a="1"/>
  <c r="Q102" i="1" s="1"/>
  <c r="R102" i="1"/>
  <c r="S102" i="1" s="1" a="1"/>
  <c r="S102" i="1" s="1"/>
  <c r="T102" i="1" l="1"/>
  <c r="R103" i="1"/>
  <c r="S103" i="1" s="1" a="1"/>
  <c r="S103" i="1" s="1"/>
  <c r="P103" i="1"/>
  <c r="Q103" i="1" s="1" a="1"/>
  <c r="Q103" i="1" s="1"/>
  <c r="H104" i="1"/>
  <c r="T103" i="1" l="1"/>
  <c r="H105" i="1"/>
  <c r="R104" i="1"/>
  <c r="S104" i="1" s="1" a="1"/>
  <c r="S104" i="1" s="1"/>
  <c r="P104" i="1"/>
  <c r="Q104" i="1" s="1" a="1"/>
  <c r="Q104" i="1" s="1"/>
  <c r="T104" i="1" s="1"/>
  <c r="P105" i="1" l="1"/>
  <c r="Q105" i="1" s="1" a="1"/>
  <c r="Q105" i="1" s="1"/>
  <c r="R105" i="1"/>
  <c r="S105" i="1" s="1" a="1"/>
  <c r="S105" i="1" s="1"/>
  <c r="H106" i="1"/>
  <c r="P106" i="1" l="1"/>
  <c r="Q106" i="1" s="1" a="1"/>
  <c r="Q106" i="1" s="1"/>
  <c r="H107" i="1"/>
  <c r="R106" i="1"/>
  <c r="S106" i="1" s="1" a="1"/>
  <c r="S106" i="1" s="1"/>
  <c r="T105" i="1"/>
  <c r="H108" i="1" l="1"/>
  <c r="R107" i="1"/>
  <c r="S107" i="1" s="1" a="1"/>
  <c r="S107" i="1" s="1"/>
  <c r="P107" i="1"/>
  <c r="Q107" i="1" s="1" a="1"/>
  <c r="Q107" i="1" s="1"/>
  <c r="T106" i="1"/>
  <c r="T107" i="1" l="1"/>
  <c r="P108" i="1"/>
  <c r="Q108" i="1" s="1" a="1"/>
  <c r="Q108" i="1" s="1"/>
  <c r="H109" i="1"/>
  <c r="R108" i="1"/>
  <c r="S108" i="1" s="1" a="1"/>
  <c r="S108" i="1" s="1"/>
  <c r="P109" i="1" l="1"/>
  <c r="Q109" i="1" s="1" a="1"/>
  <c r="Q109" i="1" s="1"/>
  <c r="H110" i="1"/>
  <c r="R109" i="1"/>
  <c r="S109" i="1" s="1" a="1"/>
  <c r="S109" i="1" s="1"/>
  <c r="T108" i="1"/>
  <c r="T109" i="1" l="1"/>
  <c r="R110" i="1"/>
  <c r="S110" i="1" s="1" a="1"/>
  <c r="S110" i="1" s="1"/>
  <c r="H111" i="1"/>
  <c r="P110" i="1"/>
  <c r="Q110" i="1" s="1" a="1"/>
  <c r="Q110" i="1" s="1"/>
  <c r="T110" i="1" l="1"/>
  <c r="P111" i="1"/>
  <c r="Q111" i="1" s="1" a="1"/>
  <c r="Q111" i="1" s="1"/>
  <c r="R111" i="1"/>
  <c r="S111" i="1" s="1" a="1"/>
  <c r="S111" i="1" s="1"/>
  <c r="H112" i="1"/>
  <c r="T111" i="1" l="1"/>
  <c r="R112" i="1"/>
  <c r="S112" i="1" s="1" a="1"/>
  <c r="S112" i="1" s="1"/>
  <c r="P112" i="1"/>
  <c r="Q112" i="1" s="1" a="1"/>
  <c r="Q112" i="1" s="1"/>
  <c r="T112" i="1" l="1"/>
  <c r="E17" i="1" s="1" a="1"/>
  <c r="E1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<sst xmlns="http://schemas.openxmlformats.org/spreadsheetml/2006/main" count="47" uniqueCount="30">
  <si>
    <t>ACTUAL</t>
  </si>
  <si>
    <t>FORECAST</t>
  </si>
  <si>
    <t>Petrol (litres)</t>
  </si>
  <si>
    <t>Diesel (litres)</t>
  </si>
  <si>
    <t>Petrol</t>
  </si>
  <si>
    <t>Diesel</t>
  </si>
  <si>
    <t>Closing Stock</t>
  </si>
  <si>
    <t>Offtake</t>
  </si>
  <si>
    <t>Offtake - Tonga Power</t>
  </si>
  <si>
    <t>Offtake - Remainder</t>
  </si>
  <si>
    <t>Offtake - Total</t>
  </si>
  <si>
    <t>Forecast delivery</t>
  </si>
  <si>
    <t>Min</t>
  </si>
  <si>
    <t>Max</t>
  </si>
  <si>
    <t>Example</t>
  </si>
  <si>
    <t>Update as required</t>
  </si>
  <si>
    <t>Date</t>
  </si>
  <si>
    <t>Next resupply 1</t>
  </si>
  <si>
    <t>Next resupply 2</t>
  </si>
  <si>
    <t>Next resupply 3</t>
  </si>
  <si>
    <t>Next resupply 4</t>
  </si>
  <si>
    <t>Next resupply 5</t>
  </si>
  <si>
    <t>Tongatapu</t>
  </si>
  <si>
    <t>Terminal Info</t>
  </si>
  <si>
    <t>Safe fill capacity</t>
  </si>
  <si>
    <t>(litres)</t>
  </si>
  <si>
    <t>Unpumpable tank capacity</t>
  </si>
  <si>
    <t>Pumpable tank capacity</t>
  </si>
  <si>
    <t xml:space="preserve">Daily stock report </t>
  </si>
  <si>
    <t>Fuel Storage for Company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</si>
</sst>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 ;\-#,##0\ "/>
    <numFmt numFmtId="165" formatCode="ddd\ dd\ mmm"/>
    <numFmt numFmtId="166" formatCode="ddd\ dd\ mmm\ \'yy"/>
  </numFmts>
  <fonts count="12" x14ac:knownFonts="1">
    <font>
      <sz val="10"/>
      <color theme="1"/>
      <name val="Calibri"/>
      <family val="2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9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8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theme="0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164" fontId="1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left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center" vertical="center"/>
    </xf>
    <xf numFmtId="164" fontId="4" fillId="2" borderId="5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right" vertical="center"/>
    </xf>
    <xf numFmtId="164" fontId="4" fillId="2" borderId="6" xfId="0" applyNumberFormat="1" applyFont="1" applyFill="1" applyBorder="1" applyAlignment="1">
      <alignment horizontal="center" vertical="center"/>
    </xf>
    <xf numFmtId="164" fontId="4" fillId="2" borderId="7" xfId="0" applyNumberFormat="1" applyFont="1" applyFill="1" applyBorder="1" applyAlignment="1">
      <alignment horizontal="center" vertical="center"/>
    </xf>
    <xf numFmtId="164" fontId="4" fillId="2" borderId="8" xfId="0" applyNumberFormat="1" applyFont="1" applyFill="1" applyBorder="1" applyAlignment="1">
      <alignment horizontal="center" vertical="center"/>
    </xf>
    <xf numFmtId="164" fontId="4" fillId="2" borderId="9" xfId="0" applyNumberFormat="1" applyFont="1" applyFill="1" applyBorder="1" applyAlignment="1">
      <alignment horizontal="center" vertical="center" wrapText="1"/>
    </xf>
    <xf numFmtId="164" fontId="4" fillId="2" borderId="10" xfId="0" applyNumberFormat="1" applyFont="1" applyFill="1" applyBorder="1" applyAlignment="1">
      <alignment horizontal="center" vertical="center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11" xfId="0" applyNumberFormat="1" applyFont="1" applyFill="1" applyBorder="1" applyAlignment="1">
      <alignment horizontal="center" vertical="center" wrapText="1"/>
    </xf>
    <xf numFmtId="164" fontId="4" fillId="2" borderId="12" xfId="0" applyNumberFormat="1" applyFont="1" applyFill="1" applyBorder="1" applyAlignment="1">
      <alignment horizontal="center" vertical="center" wrapText="1"/>
    </xf>
    <xf numFmtId="164" fontId="4" fillId="2" borderId="13" xfId="0" applyNumberFormat="1" applyFont="1" applyFill="1" applyBorder="1" applyAlignment="1">
      <alignment horizontal="center" vertical="center" wrapText="1"/>
    </xf>
    <xf numFmtId="164" fontId="4" fillId="2" borderId="14" xfId="0" applyNumberFormat="1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horizontal="right" vertical="center"/>
    </xf>
    <xf numFmtId="3" fontId="5" fillId="4" borderId="15" xfId="0" applyNumberFormat="1" applyFont="1" applyFill="1" applyBorder="1" applyAlignment="1">
      <alignment horizontal="center" vertical="center"/>
    </xf>
    <xf numFmtId="165" fontId="6" fillId="0" borderId="16" xfId="0" applyNumberFormat="1" applyFont="1" applyBorder="1" applyAlignment="1">
      <alignment horizontal="center" vertical="center"/>
    </xf>
    <xf numFmtId="164" fontId="0" fillId="3" borderId="15" xfId="0" applyNumberFormat="1" applyFill="1" applyBorder="1" applyAlignment="1" applyProtection="1">
      <alignment horizontal="right" vertical="center"/>
      <protection locked="0"/>
    </xf>
    <xf numFmtId="164" fontId="0" fillId="0" borderId="15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right" vertical="center"/>
    </xf>
    <xf numFmtId="164" fontId="0" fillId="0" borderId="0" xfId="0" applyNumberFormat="1" applyAlignment="1">
      <alignment horizontal="left" vertical="center"/>
    </xf>
    <xf numFmtId="164" fontId="7" fillId="0" borderId="0" xfId="0" applyNumberFormat="1" applyFont="1" applyAlignment="1">
      <alignment horizontal="right" vertical="center"/>
    </xf>
    <xf numFmtId="164" fontId="4" fillId="2" borderId="17" xfId="0" applyNumberFormat="1" applyFont="1" applyFill="1" applyBorder="1" applyAlignment="1">
      <alignment horizontal="center" vertical="center"/>
    </xf>
    <xf numFmtId="164" fontId="4" fillId="2" borderId="18" xfId="0" applyNumberFormat="1" applyFont="1" applyFill="1" applyBorder="1" applyAlignment="1">
      <alignment horizontal="center" vertical="center"/>
    </xf>
    <xf numFmtId="164" fontId="4" fillId="2" borderId="19" xfId="0" applyNumberFormat="1" applyFont="1" applyFill="1" applyBorder="1" applyAlignment="1">
      <alignment horizontal="center" vertical="center"/>
    </xf>
    <xf numFmtId="164" fontId="0" fillId="3" borderId="16" xfId="0" applyNumberFormat="1" applyFill="1" applyBorder="1" applyAlignment="1" applyProtection="1">
      <alignment horizontal="right" vertical="center"/>
      <protection locked="0"/>
    </xf>
    <xf numFmtId="164" fontId="0" fillId="0" borderId="15" xfId="0" applyNumberFormat="1" applyBorder="1" applyAlignment="1">
      <alignment horizontal="right" vertical="center"/>
    </xf>
    <xf numFmtId="166" fontId="5" fillId="4" borderId="15" xfId="0" applyNumberFormat="1" applyFont="1" applyFill="1" applyBorder="1" applyAlignment="1">
      <alignment horizontal="center" vertical="center"/>
    </xf>
    <xf numFmtId="166" fontId="0" fillId="3" borderId="15" xfId="0" applyNumberFormat="1" applyFill="1" applyBorder="1" applyAlignment="1" applyProtection="1">
      <alignment horizontal="center" vertical="center"/>
      <protection locked="0"/>
    </xf>
    <xf numFmtId="3" fontId="0" fillId="3" borderId="15" xfId="0" applyNumberFormat="1" applyFill="1" applyBorder="1" applyAlignment="1" applyProtection="1">
      <alignment horizontal="center" vertical="center"/>
      <protection locked="0"/>
    </xf>
    <xf numFmtId="166" fontId="0" fillId="3" borderId="16" xfId="0" applyNumberFormat="1" applyFill="1" applyBorder="1" applyAlignment="1" applyProtection="1">
      <alignment horizontal="center" vertical="center"/>
      <protection locked="0"/>
    </xf>
    <xf numFmtId="3" fontId="0" fillId="3" borderId="16" xfId="0" applyNumberFormat="1" applyFill="1" applyBorder="1" applyAlignment="1" applyProtection="1">
      <alignment horizontal="center" vertical="center"/>
      <protection locked="0"/>
    </xf>
    <xf numFmtId="164" fontId="0" fillId="0" borderId="16" xfId="0" applyNumberFormat="1" applyBorder="1" applyAlignment="1">
      <alignment horizontal="center" vertical="center"/>
    </xf>
    <xf numFmtId="164" fontId="0" fillId="5" borderId="20" xfId="0" applyNumberFormat="1" applyFill="1" applyBorder="1" applyAlignment="1">
      <alignment horizontal="right" vertical="center"/>
    </xf>
    <xf numFmtId="164" fontId="0" fillId="5" borderId="21" xfId="0" applyNumberFormat="1" applyFill="1" applyBorder="1" applyAlignment="1">
      <alignment horizontal="center" vertical="center"/>
    </xf>
    <xf numFmtId="164" fontId="0" fillId="5" borderId="21" xfId="0" applyNumberFormat="1" applyFill="1" applyBorder="1" applyAlignment="1">
      <alignment horizontal="right" vertical="center"/>
    </xf>
    <xf numFmtId="164" fontId="8" fillId="5" borderId="22" xfId="0" applyNumberFormat="1" applyFont="1" applyFill="1" applyBorder="1" applyAlignment="1">
      <alignment horizontal="left" vertical="center"/>
    </xf>
    <xf numFmtId="164" fontId="0" fillId="5" borderId="23" xfId="0" applyNumberFormat="1" applyFill="1" applyBorder="1" applyAlignment="1">
      <alignment horizontal="right" vertical="center"/>
    </xf>
    <xf numFmtId="164" fontId="0" fillId="5" borderId="0" xfId="0" applyNumberFormat="1" applyFill="1" applyAlignment="1">
      <alignment horizontal="center" vertical="center"/>
    </xf>
    <xf numFmtId="164" fontId="0" fillId="5" borderId="0" xfId="0" applyNumberFormat="1" applyFill="1" applyAlignment="1">
      <alignment horizontal="right" vertical="center"/>
    </xf>
    <xf numFmtId="164" fontId="8" fillId="5" borderId="0" xfId="0" applyNumberFormat="1" applyFont="1" applyFill="1" applyAlignment="1">
      <alignment horizontal="right" vertical="center"/>
    </xf>
    <xf numFmtId="164" fontId="0" fillId="5" borderId="24" xfId="0" applyNumberFormat="1" applyFill="1" applyBorder="1" applyAlignment="1">
      <alignment horizontal="left" vertical="center"/>
    </xf>
    <xf numFmtId="164" fontId="0" fillId="5" borderId="23" xfId="0" applyNumberFormat="1" applyFill="1" applyBorder="1" applyAlignment="1">
      <alignment horizontal="left" vertical="center"/>
    </xf>
    <xf numFmtId="164" fontId="0" fillId="5" borderId="25" xfId="0" applyNumberFormat="1" applyFill="1" applyBorder="1" applyAlignment="1">
      <alignment horizontal="left" vertical="center"/>
    </xf>
    <xf numFmtId="164" fontId="0" fillId="5" borderId="26" xfId="0" applyNumberFormat="1" applyFill="1" applyBorder="1" applyAlignment="1">
      <alignment horizontal="right" vertical="center"/>
    </xf>
    <xf numFmtId="164" fontId="8" fillId="5" borderId="27" xfId="0" applyNumberFormat="1" applyFont="1" applyFill="1" applyBorder="1" applyAlignment="1">
      <alignment horizontal="left" vertical="center"/>
    </xf>
    <xf numFmtId="164" fontId="4" fillId="2" borderId="28" xfId="0" applyNumberFormat="1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right" vertical="center"/>
    </xf>
    <xf numFmtId="164" fontId="0" fillId="0" borderId="0" xfId="0" applyNumberFormat="1" applyAlignment="1">
      <alignment horizontal="center" vertical="center"/>
    </xf>
    <xf numFmtId="164" fontId="4" fillId="2" borderId="9" xfId="0" applyNumberFormat="1" applyFont="1" applyFill="1" applyBorder="1" applyAlignment="1">
      <alignment horizontal="center" vertical="center"/>
    </xf>
    <xf numFmtId="164" fontId="4" fillId="2" borderId="11" xfId="0" applyNumberFormat="1" applyFont="1" applyFill="1" applyBorder="1" applyAlignment="1">
      <alignment horizontal="center" vertical="center"/>
    </xf>
    <xf numFmtId="164" fontId="9" fillId="3" borderId="16" xfId="0" applyNumberFormat="1" applyFont="1" applyFill="1" applyBorder="1" applyAlignment="1" applyProtection="1">
      <alignment horizontal="right" vertical="center"/>
      <protection locked="0"/>
    </xf>
    <xf numFmtId="164" fontId="8" fillId="3" borderId="16" xfId="0" applyNumberFormat="1" applyFont="1" applyFill="1" applyBorder="1" applyAlignment="1" applyProtection="1">
      <alignment horizontal="right" vertical="center"/>
      <protection locked="0"/>
    </xf>
    <xf numFmtId="164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center"/>
    </xf>
    <xf numFmtId="164" fontId="1" fillId="6" borderId="29" xfId="0" applyNumberFormat="1" applyFont="1" applyFill="1" applyBorder="1" applyAlignment="1">
      <alignment horizontal="center" vertical="center"/>
    </xf>
    <xf numFmtId="164" fontId="1" fillId="6" borderId="3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NZ"/>
              <a:t>Petrol Stocks</a:t>
            </a:r>
          </a:p>
        </c:rich>
      </c:tx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21806649168853"/>
          <c:y val="0.17777777777777778"/>
          <c:w val="0.77826224846894143"/>
          <c:h val="0.69181977252843385"/>
        </c:manualLayout>
      </c:layout>
      <c:lineChart>
        <c:grouping val="standard"/>
        <c:varyColors val="0"/>
        <c:ser>
          <c:idx val="1"/>
          <c:order val="0"/>
          <c:tx>
            <c:v>Petrol Stock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'[1]Daily Stock'!$G$5:$G$110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'[1]Daily Stock'!$P$5:$P$110</c:f>
              <c:numCache>
                <c:formatCode>#,##0_ ;\-#,##0\ 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703167</c:v>
                </c:pt>
                <c:pt idx="15">
                  <c:v>681592</c:v>
                </c:pt>
                <c:pt idx="16">
                  <c:v>669529</c:v>
                </c:pt>
                <c:pt idx="17">
                  <c:v>669529</c:v>
                </c:pt>
                <c:pt idx="18">
                  <c:v>651732</c:v>
                </c:pt>
                <c:pt idx="19">
                  <c:v>651732</c:v>
                </c:pt>
                <c:pt idx="20">
                  <c:v>651732</c:v>
                </c:pt>
                <c:pt idx="21">
                  <c:v>643532</c:v>
                </c:pt>
                <c:pt idx="22">
                  <c:v>635332</c:v>
                </c:pt>
                <c:pt idx="23">
                  <c:v>627132</c:v>
                </c:pt>
                <c:pt idx="24">
                  <c:v>618932</c:v>
                </c:pt>
                <c:pt idx="25">
                  <c:v>610732</c:v>
                </c:pt>
                <c:pt idx="26">
                  <c:v>602532</c:v>
                </c:pt>
                <c:pt idx="27">
                  <c:v>594332</c:v>
                </c:pt>
                <c:pt idx="28">
                  <c:v>586132</c:v>
                </c:pt>
                <c:pt idx="29">
                  <c:v>577932</c:v>
                </c:pt>
                <c:pt idx="30">
                  <c:v>569732</c:v>
                </c:pt>
                <c:pt idx="31">
                  <c:v>561532</c:v>
                </c:pt>
                <c:pt idx="32">
                  <c:v>553332</c:v>
                </c:pt>
                <c:pt idx="33">
                  <c:v>545132</c:v>
                </c:pt>
                <c:pt idx="34">
                  <c:v>536932</c:v>
                </c:pt>
                <c:pt idx="35">
                  <c:v>528732</c:v>
                </c:pt>
                <c:pt idx="36">
                  <c:v>520532</c:v>
                </c:pt>
                <c:pt idx="37">
                  <c:v>512332</c:v>
                </c:pt>
                <c:pt idx="38">
                  <c:v>654132</c:v>
                </c:pt>
                <c:pt idx="39">
                  <c:v>645932</c:v>
                </c:pt>
                <c:pt idx="40">
                  <c:v>637732</c:v>
                </c:pt>
                <c:pt idx="41">
                  <c:v>629532</c:v>
                </c:pt>
                <c:pt idx="42">
                  <c:v>621332</c:v>
                </c:pt>
                <c:pt idx="43">
                  <c:v>613132</c:v>
                </c:pt>
                <c:pt idx="44">
                  <c:v>604932</c:v>
                </c:pt>
                <c:pt idx="45">
                  <c:v>596732</c:v>
                </c:pt>
                <c:pt idx="46">
                  <c:v>588532</c:v>
                </c:pt>
                <c:pt idx="47">
                  <c:v>580332</c:v>
                </c:pt>
                <c:pt idx="48">
                  <c:v>572132</c:v>
                </c:pt>
                <c:pt idx="49">
                  <c:v>563932</c:v>
                </c:pt>
                <c:pt idx="50">
                  <c:v>555732</c:v>
                </c:pt>
                <c:pt idx="51">
                  <c:v>547532</c:v>
                </c:pt>
                <c:pt idx="52">
                  <c:v>539332</c:v>
                </c:pt>
                <c:pt idx="53">
                  <c:v>531132</c:v>
                </c:pt>
                <c:pt idx="54">
                  <c:v>522932</c:v>
                </c:pt>
                <c:pt idx="55">
                  <c:v>514732</c:v>
                </c:pt>
                <c:pt idx="56">
                  <c:v>506532</c:v>
                </c:pt>
                <c:pt idx="57">
                  <c:v>648332</c:v>
                </c:pt>
                <c:pt idx="58">
                  <c:v>640132</c:v>
                </c:pt>
                <c:pt idx="59">
                  <c:v>631932</c:v>
                </c:pt>
                <c:pt idx="60">
                  <c:v>623732</c:v>
                </c:pt>
                <c:pt idx="61">
                  <c:v>615532</c:v>
                </c:pt>
                <c:pt idx="62">
                  <c:v>607332</c:v>
                </c:pt>
                <c:pt idx="63">
                  <c:v>599132</c:v>
                </c:pt>
                <c:pt idx="64">
                  <c:v>590932</c:v>
                </c:pt>
                <c:pt idx="65">
                  <c:v>582732</c:v>
                </c:pt>
                <c:pt idx="66">
                  <c:v>574532</c:v>
                </c:pt>
                <c:pt idx="67">
                  <c:v>566332</c:v>
                </c:pt>
                <c:pt idx="68">
                  <c:v>558132</c:v>
                </c:pt>
                <c:pt idx="69">
                  <c:v>549932</c:v>
                </c:pt>
                <c:pt idx="70">
                  <c:v>541732</c:v>
                </c:pt>
                <c:pt idx="71">
                  <c:v>533532</c:v>
                </c:pt>
                <c:pt idx="72">
                  <c:v>525332</c:v>
                </c:pt>
                <c:pt idx="73">
                  <c:v>517132</c:v>
                </c:pt>
                <c:pt idx="74">
                  <c:v>508932</c:v>
                </c:pt>
                <c:pt idx="75">
                  <c:v>500732</c:v>
                </c:pt>
                <c:pt idx="76">
                  <c:v>492532</c:v>
                </c:pt>
                <c:pt idx="77">
                  <c:v>484332</c:v>
                </c:pt>
                <c:pt idx="78">
                  <c:v>476132</c:v>
                </c:pt>
                <c:pt idx="79">
                  <c:v>467932</c:v>
                </c:pt>
                <c:pt idx="80">
                  <c:v>459732</c:v>
                </c:pt>
                <c:pt idx="81">
                  <c:v>451532</c:v>
                </c:pt>
                <c:pt idx="82">
                  <c:v>443332</c:v>
                </c:pt>
                <c:pt idx="83">
                  <c:v>435132</c:v>
                </c:pt>
                <c:pt idx="84">
                  <c:v>426932</c:v>
                </c:pt>
                <c:pt idx="85">
                  <c:v>418732</c:v>
                </c:pt>
                <c:pt idx="86">
                  <c:v>410532</c:v>
                </c:pt>
                <c:pt idx="87">
                  <c:v>402332</c:v>
                </c:pt>
                <c:pt idx="88">
                  <c:v>394132</c:v>
                </c:pt>
                <c:pt idx="89">
                  <c:v>385932</c:v>
                </c:pt>
                <c:pt idx="90">
                  <c:v>377732</c:v>
                </c:pt>
                <c:pt idx="91">
                  <c:v>369532</c:v>
                </c:pt>
                <c:pt idx="92">
                  <c:v>361332</c:v>
                </c:pt>
                <c:pt idx="93">
                  <c:v>353132</c:v>
                </c:pt>
                <c:pt idx="94">
                  <c:v>344932</c:v>
                </c:pt>
                <c:pt idx="95">
                  <c:v>336732</c:v>
                </c:pt>
                <c:pt idx="96">
                  <c:v>328532</c:v>
                </c:pt>
                <c:pt idx="97">
                  <c:v>320332</c:v>
                </c:pt>
                <c:pt idx="98">
                  <c:v>312132</c:v>
                </c:pt>
                <c:pt idx="99">
                  <c:v>303932</c:v>
                </c:pt>
                <c:pt idx="100">
                  <c:v>295732</c:v>
                </c:pt>
                <c:pt idx="101">
                  <c:v>287532</c:v>
                </c:pt>
                <c:pt idx="102">
                  <c:v>279332</c:v>
                </c:pt>
                <c:pt idx="103">
                  <c:v>271132</c:v>
                </c:pt>
                <c:pt idx="104">
                  <c:v>262932</c:v>
                </c:pt>
                <c:pt idx="105">
                  <c:v>254732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3A-44EC-9606-21343CEB952F}"/>
            </c:ext>
          </c:extLst>
        </c:ser>
        <c:ser>
          <c:idx val="0"/>
          <c:order val="1"/>
          <c:tx>
            <c:v>Min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'[1]Daily Stock'!$G$5:$G$110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'[1]Daily Stock'!$AB$5:$AB$110</c:f>
              <c:numCache>
                <c:formatCode>#,##0_ ;\-#,##0\ </c:formatCode>
                <c:ptCount val="106"/>
                <c:pt idx="0">
                  <c:v>16085</c:v>
                </c:pt>
                <c:pt idx="1">
                  <c:v>16085</c:v>
                </c:pt>
                <c:pt idx="2">
                  <c:v>16085</c:v>
                </c:pt>
                <c:pt idx="3">
                  <c:v>16085</c:v>
                </c:pt>
                <c:pt idx="4">
                  <c:v>16085</c:v>
                </c:pt>
                <c:pt idx="5">
                  <c:v>16085</c:v>
                </c:pt>
                <c:pt idx="6">
                  <c:v>16085</c:v>
                </c:pt>
                <c:pt idx="7">
                  <c:v>16085</c:v>
                </c:pt>
                <c:pt idx="8">
                  <c:v>16085</c:v>
                </c:pt>
                <c:pt idx="9">
                  <c:v>16085</c:v>
                </c:pt>
                <c:pt idx="10">
                  <c:v>16085</c:v>
                </c:pt>
                <c:pt idx="11">
                  <c:v>16085</c:v>
                </c:pt>
                <c:pt idx="12">
                  <c:v>16085</c:v>
                </c:pt>
                <c:pt idx="13">
                  <c:v>16085</c:v>
                </c:pt>
                <c:pt idx="14">
                  <c:v>16085</c:v>
                </c:pt>
                <c:pt idx="15">
                  <c:v>16085</c:v>
                </c:pt>
                <c:pt idx="16">
                  <c:v>16085</c:v>
                </c:pt>
                <c:pt idx="17">
                  <c:v>16085</c:v>
                </c:pt>
                <c:pt idx="18">
                  <c:v>16085</c:v>
                </c:pt>
                <c:pt idx="19">
                  <c:v>16085</c:v>
                </c:pt>
                <c:pt idx="20">
                  <c:v>16085</c:v>
                </c:pt>
                <c:pt idx="21">
                  <c:v>16085</c:v>
                </c:pt>
                <c:pt idx="22">
                  <c:v>16085</c:v>
                </c:pt>
                <c:pt idx="23">
                  <c:v>16085</c:v>
                </c:pt>
                <c:pt idx="24">
                  <c:v>16085</c:v>
                </c:pt>
                <c:pt idx="25">
                  <c:v>16085</c:v>
                </c:pt>
                <c:pt idx="26">
                  <c:v>16085</c:v>
                </c:pt>
                <c:pt idx="27">
                  <c:v>16085</c:v>
                </c:pt>
                <c:pt idx="28">
                  <c:v>16085</c:v>
                </c:pt>
                <c:pt idx="29">
                  <c:v>16085</c:v>
                </c:pt>
                <c:pt idx="30">
                  <c:v>16085</c:v>
                </c:pt>
                <c:pt idx="31">
                  <c:v>16085</c:v>
                </c:pt>
                <c:pt idx="32">
                  <c:v>16085</c:v>
                </c:pt>
                <c:pt idx="33">
                  <c:v>16085</c:v>
                </c:pt>
                <c:pt idx="34">
                  <c:v>16085</c:v>
                </c:pt>
                <c:pt idx="35">
                  <c:v>16085</c:v>
                </c:pt>
                <c:pt idx="36">
                  <c:v>16085</c:v>
                </c:pt>
                <c:pt idx="37">
                  <c:v>16085</c:v>
                </c:pt>
                <c:pt idx="38">
                  <c:v>16085</c:v>
                </c:pt>
                <c:pt idx="39">
                  <c:v>16085</c:v>
                </c:pt>
                <c:pt idx="40">
                  <c:v>16085</c:v>
                </c:pt>
                <c:pt idx="41">
                  <c:v>16085</c:v>
                </c:pt>
                <c:pt idx="42">
                  <c:v>16085</c:v>
                </c:pt>
                <c:pt idx="43">
                  <c:v>16085</c:v>
                </c:pt>
                <c:pt idx="44">
                  <c:v>16085</c:v>
                </c:pt>
                <c:pt idx="45">
                  <c:v>16085</c:v>
                </c:pt>
                <c:pt idx="46">
                  <c:v>16085</c:v>
                </c:pt>
                <c:pt idx="47">
                  <c:v>16085</c:v>
                </c:pt>
                <c:pt idx="48">
                  <c:v>16085</c:v>
                </c:pt>
                <c:pt idx="49">
                  <c:v>16085</c:v>
                </c:pt>
                <c:pt idx="50">
                  <c:v>16085</c:v>
                </c:pt>
                <c:pt idx="51">
                  <c:v>16085</c:v>
                </c:pt>
                <c:pt idx="52">
                  <c:v>16085</c:v>
                </c:pt>
                <c:pt idx="53">
                  <c:v>16085</c:v>
                </c:pt>
                <c:pt idx="54">
                  <c:v>16085</c:v>
                </c:pt>
                <c:pt idx="55">
                  <c:v>16085</c:v>
                </c:pt>
                <c:pt idx="56">
                  <c:v>16085</c:v>
                </c:pt>
                <c:pt idx="57">
                  <c:v>16085</c:v>
                </c:pt>
                <c:pt idx="58">
                  <c:v>16085</c:v>
                </c:pt>
                <c:pt idx="59">
                  <c:v>16085</c:v>
                </c:pt>
                <c:pt idx="60">
                  <c:v>16085</c:v>
                </c:pt>
                <c:pt idx="61">
                  <c:v>16085</c:v>
                </c:pt>
                <c:pt idx="62">
                  <c:v>16085</c:v>
                </c:pt>
                <c:pt idx="63">
                  <c:v>16085</c:v>
                </c:pt>
                <c:pt idx="64">
                  <c:v>16085</c:v>
                </c:pt>
                <c:pt idx="65">
                  <c:v>16085</c:v>
                </c:pt>
                <c:pt idx="66">
                  <c:v>16085</c:v>
                </c:pt>
                <c:pt idx="67">
                  <c:v>16085</c:v>
                </c:pt>
                <c:pt idx="68">
                  <c:v>16085</c:v>
                </c:pt>
                <c:pt idx="69">
                  <c:v>16085</c:v>
                </c:pt>
                <c:pt idx="70">
                  <c:v>16085</c:v>
                </c:pt>
                <c:pt idx="71">
                  <c:v>16085</c:v>
                </c:pt>
                <c:pt idx="72">
                  <c:v>16085</c:v>
                </c:pt>
                <c:pt idx="73">
                  <c:v>16085</c:v>
                </c:pt>
                <c:pt idx="74">
                  <c:v>16085</c:v>
                </c:pt>
                <c:pt idx="75">
                  <c:v>16085</c:v>
                </c:pt>
                <c:pt idx="76">
                  <c:v>16085</c:v>
                </c:pt>
                <c:pt idx="77">
                  <c:v>16085</c:v>
                </c:pt>
                <c:pt idx="78">
                  <c:v>16085</c:v>
                </c:pt>
                <c:pt idx="79">
                  <c:v>16085</c:v>
                </c:pt>
                <c:pt idx="80">
                  <c:v>16085</c:v>
                </c:pt>
                <c:pt idx="81">
                  <c:v>16085</c:v>
                </c:pt>
                <c:pt idx="82">
                  <c:v>16085</c:v>
                </c:pt>
                <c:pt idx="83">
                  <c:v>16085</c:v>
                </c:pt>
                <c:pt idx="84">
                  <c:v>16085</c:v>
                </c:pt>
                <c:pt idx="85">
                  <c:v>16085</c:v>
                </c:pt>
                <c:pt idx="86">
                  <c:v>16085</c:v>
                </c:pt>
                <c:pt idx="87">
                  <c:v>16085</c:v>
                </c:pt>
                <c:pt idx="88">
                  <c:v>16085</c:v>
                </c:pt>
                <c:pt idx="89">
                  <c:v>16085</c:v>
                </c:pt>
                <c:pt idx="90">
                  <c:v>16085</c:v>
                </c:pt>
                <c:pt idx="91">
                  <c:v>16085</c:v>
                </c:pt>
                <c:pt idx="92">
                  <c:v>16085</c:v>
                </c:pt>
                <c:pt idx="93">
                  <c:v>16085</c:v>
                </c:pt>
                <c:pt idx="94">
                  <c:v>16085</c:v>
                </c:pt>
                <c:pt idx="95">
                  <c:v>16085</c:v>
                </c:pt>
                <c:pt idx="96">
                  <c:v>16085</c:v>
                </c:pt>
                <c:pt idx="97">
                  <c:v>16085</c:v>
                </c:pt>
                <c:pt idx="98">
                  <c:v>16085</c:v>
                </c:pt>
                <c:pt idx="99">
                  <c:v>16085</c:v>
                </c:pt>
                <c:pt idx="100">
                  <c:v>16085</c:v>
                </c:pt>
                <c:pt idx="101">
                  <c:v>16085</c:v>
                </c:pt>
                <c:pt idx="102">
                  <c:v>16085</c:v>
                </c:pt>
                <c:pt idx="103">
                  <c:v>16085</c:v>
                </c:pt>
                <c:pt idx="104">
                  <c:v>16085</c:v>
                </c:pt>
                <c:pt idx="105">
                  <c:v>16085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3A-44EC-9606-21343CEB952F}"/>
            </c:ext>
          </c:extLst>
        </c:ser>
        <c:ser>
          <c:idx val="2"/>
          <c:order val="2"/>
          <c:tx>
            <c:v>Max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'[1]Daily Stock'!$G$5:$G$110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'[1]Daily Stock'!$AC$5:$AC$110</c:f>
              <c:numCache>
                <c:formatCode>#,##0_ ;\-#,##0\ </c:formatCode>
                <c:ptCount val="106"/>
                <c:pt idx="0">
                  <c:v>325936</c:v>
                </c:pt>
                <c:pt idx="1">
                  <c:v>325936</c:v>
                </c:pt>
                <c:pt idx="2">
                  <c:v>325936</c:v>
                </c:pt>
                <c:pt idx="3">
                  <c:v>325936</c:v>
                </c:pt>
                <c:pt idx="4">
                  <c:v>325936</c:v>
                </c:pt>
                <c:pt idx="5">
                  <c:v>325936</c:v>
                </c:pt>
                <c:pt idx="6">
                  <c:v>325936</c:v>
                </c:pt>
                <c:pt idx="7">
                  <c:v>325936</c:v>
                </c:pt>
                <c:pt idx="8">
                  <c:v>325936</c:v>
                </c:pt>
                <c:pt idx="9">
                  <c:v>325936</c:v>
                </c:pt>
                <c:pt idx="10">
                  <c:v>325936</c:v>
                </c:pt>
                <c:pt idx="11">
                  <c:v>325936</c:v>
                </c:pt>
                <c:pt idx="12">
                  <c:v>325936</c:v>
                </c:pt>
                <c:pt idx="13">
                  <c:v>325936</c:v>
                </c:pt>
                <c:pt idx="14">
                  <c:v>325936</c:v>
                </c:pt>
                <c:pt idx="15">
                  <c:v>325936</c:v>
                </c:pt>
                <c:pt idx="16">
                  <c:v>325936</c:v>
                </c:pt>
                <c:pt idx="17">
                  <c:v>325936</c:v>
                </c:pt>
                <c:pt idx="18">
                  <c:v>325936</c:v>
                </c:pt>
                <c:pt idx="19">
                  <c:v>325936</c:v>
                </c:pt>
                <c:pt idx="20">
                  <c:v>325936</c:v>
                </c:pt>
                <c:pt idx="21">
                  <c:v>325936</c:v>
                </c:pt>
                <c:pt idx="22">
                  <c:v>325936</c:v>
                </c:pt>
                <c:pt idx="23">
                  <c:v>325936</c:v>
                </c:pt>
                <c:pt idx="24">
                  <c:v>325936</c:v>
                </c:pt>
                <c:pt idx="25">
                  <c:v>325936</c:v>
                </c:pt>
                <c:pt idx="26">
                  <c:v>325936</c:v>
                </c:pt>
                <c:pt idx="27">
                  <c:v>325936</c:v>
                </c:pt>
                <c:pt idx="28">
                  <c:v>325936</c:v>
                </c:pt>
                <c:pt idx="29">
                  <c:v>325936</c:v>
                </c:pt>
                <c:pt idx="30">
                  <c:v>325936</c:v>
                </c:pt>
                <c:pt idx="31">
                  <c:v>325936</c:v>
                </c:pt>
                <c:pt idx="32">
                  <c:v>325936</c:v>
                </c:pt>
                <c:pt idx="33">
                  <c:v>325936</c:v>
                </c:pt>
                <c:pt idx="34">
                  <c:v>325936</c:v>
                </c:pt>
                <c:pt idx="35">
                  <c:v>325936</c:v>
                </c:pt>
                <c:pt idx="36">
                  <c:v>325936</c:v>
                </c:pt>
                <c:pt idx="37">
                  <c:v>325936</c:v>
                </c:pt>
                <c:pt idx="38">
                  <c:v>325936</c:v>
                </c:pt>
                <c:pt idx="39">
                  <c:v>325936</c:v>
                </c:pt>
                <c:pt idx="40">
                  <c:v>325936</c:v>
                </c:pt>
                <c:pt idx="41">
                  <c:v>325936</c:v>
                </c:pt>
                <c:pt idx="42">
                  <c:v>325936</c:v>
                </c:pt>
                <c:pt idx="43">
                  <c:v>325936</c:v>
                </c:pt>
                <c:pt idx="44">
                  <c:v>325936</c:v>
                </c:pt>
                <c:pt idx="45">
                  <c:v>325936</c:v>
                </c:pt>
                <c:pt idx="46">
                  <c:v>325936</c:v>
                </c:pt>
                <c:pt idx="47">
                  <c:v>325936</c:v>
                </c:pt>
                <c:pt idx="48">
                  <c:v>325936</c:v>
                </c:pt>
                <c:pt idx="49">
                  <c:v>325936</c:v>
                </c:pt>
                <c:pt idx="50">
                  <c:v>325936</c:v>
                </c:pt>
                <c:pt idx="51">
                  <c:v>325936</c:v>
                </c:pt>
                <c:pt idx="52">
                  <c:v>325936</c:v>
                </c:pt>
                <c:pt idx="53">
                  <c:v>325936</c:v>
                </c:pt>
                <c:pt idx="54">
                  <c:v>325936</c:v>
                </c:pt>
                <c:pt idx="55">
                  <c:v>325936</c:v>
                </c:pt>
                <c:pt idx="56">
                  <c:v>325936</c:v>
                </c:pt>
                <c:pt idx="57">
                  <c:v>325936</c:v>
                </c:pt>
                <c:pt idx="58">
                  <c:v>325936</c:v>
                </c:pt>
                <c:pt idx="59">
                  <c:v>325936</c:v>
                </c:pt>
                <c:pt idx="60">
                  <c:v>325936</c:v>
                </c:pt>
                <c:pt idx="61">
                  <c:v>325936</c:v>
                </c:pt>
                <c:pt idx="62">
                  <c:v>325936</c:v>
                </c:pt>
                <c:pt idx="63">
                  <c:v>325936</c:v>
                </c:pt>
                <c:pt idx="64">
                  <c:v>325936</c:v>
                </c:pt>
                <c:pt idx="65">
                  <c:v>325936</c:v>
                </c:pt>
                <c:pt idx="66">
                  <c:v>325936</c:v>
                </c:pt>
                <c:pt idx="67">
                  <c:v>325936</c:v>
                </c:pt>
                <c:pt idx="68">
                  <c:v>325936</c:v>
                </c:pt>
                <c:pt idx="69">
                  <c:v>325936</c:v>
                </c:pt>
                <c:pt idx="70">
                  <c:v>325936</c:v>
                </c:pt>
                <c:pt idx="71">
                  <c:v>325936</c:v>
                </c:pt>
                <c:pt idx="72">
                  <c:v>325936</c:v>
                </c:pt>
                <c:pt idx="73">
                  <c:v>325936</c:v>
                </c:pt>
                <c:pt idx="74">
                  <c:v>325936</c:v>
                </c:pt>
                <c:pt idx="75">
                  <c:v>325936</c:v>
                </c:pt>
                <c:pt idx="76">
                  <c:v>325936</c:v>
                </c:pt>
                <c:pt idx="77">
                  <c:v>325936</c:v>
                </c:pt>
                <c:pt idx="78">
                  <c:v>325936</c:v>
                </c:pt>
                <c:pt idx="79">
                  <c:v>325936</c:v>
                </c:pt>
                <c:pt idx="80">
                  <c:v>325936</c:v>
                </c:pt>
                <c:pt idx="81">
                  <c:v>325936</c:v>
                </c:pt>
                <c:pt idx="82">
                  <c:v>325936</c:v>
                </c:pt>
                <c:pt idx="83">
                  <c:v>325936</c:v>
                </c:pt>
                <c:pt idx="84">
                  <c:v>325936</c:v>
                </c:pt>
                <c:pt idx="85">
                  <c:v>325936</c:v>
                </c:pt>
                <c:pt idx="86">
                  <c:v>325936</c:v>
                </c:pt>
                <c:pt idx="87">
                  <c:v>325936</c:v>
                </c:pt>
                <c:pt idx="88">
                  <c:v>325936</c:v>
                </c:pt>
                <c:pt idx="89">
                  <c:v>325936</c:v>
                </c:pt>
                <c:pt idx="90">
                  <c:v>325936</c:v>
                </c:pt>
                <c:pt idx="91">
                  <c:v>325936</c:v>
                </c:pt>
                <c:pt idx="92">
                  <c:v>325936</c:v>
                </c:pt>
                <c:pt idx="93">
                  <c:v>325936</c:v>
                </c:pt>
                <c:pt idx="94">
                  <c:v>325936</c:v>
                </c:pt>
                <c:pt idx="95">
                  <c:v>325936</c:v>
                </c:pt>
                <c:pt idx="96">
                  <c:v>325936</c:v>
                </c:pt>
                <c:pt idx="97">
                  <c:v>325936</c:v>
                </c:pt>
                <c:pt idx="98">
                  <c:v>325936</c:v>
                </c:pt>
                <c:pt idx="99">
                  <c:v>325936</c:v>
                </c:pt>
                <c:pt idx="100">
                  <c:v>325936</c:v>
                </c:pt>
                <c:pt idx="101">
                  <c:v>325936</c:v>
                </c:pt>
                <c:pt idx="102">
                  <c:v>325936</c:v>
                </c:pt>
                <c:pt idx="103">
                  <c:v>325936</c:v>
                </c:pt>
                <c:pt idx="104">
                  <c:v>325936</c:v>
                </c:pt>
                <c:pt idx="105">
                  <c:v>325936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3A-44EC-9606-21343CEB9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500176"/>
        <c:axId val="1720502096"/>
      </c:lineChart>
      <c:dateAx>
        <c:axId val="1720500176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2096"/>
        <c:crosses val="autoZero"/>
        <c:auto val="1"/>
        <c:lblOffset val="100"/>
        <c:baseTimeUnit val="days"/>
      </c:dateAx>
      <c:valAx>
        <c:axId val="1720502096"/>
        <c:scaling>
          <c:orientation val="minMax"/>
          <c:max val="375000"/>
          <c:min val="-100000"/>
        </c:scaling>
        <c:delete val="0"/>
        <c:axPos val="l"/>
        <c:majorGridlines>
          <c:spPr>
            <a:ln w="3175" cap="flat" cmpd="sng" algn="ctr">
              <a:solidFill>
                <a:srgbClr val="808080"/>
              </a:solidFill>
              <a:prstDash val="sysDash"/>
              <a:round/>
            </a:ln>
            <a:effectLst/>
          </c:spPr>
        </c:majorGridlines>
        <c:numFmt formatCode="#,##0_ ;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0176"/>
        <c:crosses val="autoZero"/>
        <c:crossBetween val="between"/>
      </c:valAx>
      <c:spPr>
        <a:solidFill>
          <a:sysClr val="window" lastClr="FFFFFF">
            <a:lumMod val="95000"/>
          </a:sys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>
          <a:lumMod val="15000"/>
          <a:lumOff val="85000"/>
        </a:sysClr>
      </a:solidFill>
      <a:round/>
    </a:ln>
    <a:effectLst/>
  </c:spPr>
  <c:txPr>
    <a:bodyPr/>
    <a:lstStyle/>
    <a:p>
      <a:pPr>
        <a:defRPr sz="1400" b="0" i="0">
          <a:latin typeface="Arial"/>
          <a:ea typeface="Arial"/>
          <a:cs typeface="Arial"/>
        </a:defRPr>
      </a:pPr>
      <a:endParaRPr lang="en-US"/>
    </a:p>
  </c:txPr>
  <c:printSettings>
    <c:headerFooter/>
    <c:pageMargins b="1.1811023622047201" l="0.39370078740157499" r="0.39370078740157499" t="1.1811023622047201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NZ"/>
              <a:t>Diesel Stocks</a:t>
            </a:r>
          </a:p>
        </c:rich>
      </c:tx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21806649168853"/>
          <c:y val="0.17777777777777778"/>
          <c:w val="0.77826224846894143"/>
          <c:h val="0.69181977252843385"/>
        </c:manualLayout>
      </c:layout>
      <c:lineChart>
        <c:grouping val="standard"/>
        <c:varyColors val="0"/>
        <c:ser>
          <c:idx val="3"/>
          <c:order val="0"/>
          <c:tx>
            <c:v>Diesel Stock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'[1]Daily Stock'!$G$5:$G$110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'[1]Daily Stock'!$R$5:$R$110</c:f>
              <c:numCache>
                <c:formatCode>#,##0_ ;\-#,##0\ 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1901677</c:v>
                </c:pt>
                <c:pt idx="15">
                  <c:v>1780336</c:v>
                </c:pt>
                <c:pt idx="16">
                  <c:v>1637854</c:v>
                </c:pt>
                <c:pt idx="17">
                  <c:v>1637854</c:v>
                </c:pt>
                <c:pt idx="18">
                  <c:v>1594043</c:v>
                </c:pt>
                <c:pt idx="19">
                  <c:v>1594043</c:v>
                </c:pt>
                <c:pt idx="20">
                  <c:v>1494058</c:v>
                </c:pt>
                <c:pt idx="21">
                  <c:v>1423782.2857142857</c:v>
                </c:pt>
                <c:pt idx="22">
                  <c:v>1365636.5714285714</c:v>
                </c:pt>
                <c:pt idx="23">
                  <c:v>1324778</c:v>
                </c:pt>
                <c:pt idx="24">
                  <c:v>1304205.142857143</c:v>
                </c:pt>
                <c:pt idx="25">
                  <c:v>1283632.2857142859</c:v>
                </c:pt>
                <c:pt idx="26">
                  <c:v>1269345.142857143</c:v>
                </c:pt>
                <c:pt idx="27">
                  <c:v>1255058</c:v>
                </c:pt>
                <c:pt idx="28">
                  <c:v>1255058</c:v>
                </c:pt>
                <c:pt idx="29">
                  <c:v>1255058</c:v>
                </c:pt>
                <c:pt idx="30">
                  <c:v>1255058</c:v>
                </c:pt>
                <c:pt idx="31">
                  <c:v>1255058</c:v>
                </c:pt>
                <c:pt idx="32">
                  <c:v>1255058</c:v>
                </c:pt>
                <c:pt idx="33">
                  <c:v>1255058</c:v>
                </c:pt>
                <c:pt idx="34">
                  <c:v>1255058</c:v>
                </c:pt>
                <c:pt idx="35">
                  <c:v>1255058</c:v>
                </c:pt>
                <c:pt idx="36">
                  <c:v>1255058</c:v>
                </c:pt>
                <c:pt idx="37">
                  <c:v>1255058</c:v>
                </c:pt>
                <c:pt idx="38">
                  <c:v>1955058</c:v>
                </c:pt>
                <c:pt idx="39">
                  <c:v>1955058</c:v>
                </c:pt>
                <c:pt idx="40">
                  <c:v>1955058</c:v>
                </c:pt>
                <c:pt idx="41">
                  <c:v>1955058</c:v>
                </c:pt>
                <c:pt idx="42">
                  <c:v>1955058</c:v>
                </c:pt>
                <c:pt idx="43">
                  <c:v>1955058</c:v>
                </c:pt>
                <c:pt idx="44">
                  <c:v>1955058</c:v>
                </c:pt>
                <c:pt idx="45">
                  <c:v>1955058</c:v>
                </c:pt>
                <c:pt idx="46">
                  <c:v>1955058</c:v>
                </c:pt>
                <c:pt idx="47">
                  <c:v>1955058</c:v>
                </c:pt>
                <c:pt idx="48">
                  <c:v>1955058</c:v>
                </c:pt>
                <c:pt idx="49">
                  <c:v>1955058</c:v>
                </c:pt>
                <c:pt idx="50">
                  <c:v>1955058</c:v>
                </c:pt>
                <c:pt idx="51">
                  <c:v>1955058</c:v>
                </c:pt>
                <c:pt idx="52">
                  <c:v>1955058</c:v>
                </c:pt>
                <c:pt idx="53">
                  <c:v>1955058</c:v>
                </c:pt>
                <c:pt idx="54">
                  <c:v>1955058</c:v>
                </c:pt>
                <c:pt idx="55">
                  <c:v>1955058</c:v>
                </c:pt>
                <c:pt idx="56">
                  <c:v>1955058</c:v>
                </c:pt>
                <c:pt idx="57">
                  <c:v>2655058</c:v>
                </c:pt>
                <c:pt idx="58">
                  <c:v>2655058</c:v>
                </c:pt>
                <c:pt idx="59">
                  <c:v>2655058</c:v>
                </c:pt>
                <c:pt idx="60">
                  <c:v>2655058</c:v>
                </c:pt>
                <c:pt idx="61">
                  <c:v>2655058</c:v>
                </c:pt>
                <c:pt idx="62">
                  <c:v>2655058</c:v>
                </c:pt>
                <c:pt idx="63">
                  <c:v>2655058</c:v>
                </c:pt>
                <c:pt idx="64">
                  <c:v>2655058</c:v>
                </c:pt>
                <c:pt idx="65">
                  <c:v>2655058</c:v>
                </c:pt>
                <c:pt idx="66">
                  <c:v>2655058</c:v>
                </c:pt>
                <c:pt idx="67">
                  <c:v>2655058</c:v>
                </c:pt>
                <c:pt idx="68">
                  <c:v>2655058</c:v>
                </c:pt>
                <c:pt idx="69">
                  <c:v>2655058</c:v>
                </c:pt>
                <c:pt idx="70">
                  <c:v>2655058</c:v>
                </c:pt>
                <c:pt idx="71">
                  <c:v>2655058</c:v>
                </c:pt>
                <c:pt idx="72">
                  <c:v>2655058</c:v>
                </c:pt>
                <c:pt idx="73">
                  <c:v>2655058</c:v>
                </c:pt>
                <c:pt idx="74">
                  <c:v>2655058</c:v>
                </c:pt>
                <c:pt idx="75">
                  <c:v>2655058</c:v>
                </c:pt>
                <c:pt idx="76">
                  <c:v>2655058</c:v>
                </c:pt>
                <c:pt idx="77">
                  <c:v>2655058</c:v>
                </c:pt>
                <c:pt idx="78">
                  <c:v>2655058</c:v>
                </c:pt>
                <c:pt idx="79">
                  <c:v>2655058</c:v>
                </c:pt>
                <c:pt idx="80">
                  <c:v>2655058</c:v>
                </c:pt>
                <c:pt idx="81">
                  <c:v>2655058</c:v>
                </c:pt>
                <c:pt idx="82">
                  <c:v>2655058</c:v>
                </c:pt>
                <c:pt idx="83">
                  <c:v>2655058</c:v>
                </c:pt>
                <c:pt idx="84">
                  <c:v>2655058</c:v>
                </c:pt>
                <c:pt idx="85">
                  <c:v>2655058</c:v>
                </c:pt>
                <c:pt idx="86">
                  <c:v>2655058</c:v>
                </c:pt>
                <c:pt idx="87">
                  <c:v>2655058</c:v>
                </c:pt>
                <c:pt idx="88">
                  <c:v>2655058</c:v>
                </c:pt>
                <c:pt idx="89">
                  <c:v>2655058</c:v>
                </c:pt>
                <c:pt idx="90">
                  <c:v>2655058</c:v>
                </c:pt>
                <c:pt idx="91">
                  <c:v>2655058</c:v>
                </c:pt>
                <c:pt idx="92">
                  <c:v>2655058</c:v>
                </c:pt>
                <c:pt idx="93">
                  <c:v>2655058</c:v>
                </c:pt>
                <c:pt idx="94">
                  <c:v>2655058</c:v>
                </c:pt>
                <c:pt idx="95">
                  <c:v>2655058</c:v>
                </c:pt>
                <c:pt idx="96">
                  <c:v>2655058</c:v>
                </c:pt>
                <c:pt idx="97">
                  <c:v>2655058</c:v>
                </c:pt>
                <c:pt idx="98">
                  <c:v>2655058</c:v>
                </c:pt>
                <c:pt idx="99">
                  <c:v>2655058</c:v>
                </c:pt>
                <c:pt idx="100">
                  <c:v>2655058</c:v>
                </c:pt>
                <c:pt idx="101">
                  <c:v>2655058</c:v>
                </c:pt>
                <c:pt idx="102">
                  <c:v>2655058</c:v>
                </c:pt>
                <c:pt idx="103">
                  <c:v>2655058</c:v>
                </c:pt>
                <c:pt idx="104">
                  <c:v>2655058</c:v>
                </c:pt>
                <c:pt idx="105">
                  <c:v>2655058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37-4F3F-8404-476E79332393}"/>
            </c:ext>
          </c:extLst>
        </c:ser>
        <c:ser>
          <c:idx val="0"/>
          <c:order val="1"/>
          <c:tx>
            <c:v>Min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'[1]Daily Stock'!$G$5:$G$110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'[1]Daily Stock'!$AD$5:$AD$110</c:f>
              <c:numCache>
                <c:formatCode>#,##0_ ;\-#,##0\ </c:formatCode>
                <c:ptCount val="106"/>
                <c:pt idx="0">
                  <c:v>72571</c:v>
                </c:pt>
                <c:pt idx="1">
                  <c:v>72571</c:v>
                </c:pt>
                <c:pt idx="2">
                  <c:v>72571</c:v>
                </c:pt>
                <c:pt idx="3">
                  <c:v>72571</c:v>
                </c:pt>
                <c:pt idx="4">
                  <c:v>72571</c:v>
                </c:pt>
                <c:pt idx="5">
                  <c:v>72571</c:v>
                </c:pt>
                <c:pt idx="6">
                  <c:v>72571</c:v>
                </c:pt>
                <c:pt idx="7">
                  <c:v>72571</c:v>
                </c:pt>
                <c:pt idx="8">
                  <c:v>72571</c:v>
                </c:pt>
                <c:pt idx="9">
                  <c:v>72571</c:v>
                </c:pt>
                <c:pt idx="10">
                  <c:v>72571</c:v>
                </c:pt>
                <c:pt idx="11">
                  <c:v>72571</c:v>
                </c:pt>
                <c:pt idx="12">
                  <c:v>72571</c:v>
                </c:pt>
                <c:pt idx="13">
                  <c:v>72571</c:v>
                </c:pt>
                <c:pt idx="14">
                  <c:v>72571</c:v>
                </c:pt>
                <c:pt idx="15">
                  <c:v>72571</c:v>
                </c:pt>
                <c:pt idx="16">
                  <c:v>72571</c:v>
                </c:pt>
                <c:pt idx="17">
                  <c:v>72571</c:v>
                </c:pt>
                <c:pt idx="18">
                  <c:v>72571</c:v>
                </c:pt>
                <c:pt idx="19">
                  <c:v>72571</c:v>
                </c:pt>
                <c:pt idx="20">
                  <c:v>72571</c:v>
                </c:pt>
                <c:pt idx="21">
                  <c:v>72571</c:v>
                </c:pt>
                <c:pt idx="22">
                  <c:v>72571</c:v>
                </c:pt>
                <c:pt idx="23">
                  <c:v>72571</c:v>
                </c:pt>
                <c:pt idx="24">
                  <c:v>72571</c:v>
                </c:pt>
                <c:pt idx="25">
                  <c:v>72571</c:v>
                </c:pt>
                <c:pt idx="26">
                  <c:v>72571</c:v>
                </c:pt>
                <c:pt idx="27">
                  <c:v>72571</c:v>
                </c:pt>
                <c:pt idx="28">
                  <c:v>72571</c:v>
                </c:pt>
                <c:pt idx="29">
                  <c:v>72571</c:v>
                </c:pt>
                <c:pt idx="30">
                  <c:v>72571</c:v>
                </c:pt>
                <c:pt idx="31">
                  <c:v>72571</c:v>
                </c:pt>
                <c:pt idx="32">
                  <c:v>72571</c:v>
                </c:pt>
                <c:pt idx="33">
                  <c:v>72571</c:v>
                </c:pt>
                <c:pt idx="34">
                  <c:v>72571</c:v>
                </c:pt>
                <c:pt idx="35">
                  <c:v>72571</c:v>
                </c:pt>
                <c:pt idx="36">
                  <c:v>72571</c:v>
                </c:pt>
                <c:pt idx="37">
                  <c:v>72571</c:v>
                </c:pt>
                <c:pt idx="38">
                  <c:v>72571</c:v>
                </c:pt>
                <c:pt idx="39">
                  <c:v>72571</c:v>
                </c:pt>
                <c:pt idx="40">
                  <c:v>72571</c:v>
                </c:pt>
                <c:pt idx="41">
                  <c:v>72571</c:v>
                </c:pt>
                <c:pt idx="42">
                  <c:v>72571</c:v>
                </c:pt>
                <c:pt idx="43">
                  <c:v>72571</c:v>
                </c:pt>
                <c:pt idx="44">
                  <c:v>72571</c:v>
                </c:pt>
                <c:pt idx="45">
                  <c:v>72571</c:v>
                </c:pt>
                <c:pt idx="46">
                  <c:v>72571</c:v>
                </c:pt>
                <c:pt idx="47">
                  <c:v>72571</c:v>
                </c:pt>
                <c:pt idx="48">
                  <c:v>72571</c:v>
                </c:pt>
                <c:pt idx="49">
                  <c:v>72571</c:v>
                </c:pt>
                <c:pt idx="50">
                  <c:v>72571</c:v>
                </c:pt>
                <c:pt idx="51">
                  <c:v>72571</c:v>
                </c:pt>
                <c:pt idx="52">
                  <c:v>72571</c:v>
                </c:pt>
                <c:pt idx="53">
                  <c:v>72571</c:v>
                </c:pt>
                <c:pt idx="54">
                  <c:v>72571</c:v>
                </c:pt>
                <c:pt idx="55">
                  <c:v>72571</c:v>
                </c:pt>
                <c:pt idx="56">
                  <c:v>72571</c:v>
                </c:pt>
                <c:pt idx="57">
                  <c:v>72571</c:v>
                </c:pt>
                <c:pt idx="58">
                  <c:v>72571</c:v>
                </c:pt>
                <c:pt idx="59">
                  <c:v>72571</c:v>
                </c:pt>
                <c:pt idx="60">
                  <c:v>72571</c:v>
                </c:pt>
                <c:pt idx="61">
                  <c:v>72571</c:v>
                </c:pt>
                <c:pt idx="62">
                  <c:v>72571</c:v>
                </c:pt>
                <c:pt idx="63">
                  <c:v>72571</c:v>
                </c:pt>
                <c:pt idx="64">
                  <c:v>72571</c:v>
                </c:pt>
                <c:pt idx="65">
                  <c:v>72571</c:v>
                </c:pt>
                <c:pt idx="66">
                  <c:v>72571</c:v>
                </c:pt>
                <c:pt idx="67">
                  <c:v>72571</c:v>
                </c:pt>
                <c:pt idx="68">
                  <c:v>72571</c:v>
                </c:pt>
                <c:pt idx="69">
                  <c:v>72571</c:v>
                </c:pt>
                <c:pt idx="70">
                  <c:v>72571</c:v>
                </c:pt>
                <c:pt idx="71">
                  <c:v>72571</c:v>
                </c:pt>
                <c:pt idx="72">
                  <c:v>72571</c:v>
                </c:pt>
                <c:pt idx="73">
                  <c:v>72571</c:v>
                </c:pt>
                <c:pt idx="74">
                  <c:v>72571</c:v>
                </c:pt>
                <c:pt idx="75">
                  <c:v>72571</c:v>
                </c:pt>
                <c:pt idx="76">
                  <c:v>72571</c:v>
                </c:pt>
                <c:pt idx="77">
                  <c:v>72571</c:v>
                </c:pt>
                <c:pt idx="78">
                  <c:v>72571</c:v>
                </c:pt>
                <c:pt idx="79">
                  <c:v>72571</c:v>
                </c:pt>
                <c:pt idx="80">
                  <c:v>72571</c:v>
                </c:pt>
                <c:pt idx="81">
                  <c:v>72571</c:v>
                </c:pt>
                <c:pt idx="82">
                  <c:v>72571</c:v>
                </c:pt>
                <c:pt idx="83">
                  <c:v>72571</c:v>
                </c:pt>
                <c:pt idx="84">
                  <c:v>72571</c:v>
                </c:pt>
                <c:pt idx="85">
                  <c:v>72571</c:v>
                </c:pt>
                <c:pt idx="86">
                  <c:v>72571</c:v>
                </c:pt>
                <c:pt idx="87">
                  <c:v>72571</c:v>
                </c:pt>
                <c:pt idx="88">
                  <c:v>72571</c:v>
                </c:pt>
                <c:pt idx="89">
                  <c:v>72571</c:v>
                </c:pt>
                <c:pt idx="90">
                  <c:v>72571</c:v>
                </c:pt>
                <c:pt idx="91">
                  <c:v>72571</c:v>
                </c:pt>
                <c:pt idx="92">
                  <c:v>72571</c:v>
                </c:pt>
                <c:pt idx="93">
                  <c:v>72571</c:v>
                </c:pt>
                <c:pt idx="94">
                  <c:v>72571</c:v>
                </c:pt>
                <c:pt idx="95">
                  <c:v>72571</c:v>
                </c:pt>
                <c:pt idx="96">
                  <c:v>72571</c:v>
                </c:pt>
                <c:pt idx="97">
                  <c:v>72571</c:v>
                </c:pt>
                <c:pt idx="98">
                  <c:v>72571</c:v>
                </c:pt>
                <c:pt idx="99">
                  <c:v>72571</c:v>
                </c:pt>
                <c:pt idx="100">
                  <c:v>72571</c:v>
                </c:pt>
                <c:pt idx="101">
                  <c:v>72571</c:v>
                </c:pt>
                <c:pt idx="102">
                  <c:v>72571</c:v>
                </c:pt>
                <c:pt idx="103">
                  <c:v>72571</c:v>
                </c:pt>
                <c:pt idx="104">
                  <c:v>72571</c:v>
                </c:pt>
                <c:pt idx="105">
                  <c:v>72571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37-4F3F-8404-476E79332393}"/>
            </c:ext>
          </c:extLst>
        </c:ser>
        <c:ser>
          <c:idx val="1"/>
          <c:order val="2"/>
          <c:tx>
            <c:v>Max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'[1]Daily Stock'!$G$5:$G$110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'[1]Daily Stock'!$AE$5:$AE$110</c:f>
              <c:numCache>
                <c:formatCode>#,##0_ ;\-#,##0\ </c:formatCode>
                <c:ptCount val="106"/>
                <c:pt idx="0">
                  <c:v>1832778</c:v>
                </c:pt>
                <c:pt idx="1">
                  <c:v>1832778</c:v>
                </c:pt>
                <c:pt idx="2">
                  <c:v>1832778</c:v>
                </c:pt>
                <c:pt idx="3">
                  <c:v>1832778</c:v>
                </c:pt>
                <c:pt idx="4">
                  <c:v>1832778</c:v>
                </c:pt>
                <c:pt idx="5">
                  <c:v>1832778</c:v>
                </c:pt>
                <c:pt idx="6">
                  <c:v>1832778</c:v>
                </c:pt>
                <c:pt idx="7">
                  <c:v>1832778</c:v>
                </c:pt>
                <c:pt idx="8">
                  <c:v>1832778</c:v>
                </c:pt>
                <c:pt idx="9">
                  <c:v>1832778</c:v>
                </c:pt>
                <c:pt idx="10">
                  <c:v>1832778</c:v>
                </c:pt>
                <c:pt idx="11">
                  <c:v>1832778</c:v>
                </c:pt>
                <c:pt idx="12">
                  <c:v>1832778</c:v>
                </c:pt>
                <c:pt idx="13">
                  <c:v>1832778</c:v>
                </c:pt>
                <c:pt idx="14">
                  <c:v>1832778</c:v>
                </c:pt>
                <c:pt idx="15">
                  <c:v>1832778</c:v>
                </c:pt>
                <c:pt idx="16">
                  <c:v>1832778</c:v>
                </c:pt>
                <c:pt idx="17">
                  <c:v>1832778</c:v>
                </c:pt>
                <c:pt idx="18">
                  <c:v>1832778</c:v>
                </c:pt>
                <c:pt idx="19">
                  <c:v>1832778</c:v>
                </c:pt>
                <c:pt idx="20">
                  <c:v>1832778</c:v>
                </c:pt>
                <c:pt idx="21">
                  <c:v>1832778</c:v>
                </c:pt>
                <c:pt idx="22">
                  <c:v>1832778</c:v>
                </c:pt>
                <c:pt idx="23">
                  <c:v>1832778</c:v>
                </c:pt>
                <c:pt idx="24">
                  <c:v>1832778</c:v>
                </c:pt>
                <c:pt idx="25">
                  <c:v>1832778</c:v>
                </c:pt>
                <c:pt idx="26">
                  <c:v>1832778</c:v>
                </c:pt>
                <c:pt idx="27">
                  <c:v>1832778</c:v>
                </c:pt>
                <c:pt idx="28">
                  <c:v>1832778</c:v>
                </c:pt>
                <c:pt idx="29">
                  <c:v>1832778</c:v>
                </c:pt>
                <c:pt idx="30">
                  <c:v>1832778</c:v>
                </c:pt>
                <c:pt idx="31">
                  <c:v>1832778</c:v>
                </c:pt>
                <c:pt idx="32">
                  <c:v>1832778</c:v>
                </c:pt>
                <c:pt idx="33">
                  <c:v>1832778</c:v>
                </c:pt>
                <c:pt idx="34">
                  <c:v>1832778</c:v>
                </c:pt>
                <c:pt idx="35">
                  <c:v>1832778</c:v>
                </c:pt>
                <c:pt idx="36">
                  <c:v>1832778</c:v>
                </c:pt>
                <c:pt idx="37">
                  <c:v>1832778</c:v>
                </c:pt>
                <c:pt idx="38">
                  <c:v>1832778</c:v>
                </c:pt>
                <c:pt idx="39">
                  <c:v>1832778</c:v>
                </c:pt>
                <c:pt idx="40">
                  <c:v>1832778</c:v>
                </c:pt>
                <c:pt idx="41">
                  <c:v>1832778</c:v>
                </c:pt>
                <c:pt idx="42">
                  <c:v>1832778</c:v>
                </c:pt>
                <c:pt idx="43">
                  <c:v>1832778</c:v>
                </c:pt>
                <c:pt idx="44">
                  <c:v>1832778</c:v>
                </c:pt>
                <c:pt idx="45">
                  <c:v>1832778</c:v>
                </c:pt>
                <c:pt idx="46">
                  <c:v>1832778</c:v>
                </c:pt>
                <c:pt idx="47">
                  <c:v>1832778</c:v>
                </c:pt>
                <c:pt idx="48">
                  <c:v>1832778</c:v>
                </c:pt>
                <c:pt idx="49">
                  <c:v>1832778</c:v>
                </c:pt>
                <c:pt idx="50">
                  <c:v>1832778</c:v>
                </c:pt>
                <c:pt idx="51">
                  <c:v>1832778</c:v>
                </c:pt>
                <c:pt idx="52">
                  <c:v>1832778</c:v>
                </c:pt>
                <c:pt idx="53">
                  <c:v>1832778</c:v>
                </c:pt>
                <c:pt idx="54">
                  <c:v>1832778</c:v>
                </c:pt>
                <c:pt idx="55">
                  <c:v>1832778</c:v>
                </c:pt>
                <c:pt idx="56">
                  <c:v>1832778</c:v>
                </c:pt>
                <c:pt idx="57">
                  <c:v>1832778</c:v>
                </c:pt>
                <c:pt idx="58">
                  <c:v>1832778</c:v>
                </c:pt>
                <c:pt idx="59">
                  <c:v>1832778</c:v>
                </c:pt>
                <c:pt idx="60">
                  <c:v>1832778</c:v>
                </c:pt>
                <c:pt idx="61">
                  <c:v>1832778</c:v>
                </c:pt>
                <c:pt idx="62">
                  <c:v>1832778</c:v>
                </c:pt>
                <c:pt idx="63">
                  <c:v>1832778</c:v>
                </c:pt>
                <c:pt idx="64">
                  <c:v>1832778</c:v>
                </c:pt>
                <c:pt idx="65">
                  <c:v>1832778</c:v>
                </c:pt>
                <c:pt idx="66">
                  <c:v>1832778</c:v>
                </c:pt>
                <c:pt idx="67">
                  <c:v>1832778</c:v>
                </c:pt>
                <c:pt idx="68">
                  <c:v>1832778</c:v>
                </c:pt>
                <c:pt idx="69">
                  <c:v>1832778</c:v>
                </c:pt>
                <c:pt idx="70">
                  <c:v>1832778</c:v>
                </c:pt>
                <c:pt idx="71">
                  <c:v>1832778</c:v>
                </c:pt>
                <c:pt idx="72">
                  <c:v>1832778</c:v>
                </c:pt>
                <c:pt idx="73">
                  <c:v>1832778</c:v>
                </c:pt>
                <c:pt idx="74">
                  <c:v>1832778</c:v>
                </c:pt>
                <c:pt idx="75">
                  <c:v>1832778</c:v>
                </c:pt>
                <c:pt idx="76">
                  <c:v>1832778</c:v>
                </c:pt>
                <c:pt idx="77">
                  <c:v>1832778</c:v>
                </c:pt>
                <c:pt idx="78">
                  <c:v>1832778</c:v>
                </c:pt>
                <c:pt idx="79">
                  <c:v>1832778</c:v>
                </c:pt>
                <c:pt idx="80">
                  <c:v>1832778</c:v>
                </c:pt>
                <c:pt idx="81">
                  <c:v>1832778</c:v>
                </c:pt>
                <c:pt idx="82">
                  <c:v>1832778</c:v>
                </c:pt>
                <c:pt idx="83">
                  <c:v>1832778</c:v>
                </c:pt>
                <c:pt idx="84">
                  <c:v>1832778</c:v>
                </c:pt>
                <c:pt idx="85">
                  <c:v>1832778</c:v>
                </c:pt>
                <c:pt idx="86">
                  <c:v>1832778</c:v>
                </c:pt>
                <c:pt idx="87">
                  <c:v>1832778</c:v>
                </c:pt>
                <c:pt idx="88">
                  <c:v>1832778</c:v>
                </c:pt>
                <c:pt idx="89">
                  <c:v>1832778</c:v>
                </c:pt>
                <c:pt idx="90">
                  <c:v>1832778</c:v>
                </c:pt>
                <c:pt idx="91">
                  <c:v>1832778</c:v>
                </c:pt>
                <c:pt idx="92">
                  <c:v>1832778</c:v>
                </c:pt>
                <c:pt idx="93">
                  <c:v>1832778</c:v>
                </c:pt>
                <c:pt idx="94">
                  <c:v>1832778</c:v>
                </c:pt>
                <c:pt idx="95">
                  <c:v>1832778</c:v>
                </c:pt>
                <c:pt idx="96">
                  <c:v>1832778</c:v>
                </c:pt>
                <c:pt idx="97">
                  <c:v>1832778</c:v>
                </c:pt>
                <c:pt idx="98">
                  <c:v>1832778</c:v>
                </c:pt>
                <c:pt idx="99">
                  <c:v>1832778</c:v>
                </c:pt>
                <c:pt idx="100">
                  <c:v>1832778</c:v>
                </c:pt>
                <c:pt idx="101">
                  <c:v>1832778</c:v>
                </c:pt>
                <c:pt idx="102">
                  <c:v>1832778</c:v>
                </c:pt>
                <c:pt idx="103">
                  <c:v>1832778</c:v>
                </c:pt>
                <c:pt idx="104">
                  <c:v>1832778</c:v>
                </c:pt>
                <c:pt idx="105">
                  <c:v>1832778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37-4F3F-8404-476E79332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500176"/>
        <c:axId val="1720502096"/>
      </c:lineChart>
      <c:dateAx>
        <c:axId val="1720500176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2096"/>
        <c:crosses val="autoZero"/>
        <c:auto val="1"/>
        <c:lblOffset val="100"/>
        <c:baseTimeUnit val="days"/>
      </c:dateAx>
      <c:valAx>
        <c:axId val="1720502096"/>
        <c:scaling>
          <c:orientation val="minMax"/>
          <c:max val="2000000"/>
          <c:min val="-100000"/>
        </c:scaling>
        <c:delete val="0"/>
        <c:axPos val="l"/>
        <c:majorGridlines>
          <c:spPr>
            <a:ln w="3175" cap="flat" cmpd="sng" algn="ctr">
              <a:solidFill>
                <a:srgbClr val="808080"/>
              </a:solidFill>
              <a:prstDash val="sysDash"/>
              <a:round/>
            </a:ln>
            <a:effectLst/>
          </c:spPr>
        </c:majorGridlines>
        <c:numFmt formatCode="#,##0_ ;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0176"/>
        <c:crosses val="autoZero"/>
        <c:crossBetween val="between"/>
      </c:valAx>
      <c:spPr>
        <a:solidFill>
          <a:sysClr val="window" lastClr="FFFFFF">
            <a:lumMod val="95000"/>
          </a:sys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>
          <a:lumMod val="15000"/>
          <a:lumOff val="85000"/>
        </a:sysClr>
      </a:solidFill>
      <a:round/>
    </a:ln>
    <a:effectLst/>
  </c:spPr>
  <c:txPr>
    <a:bodyPr/>
    <a:lstStyle/>
    <a:p>
      <a:pPr>
        <a:defRPr sz="1400" b="0" i="0">
          <a:latin typeface="Arial"/>
          <a:ea typeface="Arial"/>
          <a:cs typeface="Arial"/>
        </a:defRPr>
      </a:pPr>
      <a:endParaRPr lang="en-US"/>
    </a:p>
  </c:txPr>
  <c:printSettings>
    <c:headerFooter/>
    <c:pageMargins b="1.1811023622047201" l="0.39370078740157499" r="0.39370078740157499" t="1.1811023622047201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590550</xdr:colOff>
      <xdr:row>6</xdr:row>
      <xdr:rowOff>76200</xdr:rowOff>
    </xdr:from>
    <xdr:to>
      <xdr:col>26</xdr:col>
      <xdr:colOff>552450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CE7378-EA49-40B4-BD46-FE0433FAC4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609600</xdr:colOff>
      <xdr:row>18</xdr:row>
      <xdr:rowOff>95250</xdr:rowOff>
    </xdr:from>
    <xdr:to>
      <xdr:col>26</xdr:col>
      <xdr:colOff>571500</xdr:colOff>
      <xdr:row>30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8B703B-E732-442B-BFB4-BD6E8E3C6C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db74d578bbeeb88/1-NTU-Tonga/DoE/Petroleum/Emergency-response/Daily%20stock%20report%20-%20TotalEnergies_060426.xlsx" TargetMode="External"/><Relationship Id="rId1" Type="http://schemas.openxmlformats.org/officeDocument/2006/relationships/externalLinkPath" Target="Daily%20stock%20report%20-%20TotalEnergies_0604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ily Stock"/>
    </sheetNames>
    <sheetDataSet>
      <sheetData sheetId="0">
        <row r="5">
          <cell r="G5">
            <v>46098</v>
          </cell>
          <cell r="P5" t="e">
            <v>#VALUE!</v>
          </cell>
          <cell r="R5" t="e">
            <v>#VALUE!</v>
          </cell>
          <cell r="AB5">
            <v>16085</v>
          </cell>
          <cell r="AC5">
            <v>325936</v>
          </cell>
          <cell r="AD5">
            <v>72571</v>
          </cell>
          <cell r="AE5">
            <v>1832778</v>
          </cell>
        </row>
        <row r="6">
          <cell r="G6">
            <v>46099</v>
          </cell>
          <cell r="P6" t="e">
            <v>#VALUE!</v>
          </cell>
          <cell r="R6" t="e">
            <v>#VALUE!</v>
          </cell>
          <cell r="AB6">
            <v>16085</v>
          </cell>
          <cell r="AC6">
            <v>325936</v>
          </cell>
          <cell r="AD6">
            <v>72571</v>
          </cell>
          <cell r="AE6">
            <v>1832778</v>
          </cell>
        </row>
        <row r="7">
          <cell r="G7">
            <v>46100</v>
          </cell>
          <cell r="P7" t="e">
            <v>#VALUE!</v>
          </cell>
          <cell r="R7" t="e">
            <v>#VALUE!</v>
          </cell>
          <cell r="AB7">
            <v>16085</v>
          </cell>
          <cell r="AC7">
            <v>325936</v>
          </cell>
          <cell r="AD7">
            <v>72571</v>
          </cell>
          <cell r="AE7">
            <v>1832778</v>
          </cell>
        </row>
        <row r="8">
          <cell r="G8">
            <v>46101</v>
          </cell>
          <cell r="P8" t="e">
            <v>#VALUE!</v>
          </cell>
          <cell r="R8" t="e">
            <v>#VALUE!</v>
          </cell>
          <cell r="AB8">
            <v>16085</v>
          </cell>
          <cell r="AC8">
            <v>325936</v>
          </cell>
          <cell r="AD8">
            <v>72571</v>
          </cell>
          <cell r="AE8">
            <v>1832778</v>
          </cell>
        </row>
        <row r="9">
          <cell r="G9">
            <v>46102</v>
          </cell>
          <cell r="P9" t="e">
            <v>#VALUE!</v>
          </cell>
          <cell r="R9" t="e">
            <v>#VALUE!</v>
          </cell>
          <cell r="AB9">
            <v>16085</v>
          </cell>
          <cell r="AC9">
            <v>325936</v>
          </cell>
          <cell r="AD9">
            <v>72571</v>
          </cell>
          <cell r="AE9">
            <v>1832778</v>
          </cell>
        </row>
        <row r="10">
          <cell r="G10">
            <v>46103</v>
          </cell>
          <cell r="P10" t="e">
            <v>#VALUE!</v>
          </cell>
          <cell r="R10" t="e">
            <v>#VALUE!</v>
          </cell>
          <cell r="AB10">
            <v>16085</v>
          </cell>
          <cell r="AC10">
            <v>325936</v>
          </cell>
          <cell r="AD10">
            <v>72571</v>
          </cell>
          <cell r="AE10">
            <v>1832778</v>
          </cell>
        </row>
        <row r="11">
          <cell r="G11">
            <v>46104</v>
          </cell>
          <cell r="P11" t="e">
            <v>#VALUE!</v>
          </cell>
          <cell r="R11" t="e">
            <v>#VALUE!</v>
          </cell>
          <cell r="AB11">
            <v>16085</v>
          </cell>
          <cell r="AC11">
            <v>325936</v>
          </cell>
          <cell r="AD11">
            <v>72571</v>
          </cell>
          <cell r="AE11">
            <v>1832778</v>
          </cell>
        </row>
        <row r="12">
          <cell r="G12">
            <v>46105</v>
          </cell>
          <cell r="P12" t="e">
            <v>#VALUE!</v>
          </cell>
          <cell r="R12" t="e">
            <v>#VALUE!</v>
          </cell>
          <cell r="AB12">
            <v>16085</v>
          </cell>
          <cell r="AC12">
            <v>325936</v>
          </cell>
          <cell r="AD12">
            <v>72571</v>
          </cell>
          <cell r="AE12">
            <v>1832778</v>
          </cell>
        </row>
        <row r="13">
          <cell r="G13">
            <v>46106</v>
          </cell>
          <cell r="P13" t="e">
            <v>#VALUE!</v>
          </cell>
          <cell r="R13" t="e">
            <v>#VALUE!</v>
          </cell>
          <cell r="AB13">
            <v>16085</v>
          </cell>
          <cell r="AC13">
            <v>325936</v>
          </cell>
          <cell r="AD13">
            <v>72571</v>
          </cell>
          <cell r="AE13">
            <v>1832778</v>
          </cell>
        </row>
        <row r="14">
          <cell r="G14">
            <v>46107</v>
          </cell>
          <cell r="P14" t="e">
            <v>#VALUE!</v>
          </cell>
          <cell r="R14" t="e">
            <v>#VALUE!</v>
          </cell>
          <cell r="AB14">
            <v>16085</v>
          </cell>
          <cell r="AC14">
            <v>325936</v>
          </cell>
          <cell r="AD14">
            <v>72571</v>
          </cell>
          <cell r="AE14">
            <v>1832778</v>
          </cell>
        </row>
        <row r="15">
          <cell r="G15">
            <v>46108</v>
          </cell>
          <cell r="P15" t="e">
            <v>#VALUE!</v>
          </cell>
          <cell r="R15" t="e">
            <v>#VALUE!</v>
          </cell>
          <cell r="AB15">
            <v>16085</v>
          </cell>
          <cell r="AC15">
            <v>325936</v>
          </cell>
          <cell r="AD15">
            <v>72571</v>
          </cell>
          <cell r="AE15">
            <v>1832778</v>
          </cell>
        </row>
        <row r="16">
          <cell r="G16">
            <v>46109</v>
          </cell>
          <cell r="P16" t="e">
            <v>#VALUE!</v>
          </cell>
          <cell r="R16" t="e">
            <v>#VALUE!</v>
          </cell>
          <cell r="AB16">
            <v>16085</v>
          </cell>
          <cell r="AC16">
            <v>325936</v>
          </cell>
          <cell r="AD16">
            <v>72571</v>
          </cell>
          <cell r="AE16">
            <v>1832778</v>
          </cell>
        </row>
        <row r="17">
          <cell r="G17">
            <v>46110</v>
          </cell>
          <cell r="P17" t="e">
            <v>#VALUE!</v>
          </cell>
          <cell r="R17" t="e">
            <v>#VALUE!</v>
          </cell>
          <cell r="AB17">
            <v>16085</v>
          </cell>
          <cell r="AC17">
            <v>325936</v>
          </cell>
          <cell r="AD17">
            <v>72571</v>
          </cell>
          <cell r="AE17">
            <v>1832778</v>
          </cell>
        </row>
        <row r="18">
          <cell r="G18">
            <v>46111</v>
          </cell>
          <cell r="P18" t="e">
            <v>#VALUE!</v>
          </cell>
          <cell r="R18" t="e">
            <v>#VALUE!</v>
          </cell>
          <cell r="AB18">
            <v>16085</v>
          </cell>
          <cell r="AC18">
            <v>325936</v>
          </cell>
          <cell r="AD18">
            <v>72571</v>
          </cell>
          <cell r="AE18">
            <v>1832778</v>
          </cell>
        </row>
        <row r="19">
          <cell r="G19">
            <v>46112</v>
          </cell>
          <cell r="P19">
            <v>703167</v>
          </cell>
          <cell r="R19">
            <v>1901677</v>
          </cell>
          <cell r="AB19">
            <v>16085</v>
          </cell>
          <cell r="AC19">
            <v>325936</v>
          </cell>
          <cell r="AD19">
            <v>72571</v>
          </cell>
          <cell r="AE19">
            <v>1832778</v>
          </cell>
        </row>
        <row r="20">
          <cell r="G20">
            <v>46113</v>
          </cell>
          <cell r="P20">
            <v>681592</v>
          </cell>
          <cell r="R20">
            <v>1780336</v>
          </cell>
          <cell r="AB20">
            <v>16085</v>
          </cell>
          <cell r="AC20">
            <v>325936</v>
          </cell>
          <cell r="AD20">
            <v>72571</v>
          </cell>
          <cell r="AE20">
            <v>1832778</v>
          </cell>
        </row>
        <row r="21">
          <cell r="G21">
            <v>46114</v>
          </cell>
          <cell r="P21">
            <v>669529</v>
          </cell>
          <cell r="R21">
            <v>1637854</v>
          </cell>
          <cell r="AB21">
            <v>16085</v>
          </cell>
          <cell r="AC21">
            <v>325936</v>
          </cell>
          <cell r="AD21">
            <v>72571</v>
          </cell>
          <cell r="AE21">
            <v>1832778</v>
          </cell>
        </row>
        <row r="22">
          <cell r="G22">
            <v>46115</v>
          </cell>
          <cell r="P22">
            <v>669529</v>
          </cell>
          <cell r="R22">
            <v>1637854</v>
          </cell>
          <cell r="AB22">
            <v>16085</v>
          </cell>
          <cell r="AC22">
            <v>325936</v>
          </cell>
          <cell r="AD22">
            <v>72571</v>
          </cell>
          <cell r="AE22">
            <v>1832778</v>
          </cell>
        </row>
        <row r="23">
          <cell r="G23">
            <v>46116</v>
          </cell>
          <cell r="P23">
            <v>651732</v>
          </cell>
          <cell r="R23">
            <v>1594043</v>
          </cell>
          <cell r="AB23">
            <v>16085</v>
          </cell>
          <cell r="AC23">
            <v>325936</v>
          </cell>
          <cell r="AD23">
            <v>72571</v>
          </cell>
          <cell r="AE23">
            <v>1832778</v>
          </cell>
        </row>
        <row r="24">
          <cell r="G24">
            <v>46117</v>
          </cell>
          <cell r="P24">
            <v>651732</v>
          </cell>
          <cell r="R24">
            <v>1594043</v>
          </cell>
          <cell r="AB24">
            <v>16085</v>
          </cell>
          <cell r="AC24">
            <v>325936</v>
          </cell>
          <cell r="AD24">
            <v>72571</v>
          </cell>
          <cell r="AE24">
            <v>1832778</v>
          </cell>
        </row>
        <row r="25">
          <cell r="G25">
            <v>46118</v>
          </cell>
          <cell r="P25">
            <v>651732</v>
          </cell>
          <cell r="R25">
            <v>1494058</v>
          </cell>
          <cell r="AB25">
            <v>16085</v>
          </cell>
          <cell r="AC25">
            <v>325936</v>
          </cell>
          <cell r="AD25">
            <v>72571</v>
          </cell>
          <cell r="AE25">
            <v>1832778</v>
          </cell>
        </row>
        <row r="26">
          <cell r="G26">
            <v>46119</v>
          </cell>
          <cell r="P26">
            <v>643532</v>
          </cell>
          <cell r="R26">
            <v>1423782.2857142857</v>
          </cell>
          <cell r="AB26">
            <v>16085</v>
          </cell>
          <cell r="AC26">
            <v>325936</v>
          </cell>
          <cell r="AD26">
            <v>72571</v>
          </cell>
          <cell r="AE26">
            <v>1832778</v>
          </cell>
        </row>
        <row r="27">
          <cell r="G27">
            <v>46120</v>
          </cell>
          <cell r="P27">
            <v>635332</v>
          </cell>
          <cell r="R27">
            <v>1365636.5714285714</v>
          </cell>
          <cell r="AB27">
            <v>16085</v>
          </cell>
          <cell r="AC27">
            <v>325936</v>
          </cell>
          <cell r="AD27">
            <v>72571</v>
          </cell>
          <cell r="AE27">
            <v>1832778</v>
          </cell>
        </row>
        <row r="28">
          <cell r="G28">
            <v>46121</v>
          </cell>
          <cell r="P28">
            <v>627132</v>
          </cell>
          <cell r="R28">
            <v>1324778</v>
          </cell>
          <cell r="AB28">
            <v>16085</v>
          </cell>
          <cell r="AC28">
            <v>325936</v>
          </cell>
          <cell r="AD28">
            <v>72571</v>
          </cell>
          <cell r="AE28">
            <v>1832778</v>
          </cell>
        </row>
        <row r="29">
          <cell r="G29">
            <v>46122</v>
          </cell>
          <cell r="P29">
            <v>618932</v>
          </cell>
          <cell r="R29">
            <v>1304205.142857143</v>
          </cell>
          <cell r="AB29">
            <v>16085</v>
          </cell>
          <cell r="AC29">
            <v>325936</v>
          </cell>
          <cell r="AD29">
            <v>72571</v>
          </cell>
          <cell r="AE29">
            <v>1832778</v>
          </cell>
        </row>
        <row r="30">
          <cell r="G30">
            <v>46123</v>
          </cell>
          <cell r="P30">
            <v>610732</v>
          </cell>
          <cell r="R30">
            <v>1283632.2857142859</v>
          </cell>
          <cell r="AB30">
            <v>16085</v>
          </cell>
          <cell r="AC30">
            <v>325936</v>
          </cell>
          <cell r="AD30">
            <v>72571</v>
          </cell>
          <cell r="AE30">
            <v>1832778</v>
          </cell>
        </row>
        <row r="31">
          <cell r="G31">
            <v>46124</v>
          </cell>
          <cell r="P31">
            <v>602532</v>
          </cell>
          <cell r="R31">
            <v>1269345.142857143</v>
          </cell>
          <cell r="AB31">
            <v>16085</v>
          </cell>
          <cell r="AC31">
            <v>325936</v>
          </cell>
          <cell r="AD31">
            <v>72571</v>
          </cell>
          <cell r="AE31">
            <v>1832778</v>
          </cell>
        </row>
        <row r="32">
          <cell r="G32">
            <v>46125</v>
          </cell>
          <cell r="P32">
            <v>594332</v>
          </cell>
          <cell r="R32">
            <v>1255058</v>
          </cell>
          <cell r="AB32">
            <v>16085</v>
          </cell>
          <cell r="AC32">
            <v>325936</v>
          </cell>
          <cell r="AD32">
            <v>72571</v>
          </cell>
          <cell r="AE32">
            <v>1832778</v>
          </cell>
        </row>
        <row r="33">
          <cell r="G33">
            <v>46126</v>
          </cell>
          <cell r="P33">
            <v>586132</v>
          </cell>
          <cell r="R33">
            <v>1255058</v>
          </cell>
          <cell r="AB33">
            <v>16085</v>
          </cell>
          <cell r="AC33">
            <v>325936</v>
          </cell>
          <cell r="AD33">
            <v>72571</v>
          </cell>
          <cell r="AE33">
            <v>1832778</v>
          </cell>
        </row>
        <row r="34">
          <cell r="G34">
            <v>46127</v>
          </cell>
          <cell r="P34">
            <v>577932</v>
          </cell>
          <cell r="R34">
            <v>1255058</v>
          </cell>
          <cell r="AB34">
            <v>16085</v>
          </cell>
          <cell r="AC34">
            <v>325936</v>
          </cell>
          <cell r="AD34">
            <v>72571</v>
          </cell>
          <cell r="AE34">
            <v>1832778</v>
          </cell>
        </row>
        <row r="35">
          <cell r="G35">
            <v>46128</v>
          </cell>
          <cell r="P35">
            <v>569732</v>
          </cell>
          <cell r="R35">
            <v>1255058</v>
          </cell>
          <cell r="AB35">
            <v>16085</v>
          </cell>
          <cell r="AC35">
            <v>325936</v>
          </cell>
          <cell r="AD35">
            <v>72571</v>
          </cell>
          <cell r="AE35">
            <v>1832778</v>
          </cell>
        </row>
        <row r="36">
          <cell r="G36">
            <v>46129</v>
          </cell>
          <cell r="P36">
            <v>561532</v>
          </cell>
          <cell r="R36">
            <v>1255058</v>
          </cell>
          <cell r="AB36">
            <v>16085</v>
          </cell>
          <cell r="AC36">
            <v>325936</v>
          </cell>
          <cell r="AD36">
            <v>72571</v>
          </cell>
          <cell r="AE36">
            <v>1832778</v>
          </cell>
        </row>
        <row r="37">
          <cell r="G37">
            <v>46130</v>
          </cell>
          <cell r="P37">
            <v>553332</v>
          </cell>
          <cell r="R37">
            <v>1255058</v>
          </cell>
          <cell r="AB37">
            <v>16085</v>
          </cell>
          <cell r="AC37">
            <v>325936</v>
          </cell>
          <cell r="AD37">
            <v>72571</v>
          </cell>
          <cell r="AE37">
            <v>1832778</v>
          </cell>
        </row>
        <row r="38">
          <cell r="G38">
            <v>46131</v>
          </cell>
          <cell r="P38">
            <v>545132</v>
          </cell>
          <cell r="R38">
            <v>1255058</v>
          </cell>
          <cell r="AB38">
            <v>16085</v>
          </cell>
          <cell r="AC38">
            <v>325936</v>
          </cell>
          <cell r="AD38">
            <v>72571</v>
          </cell>
          <cell r="AE38">
            <v>1832778</v>
          </cell>
        </row>
        <row r="39">
          <cell r="G39">
            <v>46132</v>
          </cell>
          <cell r="P39">
            <v>536932</v>
          </cell>
          <cell r="R39">
            <v>1255058</v>
          </cell>
          <cell r="AB39">
            <v>16085</v>
          </cell>
          <cell r="AC39">
            <v>325936</v>
          </cell>
          <cell r="AD39">
            <v>72571</v>
          </cell>
          <cell r="AE39">
            <v>1832778</v>
          </cell>
        </row>
        <row r="40">
          <cell r="G40">
            <v>46133</v>
          </cell>
          <cell r="P40">
            <v>528732</v>
          </cell>
          <cell r="R40">
            <v>1255058</v>
          </cell>
          <cell r="AB40">
            <v>16085</v>
          </cell>
          <cell r="AC40">
            <v>325936</v>
          </cell>
          <cell r="AD40">
            <v>72571</v>
          </cell>
          <cell r="AE40">
            <v>1832778</v>
          </cell>
        </row>
        <row r="41">
          <cell r="G41">
            <v>46134</v>
          </cell>
          <cell r="P41">
            <v>520532</v>
          </cell>
          <cell r="R41">
            <v>1255058</v>
          </cell>
          <cell r="AB41">
            <v>16085</v>
          </cell>
          <cell r="AC41">
            <v>325936</v>
          </cell>
          <cell r="AD41">
            <v>72571</v>
          </cell>
          <cell r="AE41">
            <v>1832778</v>
          </cell>
        </row>
        <row r="42">
          <cell r="G42">
            <v>46135</v>
          </cell>
          <cell r="P42">
            <v>512332</v>
          </cell>
          <cell r="R42">
            <v>1255058</v>
          </cell>
          <cell r="AB42">
            <v>16085</v>
          </cell>
          <cell r="AC42">
            <v>325936</v>
          </cell>
          <cell r="AD42">
            <v>72571</v>
          </cell>
          <cell r="AE42">
            <v>1832778</v>
          </cell>
        </row>
        <row r="43">
          <cell r="G43">
            <v>46136</v>
          </cell>
          <cell r="P43">
            <v>654132</v>
          </cell>
          <cell r="R43">
            <v>1955058</v>
          </cell>
          <cell r="AB43">
            <v>16085</v>
          </cell>
          <cell r="AC43">
            <v>325936</v>
          </cell>
          <cell r="AD43">
            <v>72571</v>
          </cell>
          <cell r="AE43">
            <v>1832778</v>
          </cell>
        </row>
        <row r="44">
          <cell r="G44">
            <v>46137</v>
          </cell>
          <cell r="P44">
            <v>645932</v>
          </cell>
          <cell r="R44">
            <v>1955058</v>
          </cell>
          <cell r="AB44">
            <v>16085</v>
          </cell>
          <cell r="AC44">
            <v>325936</v>
          </cell>
          <cell r="AD44">
            <v>72571</v>
          </cell>
          <cell r="AE44">
            <v>1832778</v>
          </cell>
        </row>
        <row r="45">
          <cell r="G45">
            <v>46138</v>
          </cell>
          <cell r="P45">
            <v>637732</v>
          </cell>
          <cell r="R45">
            <v>1955058</v>
          </cell>
          <cell r="AB45">
            <v>16085</v>
          </cell>
          <cell r="AC45">
            <v>325936</v>
          </cell>
          <cell r="AD45">
            <v>72571</v>
          </cell>
          <cell r="AE45">
            <v>1832778</v>
          </cell>
        </row>
        <row r="46">
          <cell r="G46">
            <v>46139</v>
          </cell>
          <cell r="P46">
            <v>629532</v>
          </cell>
          <cell r="R46">
            <v>1955058</v>
          </cell>
          <cell r="AB46">
            <v>16085</v>
          </cell>
          <cell r="AC46">
            <v>325936</v>
          </cell>
          <cell r="AD46">
            <v>72571</v>
          </cell>
          <cell r="AE46">
            <v>1832778</v>
          </cell>
        </row>
        <row r="47">
          <cell r="G47">
            <v>46140</v>
          </cell>
          <cell r="P47">
            <v>621332</v>
          </cell>
          <cell r="R47">
            <v>1955058</v>
          </cell>
          <cell r="AB47">
            <v>16085</v>
          </cell>
          <cell r="AC47">
            <v>325936</v>
          </cell>
          <cell r="AD47">
            <v>72571</v>
          </cell>
          <cell r="AE47">
            <v>1832778</v>
          </cell>
        </row>
        <row r="48">
          <cell r="G48">
            <v>46141</v>
          </cell>
          <cell r="P48">
            <v>613132</v>
          </cell>
          <cell r="R48">
            <v>1955058</v>
          </cell>
          <cell r="AB48">
            <v>16085</v>
          </cell>
          <cell r="AC48">
            <v>325936</v>
          </cell>
          <cell r="AD48">
            <v>72571</v>
          </cell>
          <cell r="AE48">
            <v>1832778</v>
          </cell>
        </row>
        <row r="49">
          <cell r="G49">
            <v>46142</v>
          </cell>
          <cell r="P49">
            <v>604932</v>
          </cell>
          <cell r="R49">
            <v>1955058</v>
          </cell>
          <cell r="AB49">
            <v>16085</v>
          </cell>
          <cell r="AC49">
            <v>325936</v>
          </cell>
          <cell r="AD49">
            <v>72571</v>
          </cell>
          <cell r="AE49">
            <v>1832778</v>
          </cell>
        </row>
        <row r="50">
          <cell r="G50">
            <v>46143</v>
          </cell>
          <cell r="P50">
            <v>596732</v>
          </cell>
          <cell r="R50">
            <v>1955058</v>
          </cell>
          <cell r="AB50">
            <v>16085</v>
          </cell>
          <cell r="AC50">
            <v>325936</v>
          </cell>
          <cell r="AD50">
            <v>72571</v>
          </cell>
          <cell r="AE50">
            <v>1832778</v>
          </cell>
        </row>
        <row r="51">
          <cell r="G51">
            <v>46144</v>
          </cell>
          <cell r="P51">
            <v>588532</v>
          </cell>
          <cell r="R51">
            <v>1955058</v>
          </cell>
          <cell r="AB51">
            <v>16085</v>
          </cell>
          <cell r="AC51">
            <v>325936</v>
          </cell>
          <cell r="AD51">
            <v>72571</v>
          </cell>
          <cell r="AE51">
            <v>1832778</v>
          </cell>
        </row>
        <row r="52">
          <cell r="G52">
            <v>46145</v>
          </cell>
          <cell r="P52">
            <v>580332</v>
          </cell>
          <cell r="R52">
            <v>1955058</v>
          </cell>
          <cell r="AB52">
            <v>16085</v>
          </cell>
          <cell r="AC52">
            <v>325936</v>
          </cell>
          <cell r="AD52">
            <v>72571</v>
          </cell>
          <cell r="AE52">
            <v>1832778</v>
          </cell>
        </row>
        <row r="53">
          <cell r="G53">
            <v>46146</v>
          </cell>
          <cell r="P53">
            <v>572132</v>
          </cell>
          <cell r="R53">
            <v>1955058</v>
          </cell>
          <cell r="AB53">
            <v>16085</v>
          </cell>
          <cell r="AC53">
            <v>325936</v>
          </cell>
          <cell r="AD53">
            <v>72571</v>
          </cell>
          <cell r="AE53">
            <v>1832778</v>
          </cell>
        </row>
        <row r="54">
          <cell r="G54">
            <v>46147</v>
          </cell>
          <cell r="P54">
            <v>563932</v>
          </cell>
          <cell r="R54">
            <v>1955058</v>
          </cell>
          <cell r="AB54">
            <v>16085</v>
          </cell>
          <cell r="AC54">
            <v>325936</v>
          </cell>
          <cell r="AD54">
            <v>72571</v>
          </cell>
          <cell r="AE54">
            <v>1832778</v>
          </cell>
        </row>
        <row r="55">
          <cell r="G55">
            <v>46148</v>
          </cell>
          <cell r="P55">
            <v>555732</v>
          </cell>
          <cell r="R55">
            <v>1955058</v>
          </cell>
          <cell r="AB55">
            <v>16085</v>
          </cell>
          <cell r="AC55">
            <v>325936</v>
          </cell>
          <cell r="AD55">
            <v>72571</v>
          </cell>
          <cell r="AE55">
            <v>1832778</v>
          </cell>
        </row>
        <row r="56">
          <cell r="G56">
            <v>46149</v>
          </cell>
          <cell r="P56">
            <v>547532</v>
          </cell>
          <cell r="R56">
            <v>1955058</v>
          </cell>
          <cell r="AB56">
            <v>16085</v>
          </cell>
          <cell r="AC56">
            <v>325936</v>
          </cell>
          <cell r="AD56">
            <v>72571</v>
          </cell>
          <cell r="AE56">
            <v>1832778</v>
          </cell>
        </row>
        <row r="57">
          <cell r="G57">
            <v>46150</v>
          </cell>
          <cell r="P57">
            <v>539332</v>
          </cell>
          <cell r="R57">
            <v>1955058</v>
          </cell>
          <cell r="AB57">
            <v>16085</v>
          </cell>
          <cell r="AC57">
            <v>325936</v>
          </cell>
          <cell r="AD57">
            <v>72571</v>
          </cell>
          <cell r="AE57">
            <v>1832778</v>
          </cell>
        </row>
        <row r="58">
          <cell r="G58">
            <v>46151</v>
          </cell>
          <cell r="P58">
            <v>531132</v>
          </cell>
          <cell r="R58">
            <v>1955058</v>
          </cell>
          <cell r="AB58">
            <v>16085</v>
          </cell>
          <cell r="AC58">
            <v>325936</v>
          </cell>
          <cell r="AD58">
            <v>72571</v>
          </cell>
          <cell r="AE58">
            <v>1832778</v>
          </cell>
        </row>
        <row r="59">
          <cell r="G59">
            <v>46152</v>
          </cell>
          <cell r="P59">
            <v>522932</v>
          </cell>
          <cell r="R59">
            <v>1955058</v>
          </cell>
          <cell r="AB59">
            <v>16085</v>
          </cell>
          <cell r="AC59">
            <v>325936</v>
          </cell>
          <cell r="AD59">
            <v>72571</v>
          </cell>
          <cell r="AE59">
            <v>1832778</v>
          </cell>
        </row>
        <row r="60">
          <cell r="G60">
            <v>46153</v>
          </cell>
          <cell r="P60">
            <v>514732</v>
          </cell>
          <cell r="R60">
            <v>1955058</v>
          </cell>
          <cell r="AB60">
            <v>16085</v>
          </cell>
          <cell r="AC60">
            <v>325936</v>
          </cell>
          <cell r="AD60">
            <v>72571</v>
          </cell>
          <cell r="AE60">
            <v>1832778</v>
          </cell>
        </row>
        <row r="61">
          <cell r="G61">
            <v>46154</v>
          </cell>
          <cell r="P61">
            <v>506532</v>
          </cell>
          <cell r="R61">
            <v>1955058</v>
          </cell>
          <cell r="AB61">
            <v>16085</v>
          </cell>
          <cell r="AC61">
            <v>325936</v>
          </cell>
          <cell r="AD61">
            <v>72571</v>
          </cell>
          <cell r="AE61">
            <v>1832778</v>
          </cell>
        </row>
        <row r="62">
          <cell r="G62">
            <v>46155</v>
          </cell>
          <cell r="P62">
            <v>648332</v>
          </cell>
          <cell r="R62">
            <v>2655058</v>
          </cell>
          <cell r="AB62">
            <v>16085</v>
          </cell>
          <cell r="AC62">
            <v>325936</v>
          </cell>
          <cell r="AD62">
            <v>72571</v>
          </cell>
          <cell r="AE62">
            <v>1832778</v>
          </cell>
        </row>
        <row r="63">
          <cell r="G63">
            <v>46156</v>
          </cell>
          <cell r="P63">
            <v>640132</v>
          </cell>
          <cell r="R63">
            <v>2655058</v>
          </cell>
          <cell r="AB63">
            <v>16085</v>
          </cell>
          <cell r="AC63">
            <v>325936</v>
          </cell>
          <cell r="AD63">
            <v>72571</v>
          </cell>
          <cell r="AE63">
            <v>1832778</v>
          </cell>
        </row>
        <row r="64">
          <cell r="G64">
            <v>46157</v>
          </cell>
          <cell r="P64">
            <v>631932</v>
          </cell>
          <cell r="R64">
            <v>2655058</v>
          </cell>
          <cell r="AB64">
            <v>16085</v>
          </cell>
          <cell r="AC64">
            <v>325936</v>
          </cell>
          <cell r="AD64">
            <v>72571</v>
          </cell>
          <cell r="AE64">
            <v>1832778</v>
          </cell>
        </row>
        <row r="65">
          <cell r="G65">
            <v>46158</v>
          </cell>
          <cell r="P65">
            <v>623732</v>
          </cell>
          <cell r="R65">
            <v>2655058</v>
          </cell>
          <cell r="AB65">
            <v>16085</v>
          </cell>
          <cell r="AC65">
            <v>325936</v>
          </cell>
          <cell r="AD65">
            <v>72571</v>
          </cell>
          <cell r="AE65">
            <v>1832778</v>
          </cell>
        </row>
        <row r="66">
          <cell r="G66">
            <v>46159</v>
          </cell>
          <cell r="P66">
            <v>615532</v>
          </cell>
          <cell r="R66">
            <v>2655058</v>
          </cell>
          <cell r="AB66">
            <v>16085</v>
          </cell>
          <cell r="AC66">
            <v>325936</v>
          </cell>
          <cell r="AD66">
            <v>72571</v>
          </cell>
          <cell r="AE66">
            <v>1832778</v>
          </cell>
        </row>
        <row r="67">
          <cell r="G67">
            <v>46160</v>
          </cell>
          <cell r="P67">
            <v>607332</v>
          </cell>
          <cell r="R67">
            <v>2655058</v>
          </cell>
          <cell r="AB67">
            <v>16085</v>
          </cell>
          <cell r="AC67">
            <v>325936</v>
          </cell>
          <cell r="AD67">
            <v>72571</v>
          </cell>
          <cell r="AE67">
            <v>1832778</v>
          </cell>
        </row>
        <row r="68">
          <cell r="G68">
            <v>46161</v>
          </cell>
          <cell r="P68">
            <v>599132</v>
          </cell>
          <cell r="R68">
            <v>2655058</v>
          </cell>
          <cell r="AB68">
            <v>16085</v>
          </cell>
          <cell r="AC68">
            <v>325936</v>
          </cell>
          <cell r="AD68">
            <v>72571</v>
          </cell>
          <cell r="AE68">
            <v>1832778</v>
          </cell>
        </row>
        <row r="69">
          <cell r="G69">
            <v>46162</v>
          </cell>
          <cell r="P69">
            <v>590932</v>
          </cell>
          <cell r="R69">
            <v>2655058</v>
          </cell>
          <cell r="AB69">
            <v>16085</v>
          </cell>
          <cell r="AC69">
            <v>325936</v>
          </cell>
          <cell r="AD69">
            <v>72571</v>
          </cell>
          <cell r="AE69">
            <v>1832778</v>
          </cell>
        </row>
        <row r="70">
          <cell r="G70">
            <v>46163</v>
          </cell>
          <cell r="P70">
            <v>582732</v>
          </cell>
          <cell r="R70">
            <v>2655058</v>
          </cell>
          <cell r="AB70">
            <v>16085</v>
          </cell>
          <cell r="AC70">
            <v>325936</v>
          </cell>
          <cell r="AD70">
            <v>72571</v>
          </cell>
          <cell r="AE70">
            <v>1832778</v>
          </cell>
        </row>
        <row r="71">
          <cell r="G71">
            <v>46164</v>
          </cell>
          <cell r="P71">
            <v>574532</v>
          </cell>
          <cell r="R71">
            <v>2655058</v>
          </cell>
          <cell r="AB71">
            <v>16085</v>
          </cell>
          <cell r="AC71">
            <v>325936</v>
          </cell>
          <cell r="AD71">
            <v>72571</v>
          </cell>
          <cell r="AE71">
            <v>1832778</v>
          </cell>
        </row>
        <row r="72">
          <cell r="G72">
            <v>46165</v>
          </cell>
          <cell r="P72">
            <v>566332</v>
          </cell>
          <cell r="R72">
            <v>2655058</v>
          </cell>
          <cell r="AB72">
            <v>16085</v>
          </cell>
          <cell r="AC72">
            <v>325936</v>
          </cell>
          <cell r="AD72">
            <v>72571</v>
          </cell>
          <cell r="AE72">
            <v>1832778</v>
          </cell>
        </row>
        <row r="73">
          <cell r="G73">
            <v>46166</v>
          </cell>
          <cell r="P73">
            <v>558132</v>
          </cell>
          <cell r="R73">
            <v>2655058</v>
          </cell>
          <cell r="AB73">
            <v>16085</v>
          </cell>
          <cell r="AC73">
            <v>325936</v>
          </cell>
          <cell r="AD73">
            <v>72571</v>
          </cell>
          <cell r="AE73">
            <v>1832778</v>
          </cell>
        </row>
        <row r="74">
          <cell r="G74">
            <v>46167</v>
          </cell>
          <cell r="P74">
            <v>549932</v>
          </cell>
          <cell r="R74">
            <v>2655058</v>
          </cell>
          <cell r="AB74">
            <v>16085</v>
          </cell>
          <cell r="AC74">
            <v>325936</v>
          </cell>
          <cell r="AD74">
            <v>72571</v>
          </cell>
          <cell r="AE74">
            <v>1832778</v>
          </cell>
        </row>
        <row r="75">
          <cell r="G75">
            <v>46168</v>
          </cell>
          <cell r="P75">
            <v>541732</v>
          </cell>
          <cell r="R75">
            <v>2655058</v>
          </cell>
          <cell r="AB75">
            <v>16085</v>
          </cell>
          <cell r="AC75">
            <v>325936</v>
          </cell>
          <cell r="AD75">
            <v>72571</v>
          </cell>
          <cell r="AE75">
            <v>1832778</v>
          </cell>
        </row>
        <row r="76">
          <cell r="G76">
            <v>46169</v>
          </cell>
          <cell r="P76">
            <v>533532</v>
          </cell>
          <cell r="R76">
            <v>2655058</v>
          </cell>
          <cell r="AB76">
            <v>16085</v>
          </cell>
          <cell r="AC76">
            <v>325936</v>
          </cell>
          <cell r="AD76">
            <v>72571</v>
          </cell>
          <cell r="AE76">
            <v>1832778</v>
          </cell>
        </row>
        <row r="77">
          <cell r="G77">
            <v>46170</v>
          </cell>
          <cell r="P77">
            <v>525332</v>
          </cell>
          <cell r="R77">
            <v>2655058</v>
          </cell>
          <cell r="AB77">
            <v>16085</v>
          </cell>
          <cell r="AC77">
            <v>325936</v>
          </cell>
          <cell r="AD77">
            <v>72571</v>
          </cell>
          <cell r="AE77">
            <v>1832778</v>
          </cell>
        </row>
        <row r="78">
          <cell r="G78">
            <v>46171</v>
          </cell>
          <cell r="P78">
            <v>517132</v>
          </cell>
          <cell r="R78">
            <v>2655058</v>
          </cell>
          <cell r="AB78">
            <v>16085</v>
          </cell>
          <cell r="AC78">
            <v>325936</v>
          </cell>
          <cell r="AD78">
            <v>72571</v>
          </cell>
          <cell r="AE78">
            <v>1832778</v>
          </cell>
        </row>
        <row r="79">
          <cell r="G79">
            <v>46172</v>
          </cell>
          <cell r="P79">
            <v>508932</v>
          </cell>
          <cell r="R79">
            <v>2655058</v>
          </cell>
          <cell r="AB79">
            <v>16085</v>
          </cell>
          <cell r="AC79">
            <v>325936</v>
          </cell>
          <cell r="AD79">
            <v>72571</v>
          </cell>
          <cell r="AE79">
            <v>1832778</v>
          </cell>
        </row>
        <row r="80">
          <cell r="G80">
            <v>46173</v>
          </cell>
          <cell r="P80">
            <v>500732</v>
          </cell>
          <cell r="R80">
            <v>2655058</v>
          </cell>
          <cell r="AB80">
            <v>16085</v>
          </cell>
          <cell r="AC80">
            <v>325936</v>
          </cell>
          <cell r="AD80">
            <v>72571</v>
          </cell>
          <cell r="AE80">
            <v>1832778</v>
          </cell>
        </row>
        <row r="81">
          <cell r="G81">
            <v>46174</v>
          </cell>
          <cell r="P81">
            <v>492532</v>
          </cell>
          <cell r="R81">
            <v>2655058</v>
          </cell>
          <cell r="AB81">
            <v>16085</v>
          </cell>
          <cell r="AC81">
            <v>325936</v>
          </cell>
          <cell r="AD81">
            <v>72571</v>
          </cell>
          <cell r="AE81">
            <v>1832778</v>
          </cell>
        </row>
        <row r="82">
          <cell r="G82">
            <v>46175</v>
          </cell>
          <cell r="P82">
            <v>484332</v>
          </cell>
          <cell r="R82">
            <v>2655058</v>
          </cell>
          <cell r="AB82">
            <v>16085</v>
          </cell>
          <cell r="AC82">
            <v>325936</v>
          </cell>
          <cell r="AD82">
            <v>72571</v>
          </cell>
          <cell r="AE82">
            <v>1832778</v>
          </cell>
        </row>
        <row r="83">
          <cell r="G83">
            <v>46176</v>
          </cell>
          <cell r="P83">
            <v>476132</v>
          </cell>
          <cell r="R83">
            <v>2655058</v>
          </cell>
          <cell r="AB83">
            <v>16085</v>
          </cell>
          <cell r="AC83">
            <v>325936</v>
          </cell>
          <cell r="AD83">
            <v>72571</v>
          </cell>
          <cell r="AE83">
            <v>1832778</v>
          </cell>
        </row>
        <row r="84">
          <cell r="G84">
            <v>46177</v>
          </cell>
          <cell r="P84">
            <v>467932</v>
          </cell>
          <cell r="R84">
            <v>2655058</v>
          </cell>
          <cell r="AB84">
            <v>16085</v>
          </cell>
          <cell r="AC84">
            <v>325936</v>
          </cell>
          <cell r="AD84">
            <v>72571</v>
          </cell>
          <cell r="AE84">
            <v>1832778</v>
          </cell>
        </row>
        <row r="85">
          <cell r="G85">
            <v>46178</v>
          </cell>
          <cell r="P85">
            <v>459732</v>
          </cell>
          <cell r="R85">
            <v>2655058</v>
          </cell>
          <cell r="AB85">
            <v>16085</v>
          </cell>
          <cell r="AC85">
            <v>325936</v>
          </cell>
          <cell r="AD85">
            <v>72571</v>
          </cell>
          <cell r="AE85">
            <v>1832778</v>
          </cell>
        </row>
        <row r="86">
          <cell r="G86">
            <v>46179</v>
          </cell>
          <cell r="P86">
            <v>451532</v>
          </cell>
          <cell r="R86">
            <v>2655058</v>
          </cell>
          <cell r="AB86">
            <v>16085</v>
          </cell>
          <cell r="AC86">
            <v>325936</v>
          </cell>
          <cell r="AD86">
            <v>72571</v>
          </cell>
          <cell r="AE86">
            <v>1832778</v>
          </cell>
        </row>
        <row r="87">
          <cell r="G87">
            <v>46180</v>
          </cell>
          <cell r="P87">
            <v>443332</v>
          </cell>
          <cell r="R87">
            <v>2655058</v>
          </cell>
          <cell r="AB87">
            <v>16085</v>
          </cell>
          <cell r="AC87">
            <v>325936</v>
          </cell>
          <cell r="AD87">
            <v>72571</v>
          </cell>
          <cell r="AE87">
            <v>1832778</v>
          </cell>
        </row>
        <row r="88">
          <cell r="G88">
            <v>46181</v>
          </cell>
          <cell r="P88">
            <v>435132</v>
          </cell>
          <cell r="R88">
            <v>2655058</v>
          </cell>
          <cell r="AB88">
            <v>16085</v>
          </cell>
          <cell r="AC88">
            <v>325936</v>
          </cell>
          <cell r="AD88">
            <v>72571</v>
          </cell>
          <cell r="AE88">
            <v>1832778</v>
          </cell>
        </row>
        <row r="89">
          <cell r="G89">
            <v>46182</v>
          </cell>
          <cell r="P89">
            <v>426932</v>
          </cell>
          <cell r="R89">
            <v>2655058</v>
          </cell>
          <cell r="AB89">
            <v>16085</v>
          </cell>
          <cell r="AC89">
            <v>325936</v>
          </cell>
          <cell r="AD89">
            <v>72571</v>
          </cell>
          <cell r="AE89">
            <v>1832778</v>
          </cell>
        </row>
        <row r="90">
          <cell r="G90">
            <v>46183</v>
          </cell>
          <cell r="P90">
            <v>418732</v>
          </cell>
          <cell r="R90">
            <v>2655058</v>
          </cell>
          <cell r="AB90">
            <v>16085</v>
          </cell>
          <cell r="AC90">
            <v>325936</v>
          </cell>
          <cell r="AD90">
            <v>72571</v>
          </cell>
          <cell r="AE90">
            <v>1832778</v>
          </cell>
        </row>
        <row r="91">
          <cell r="G91">
            <v>46184</v>
          </cell>
          <cell r="P91">
            <v>410532</v>
          </cell>
          <cell r="R91">
            <v>2655058</v>
          </cell>
          <cell r="AB91">
            <v>16085</v>
          </cell>
          <cell r="AC91">
            <v>325936</v>
          </cell>
          <cell r="AD91">
            <v>72571</v>
          </cell>
          <cell r="AE91">
            <v>1832778</v>
          </cell>
        </row>
        <row r="92">
          <cell r="G92">
            <v>46185</v>
          </cell>
          <cell r="P92">
            <v>402332</v>
          </cell>
          <cell r="R92">
            <v>2655058</v>
          </cell>
          <cell r="AB92">
            <v>16085</v>
          </cell>
          <cell r="AC92">
            <v>325936</v>
          </cell>
          <cell r="AD92">
            <v>72571</v>
          </cell>
          <cell r="AE92">
            <v>1832778</v>
          </cell>
        </row>
        <row r="93">
          <cell r="G93">
            <v>46186</v>
          </cell>
          <cell r="P93">
            <v>394132</v>
          </cell>
          <cell r="R93">
            <v>2655058</v>
          </cell>
          <cell r="AB93">
            <v>16085</v>
          </cell>
          <cell r="AC93">
            <v>325936</v>
          </cell>
          <cell r="AD93">
            <v>72571</v>
          </cell>
          <cell r="AE93">
            <v>1832778</v>
          </cell>
        </row>
        <row r="94">
          <cell r="G94">
            <v>46187</v>
          </cell>
          <cell r="P94">
            <v>385932</v>
          </cell>
          <cell r="R94">
            <v>2655058</v>
          </cell>
          <cell r="AB94">
            <v>16085</v>
          </cell>
          <cell r="AC94">
            <v>325936</v>
          </cell>
          <cell r="AD94">
            <v>72571</v>
          </cell>
          <cell r="AE94">
            <v>1832778</v>
          </cell>
        </row>
        <row r="95">
          <cell r="G95">
            <v>46188</v>
          </cell>
          <cell r="P95">
            <v>377732</v>
          </cell>
          <cell r="R95">
            <v>2655058</v>
          </cell>
          <cell r="AB95">
            <v>16085</v>
          </cell>
          <cell r="AC95">
            <v>325936</v>
          </cell>
          <cell r="AD95">
            <v>72571</v>
          </cell>
          <cell r="AE95">
            <v>1832778</v>
          </cell>
        </row>
        <row r="96">
          <cell r="G96">
            <v>46189</v>
          </cell>
          <cell r="P96">
            <v>369532</v>
          </cell>
          <cell r="R96">
            <v>2655058</v>
          </cell>
          <cell r="AB96">
            <v>16085</v>
          </cell>
          <cell r="AC96">
            <v>325936</v>
          </cell>
          <cell r="AD96">
            <v>72571</v>
          </cell>
          <cell r="AE96">
            <v>1832778</v>
          </cell>
        </row>
        <row r="97">
          <cell r="G97">
            <v>46190</v>
          </cell>
          <cell r="P97">
            <v>361332</v>
          </cell>
          <cell r="R97">
            <v>2655058</v>
          </cell>
          <cell r="AB97">
            <v>16085</v>
          </cell>
          <cell r="AC97">
            <v>325936</v>
          </cell>
          <cell r="AD97">
            <v>72571</v>
          </cell>
          <cell r="AE97">
            <v>1832778</v>
          </cell>
        </row>
        <row r="98">
          <cell r="G98">
            <v>46191</v>
          </cell>
          <cell r="P98">
            <v>353132</v>
          </cell>
          <cell r="R98">
            <v>2655058</v>
          </cell>
          <cell r="AB98">
            <v>16085</v>
          </cell>
          <cell r="AC98">
            <v>325936</v>
          </cell>
          <cell r="AD98">
            <v>72571</v>
          </cell>
          <cell r="AE98">
            <v>1832778</v>
          </cell>
        </row>
        <row r="99">
          <cell r="G99">
            <v>46192</v>
          </cell>
          <cell r="P99">
            <v>344932</v>
          </cell>
          <cell r="R99">
            <v>2655058</v>
          </cell>
          <cell r="AB99">
            <v>16085</v>
          </cell>
          <cell r="AC99">
            <v>325936</v>
          </cell>
          <cell r="AD99">
            <v>72571</v>
          </cell>
          <cell r="AE99">
            <v>1832778</v>
          </cell>
        </row>
        <row r="100">
          <cell r="G100">
            <v>46193</v>
          </cell>
          <cell r="P100">
            <v>336732</v>
          </cell>
          <cell r="R100">
            <v>2655058</v>
          </cell>
          <cell r="AB100">
            <v>16085</v>
          </cell>
          <cell r="AC100">
            <v>325936</v>
          </cell>
          <cell r="AD100">
            <v>72571</v>
          </cell>
          <cell r="AE100">
            <v>1832778</v>
          </cell>
        </row>
        <row r="101">
          <cell r="G101">
            <v>46194</v>
          </cell>
          <cell r="P101">
            <v>328532</v>
          </cell>
          <cell r="R101">
            <v>2655058</v>
          </cell>
          <cell r="AB101">
            <v>16085</v>
          </cell>
          <cell r="AC101">
            <v>325936</v>
          </cell>
          <cell r="AD101">
            <v>72571</v>
          </cell>
          <cell r="AE101">
            <v>1832778</v>
          </cell>
        </row>
        <row r="102">
          <cell r="G102">
            <v>46195</v>
          </cell>
          <cell r="P102">
            <v>320332</v>
          </cell>
          <cell r="R102">
            <v>2655058</v>
          </cell>
          <cell r="AB102">
            <v>16085</v>
          </cell>
          <cell r="AC102">
            <v>325936</v>
          </cell>
          <cell r="AD102">
            <v>72571</v>
          </cell>
          <cell r="AE102">
            <v>1832778</v>
          </cell>
        </row>
        <row r="103">
          <cell r="G103">
            <v>46196</v>
          </cell>
          <cell r="P103">
            <v>312132</v>
          </cell>
          <cell r="R103">
            <v>2655058</v>
          </cell>
          <cell r="AB103">
            <v>16085</v>
          </cell>
          <cell r="AC103">
            <v>325936</v>
          </cell>
          <cell r="AD103">
            <v>72571</v>
          </cell>
          <cell r="AE103">
            <v>1832778</v>
          </cell>
        </row>
        <row r="104">
          <cell r="G104">
            <v>46197</v>
          </cell>
          <cell r="P104">
            <v>303932</v>
          </cell>
          <cell r="R104">
            <v>2655058</v>
          </cell>
          <cell r="AB104">
            <v>16085</v>
          </cell>
          <cell r="AC104">
            <v>325936</v>
          </cell>
          <cell r="AD104">
            <v>72571</v>
          </cell>
          <cell r="AE104">
            <v>1832778</v>
          </cell>
        </row>
        <row r="105">
          <cell r="G105">
            <v>46198</v>
          </cell>
          <cell r="P105">
            <v>295732</v>
          </cell>
          <cell r="R105">
            <v>2655058</v>
          </cell>
          <cell r="AB105">
            <v>16085</v>
          </cell>
          <cell r="AC105">
            <v>325936</v>
          </cell>
          <cell r="AD105">
            <v>72571</v>
          </cell>
          <cell r="AE105">
            <v>1832778</v>
          </cell>
        </row>
        <row r="106">
          <cell r="G106">
            <v>46199</v>
          </cell>
          <cell r="P106">
            <v>287532</v>
          </cell>
          <cell r="R106">
            <v>2655058</v>
          </cell>
          <cell r="AB106">
            <v>16085</v>
          </cell>
          <cell r="AC106">
            <v>325936</v>
          </cell>
          <cell r="AD106">
            <v>72571</v>
          </cell>
          <cell r="AE106">
            <v>1832778</v>
          </cell>
        </row>
        <row r="107">
          <cell r="G107">
            <v>46200</v>
          </cell>
          <cell r="P107">
            <v>279332</v>
          </cell>
          <cell r="R107">
            <v>2655058</v>
          </cell>
          <cell r="AB107">
            <v>16085</v>
          </cell>
          <cell r="AC107">
            <v>325936</v>
          </cell>
          <cell r="AD107">
            <v>72571</v>
          </cell>
          <cell r="AE107">
            <v>1832778</v>
          </cell>
        </row>
        <row r="108">
          <cell r="G108">
            <v>46201</v>
          </cell>
          <cell r="P108">
            <v>271132</v>
          </cell>
          <cell r="R108">
            <v>2655058</v>
          </cell>
          <cell r="AB108">
            <v>16085</v>
          </cell>
          <cell r="AC108">
            <v>325936</v>
          </cell>
          <cell r="AD108">
            <v>72571</v>
          </cell>
          <cell r="AE108">
            <v>1832778</v>
          </cell>
        </row>
        <row r="109">
          <cell r="G109">
            <v>46202</v>
          </cell>
          <cell r="P109">
            <v>262932</v>
          </cell>
          <cell r="R109">
            <v>2655058</v>
          </cell>
          <cell r="AB109">
            <v>16085</v>
          </cell>
          <cell r="AC109">
            <v>325936</v>
          </cell>
          <cell r="AD109">
            <v>72571</v>
          </cell>
          <cell r="AE109">
            <v>1832778</v>
          </cell>
        </row>
        <row r="110">
          <cell r="G110">
            <v>46203</v>
          </cell>
          <cell r="P110">
            <v>254732</v>
          </cell>
          <cell r="R110">
            <v>2655058</v>
          </cell>
          <cell r="AB110">
            <v>16085</v>
          </cell>
          <cell r="AC110">
            <v>325936</v>
          </cell>
          <cell r="AD110">
            <v>72571</v>
          </cell>
          <cell r="AE110">
            <v>1832778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01A55-0A77-4EB3-A4C7-55EDC650FD4D}">
  <dimension ref="B1:AF112"/>
  <sheetViews>
    <sheetView tabSelected="1" topLeftCell="A7" workbookViewId="0">
      <selection activeCell="E27" sqref="E27"/>
    </sheetView>
  </sheetViews>
  <sheetFormatPr defaultRowHeight="13.6" x14ac:dyDescent="0.25"/>
  <cols>
    <col min="2" max="2" width="14.42578125" customWidth="1"/>
    <col min="3" max="5" width="17.140625" customWidth="1"/>
    <col min="8" max="8" width="13.7109375" customWidth="1"/>
    <col min="11" max="11" width="11.140625" customWidth="1"/>
    <col min="13" max="13" width="10.42578125" customWidth="1"/>
    <col min="17" max="17" width="11.28515625" customWidth="1"/>
    <col min="19" max="19" width="12.140625" customWidth="1"/>
  </cols>
  <sheetData>
    <row r="1" spans="2:32" ht="23.8" x14ac:dyDescent="0.4">
      <c r="B1" s="63" t="s">
        <v>29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</row>
    <row r="3" spans="2:32" s="2" customFormat="1" ht="23.95" customHeight="1" x14ac:dyDescent="0.25">
      <c r="B3" s="1" t="s">
        <v>28</v>
      </c>
      <c r="D3" s="64" t="s">
        <v>22</v>
      </c>
      <c r="E3" s="65"/>
      <c r="F3" s="3"/>
      <c r="G3" s="3"/>
      <c r="H3" s="3"/>
      <c r="I3" s="1" t="s">
        <v>0</v>
      </c>
      <c r="N3" s="4"/>
      <c r="P3" s="1"/>
      <c r="Q3" s="1" t="s">
        <v>1</v>
      </c>
      <c r="R3" s="1"/>
      <c r="AC3" s="5"/>
      <c r="AD3" s="5"/>
      <c r="AE3" s="5"/>
      <c r="AF3" s="5"/>
    </row>
    <row r="4" spans="2:32" s="2" customFormat="1" ht="21.75" x14ac:dyDescent="0.25">
      <c r="B4" s="1"/>
      <c r="F4" s="6"/>
      <c r="I4" s="7" t="s">
        <v>2</v>
      </c>
      <c r="J4" s="8"/>
      <c r="K4" s="9" t="s">
        <v>3</v>
      </c>
      <c r="L4" s="10"/>
      <c r="M4" s="10"/>
      <c r="N4" s="11"/>
      <c r="O4" s="12"/>
      <c r="P4" s="13" t="s">
        <v>2</v>
      </c>
      <c r="Q4" s="14"/>
      <c r="R4" s="14" t="s">
        <v>3</v>
      </c>
      <c r="S4" s="15"/>
      <c r="T4" s="12"/>
      <c r="U4" s="12"/>
      <c r="V4" s="12"/>
      <c r="AC4" s="5" t="s">
        <v>4</v>
      </c>
      <c r="AD4" s="5"/>
      <c r="AE4" s="5" t="s">
        <v>5</v>
      </c>
      <c r="AF4" s="5"/>
    </row>
    <row r="5" spans="2:32" s="2" customFormat="1" ht="42.8" x14ac:dyDescent="0.25">
      <c r="C5" s="6"/>
      <c r="D5" s="6"/>
      <c r="E5" s="6"/>
      <c r="F5" s="6"/>
      <c r="I5" s="16" t="s">
        <v>6</v>
      </c>
      <c r="J5" s="17" t="s">
        <v>7</v>
      </c>
      <c r="K5" s="18" t="s">
        <v>6</v>
      </c>
      <c r="L5" s="18" t="s">
        <v>8</v>
      </c>
      <c r="M5" s="18" t="s">
        <v>9</v>
      </c>
      <c r="N5" s="19" t="s">
        <v>10</v>
      </c>
      <c r="O5" s="12"/>
      <c r="P5" s="20" t="s">
        <v>11</v>
      </c>
      <c r="Q5" s="21" t="s">
        <v>6</v>
      </c>
      <c r="R5" s="21" t="s">
        <v>11</v>
      </c>
      <c r="S5" s="22" t="s">
        <v>6</v>
      </c>
      <c r="T5" s="12"/>
      <c r="U5" s="12"/>
      <c r="V5" s="12"/>
      <c r="AC5" s="5" t="s">
        <v>12</v>
      </c>
      <c r="AD5" s="5" t="s">
        <v>13</v>
      </c>
      <c r="AE5" s="5" t="s">
        <v>12</v>
      </c>
      <c r="AF5" s="5" t="s">
        <v>13</v>
      </c>
    </row>
    <row r="6" spans="2:32" s="2" customFormat="1" ht="21.75" x14ac:dyDescent="0.25">
      <c r="F6" s="6"/>
      <c r="H6" s="23" t="s">
        <v>14</v>
      </c>
      <c r="I6" s="24">
        <v>240000</v>
      </c>
      <c r="J6" s="24">
        <v>23052</v>
      </c>
      <c r="K6" s="24">
        <v>745000</v>
      </c>
      <c r="L6" s="24">
        <v>120000</v>
      </c>
      <c r="M6" s="24">
        <v>45000</v>
      </c>
      <c r="N6" s="24">
        <f>SUM(L6:M6)</f>
        <v>165000</v>
      </c>
      <c r="AC6" s="5"/>
      <c r="AD6" s="5"/>
      <c r="AE6" s="5"/>
      <c r="AF6" s="5"/>
    </row>
    <row r="7" spans="2:32" s="2" customFormat="1" ht="21.75" x14ac:dyDescent="0.25">
      <c r="F7" s="6"/>
      <c r="H7" s="25">
        <v>46098</v>
      </c>
      <c r="I7" s="26"/>
      <c r="J7" s="26"/>
      <c r="K7" s="26"/>
      <c r="L7" s="26"/>
      <c r="M7" s="26"/>
      <c r="N7" s="27">
        <f>SUM(L7:M7)</f>
        <v>0</v>
      </c>
      <c r="O7" s="12"/>
      <c r="P7" s="28" t="str">
        <f t="shared" ref="P7:P70" si="0">IF(I7="",IFERROR(_xlfn.XLOOKUP(H7,$C$10:$C$14,$D$10:$D$14,""),""),"")</f>
        <v/>
      </c>
      <c r="Q7" s="28" t="e" cm="1">
        <f t="array" ref="Q7">IF(I7="",_xlfn.LET(
    _xlpm.vals,_xlfn._xlws.FILTER($J5:J$7,$J5:J$7&lt;&gt;"",""),
    _xlpm.avgJ,IF(COUNTA(_xlpm.vals)=0,0,AVERAGE(_xlfn.TAKE(_xlpm.vals,-MIN(7,ROWS(_xlpm.vals))))),
    _xlpm.addship,IF(P7="",0,P7),
    IF(
        AND(I5="",I7=""),
        Q5-_xlpm.avgJ+_xlpm.addship,
        IF(
            I7="",
            I5-_xlpm.avgJ+_xlpm.addship,
            ""
        )
    )
),I7)</f>
        <v>#VALUE!</v>
      </c>
      <c r="R7" s="28" t="str">
        <f t="shared" ref="R7:R70" si="1">IF(K7="",IFERROR(_xlfn.XLOOKUP(H7,$C$10:$C$14,$E$10:$E$14,""),""),"")</f>
        <v/>
      </c>
      <c r="S7" s="28" t="e" cm="1">
        <f t="array" ref="S7">IF(K7="",_xlfn.LET(
    _xlpm.vals,_xlfn._xlws.FILTER($N5:N$7,$N5:N$7&lt;&gt;"",""),
    _xlpm.avgJ,IF(COUNTA(_xlpm.vals)=0,0,AVERAGE(_xlfn.TAKE(_xlpm.vals,-MIN(7,ROWS(_xlpm.vals))))),
    _xlpm.addship,IF(R7="",0,R7),
    IF(
        AND(K5="",K7=""),
        S5-_xlpm.avgJ+_xlpm.addship,
        IF(
            K7="",
            K5-_xlpm.avgJ+_xlpm.addship,
            ""
        )
    )
),K7)</f>
        <v>#VALUE!</v>
      </c>
      <c r="T7" s="29" t="e">
        <f t="shared" ref="T7:T70" si="2">IF(AND(Q7="",S7=""),"",
_xlfn.LET(
_xlpm.msgs,
_xlfn.TEXTJOIN(" | ",TRUE,
IF(Q7&gt;$D$23,"Petrol over capacity",""),
IF(Q7&lt;$D$24,"Petrol stock out",""),
IF(S7&gt;$E$23,"Diesel over capacity",""),
IF(S7&lt;$E$24,"Diesel stock out","")
),
IF(_xlpm.msgs="","",_xlpm.msgs)
))</f>
        <v>#VALUE!</v>
      </c>
      <c r="U7" s="12"/>
      <c r="V7" s="12"/>
      <c r="AC7" s="5">
        <f t="shared" ref="AC7:AC70" si="3">$D$24</f>
        <v>16085</v>
      </c>
      <c r="AD7" s="5">
        <f t="shared" ref="AD7:AD70" si="4">$D$23</f>
        <v>325936</v>
      </c>
      <c r="AE7" s="5">
        <f t="shared" ref="AE7:AE70" si="5">$E$24</f>
        <v>72571</v>
      </c>
      <c r="AF7" s="5">
        <f t="shared" ref="AF7:AF70" si="6">$E$23</f>
        <v>1832778</v>
      </c>
    </row>
    <row r="8" spans="2:32" s="12" customFormat="1" ht="18" customHeight="1" x14ac:dyDescent="0.25">
      <c r="B8" s="30" t="s">
        <v>15</v>
      </c>
      <c r="C8" s="31" t="s">
        <v>16</v>
      </c>
      <c r="D8" s="32" t="s">
        <v>2</v>
      </c>
      <c r="E8" s="33" t="s">
        <v>3</v>
      </c>
      <c r="F8" s="29"/>
      <c r="G8" s="2"/>
      <c r="H8" s="25">
        <f>H7+1</f>
        <v>46099</v>
      </c>
      <c r="I8" s="34"/>
      <c r="J8" s="34"/>
      <c r="K8" s="34"/>
      <c r="L8" s="34"/>
      <c r="M8" s="26"/>
      <c r="N8" s="27">
        <f t="shared" ref="N8:N71" si="7">SUM(L8:M8)</f>
        <v>0</v>
      </c>
      <c r="P8" s="35" t="str">
        <f t="shared" si="0"/>
        <v/>
      </c>
      <c r="Q8" s="35" t="e" cm="1">
        <f t="array" ref="Q8">IF(I8="",_xlfn.LET(
    _xlpm.vals,_xlfn._xlws.FILTER($J7:J$7,$J7:J$7&lt;&gt;"",""),
    _xlpm.avgJ,IF(COUNTA(_xlpm.vals)=0,0,AVERAGE(_xlfn.TAKE(_xlpm.vals,-MIN(7,ROWS(_xlpm.vals))))),
    _xlpm.addship,IF(P8="",0,P8),
    IF(
        AND(I7="",I8=""),
        Q7-_xlpm.avgJ+_xlpm.addship,
        IF(
            I8="",
            I7-_xlpm.avgJ+_xlpm.addship,
            ""
        )
    )
),I8)</f>
        <v>#VALUE!</v>
      </c>
      <c r="R8" s="35" t="str">
        <f t="shared" si="1"/>
        <v/>
      </c>
      <c r="S8" s="35" t="e" cm="1">
        <f t="array" ref="S8">IF(K8="",_xlfn.LET(
    _xlpm.vals,_xlfn._xlws.FILTER($N7:N$7,$N7:N$7&lt;&gt;"",""),
    _xlpm.avgJ,IF(COUNTA(_xlpm.vals)=0,0,AVERAGE(_xlfn.TAKE(_xlpm.vals,-MIN(7,ROWS(_xlpm.vals))))),
    _xlpm.addship,IF(R8="",0,R8),
    IF(
        AND(K7="",K8=""),
        S7-_xlpm.avgJ+_xlpm.addship,
        IF(
            K8="",
            K7-_xlpm.avgJ+_xlpm.addship,
            ""
        )
    )
),K8)</f>
        <v>#VALUE!</v>
      </c>
      <c r="T8" s="29" t="e">
        <f t="shared" si="2"/>
        <v>#VALUE!</v>
      </c>
      <c r="AC8" s="5">
        <f t="shared" si="3"/>
        <v>16085</v>
      </c>
      <c r="AD8" s="5">
        <f t="shared" si="4"/>
        <v>325936</v>
      </c>
      <c r="AE8" s="5">
        <f t="shared" si="5"/>
        <v>72571</v>
      </c>
      <c r="AF8" s="5">
        <f t="shared" si="6"/>
        <v>1832778</v>
      </c>
    </row>
    <row r="9" spans="2:32" s="12" customFormat="1" ht="18" customHeight="1" x14ac:dyDescent="0.25">
      <c r="B9" s="23" t="s">
        <v>14</v>
      </c>
      <c r="C9" s="36">
        <v>46023</v>
      </c>
      <c r="D9" s="24">
        <v>150000</v>
      </c>
      <c r="E9" s="24">
        <v>700000</v>
      </c>
      <c r="F9" s="29"/>
      <c r="G9" s="2"/>
      <c r="H9" s="25">
        <f t="shared" ref="H9:H72" si="8">H8+1</f>
        <v>46100</v>
      </c>
      <c r="I9" s="34"/>
      <c r="J9" s="34"/>
      <c r="K9" s="34"/>
      <c r="L9" s="34"/>
      <c r="M9" s="26"/>
      <c r="N9" s="27">
        <f t="shared" si="7"/>
        <v>0</v>
      </c>
      <c r="P9" s="35" t="str">
        <f t="shared" si="0"/>
        <v/>
      </c>
      <c r="Q9" s="35" t="e" cm="1">
        <f t="array" ref="Q9">IF(I9="",_xlfn.LET(
    _xlpm.vals,_xlfn._xlws.FILTER($J$7:J8,$J$7:J8&lt;&gt;"",""),
    _xlpm.avgJ,IF(COUNTA(_xlpm.vals)=0,0,AVERAGE(_xlfn.TAKE(_xlpm.vals,-MIN(7,ROWS(_xlpm.vals))))),
    _xlpm.addship,IF(P9="",0,P9),
    IF(
        AND(I8="",I9=""),
        Q8-_xlpm.avgJ+_xlpm.addship,
        IF(
            I9="",
            I8-_xlpm.avgJ+_xlpm.addship,
            ""
        )
    )
),I9)</f>
        <v>#VALUE!</v>
      </c>
      <c r="R9" s="35" t="str">
        <f t="shared" si="1"/>
        <v/>
      </c>
      <c r="S9" s="35" t="e" cm="1">
        <f t="array" ref="S9">IF(K9="",_xlfn.LET(
    _xlpm.vals,_xlfn._xlws.FILTER($N$7:N8,$N$7:N8&lt;&gt;"",""),
    _xlpm.avgJ,IF(COUNTA(_xlpm.vals)=0,0,AVERAGE(_xlfn.TAKE(_xlpm.vals,-MIN(7,ROWS(_xlpm.vals))))),
    _xlpm.addship,IF(R9="",0,R9),
    IF(
        AND(K8="",K9=""),
        S8-_xlpm.avgJ+_xlpm.addship,
        IF(
            K9="",
            K8-_xlpm.avgJ+_xlpm.addship,
            ""
        )
    )
),K9)</f>
        <v>#VALUE!</v>
      </c>
      <c r="T9" s="29" t="e">
        <f t="shared" si="2"/>
        <v>#VALUE!</v>
      </c>
      <c r="AC9" s="5">
        <f t="shared" si="3"/>
        <v>16085</v>
      </c>
      <c r="AD9" s="5">
        <f t="shared" si="4"/>
        <v>325936</v>
      </c>
      <c r="AE9" s="5">
        <f t="shared" si="5"/>
        <v>72571</v>
      </c>
      <c r="AF9" s="5">
        <f t="shared" si="6"/>
        <v>1832778</v>
      </c>
    </row>
    <row r="10" spans="2:32" s="12" customFormat="1" ht="18" customHeight="1" x14ac:dyDescent="0.25">
      <c r="B10" s="12" t="s">
        <v>17</v>
      </c>
      <c r="C10" s="37">
        <v>46136</v>
      </c>
      <c r="D10" s="38">
        <v>150000</v>
      </c>
      <c r="E10" s="38">
        <v>700000</v>
      </c>
      <c r="F10" s="29"/>
      <c r="G10" s="2"/>
      <c r="H10" s="25">
        <f t="shared" si="8"/>
        <v>46101</v>
      </c>
      <c r="I10" s="34"/>
      <c r="J10" s="34"/>
      <c r="K10" s="34"/>
      <c r="L10" s="34"/>
      <c r="M10" s="26"/>
      <c r="N10" s="27">
        <f t="shared" si="7"/>
        <v>0</v>
      </c>
      <c r="P10" s="35" t="str">
        <f t="shared" si="0"/>
        <v/>
      </c>
      <c r="Q10" s="35" t="e" cm="1">
        <f t="array" ref="Q10">IF(I10="",_xlfn.LET(
    _xlpm.vals,_xlfn._xlws.FILTER($J$7:J9,$J$7:J9&lt;&gt;"",""),
    _xlpm.avgJ,IF(COUNTA(_xlpm.vals)=0,0,AVERAGE(_xlfn.TAKE(_xlpm.vals,-MIN(7,ROWS(_xlpm.vals))))),
    _xlpm.addship,IF(P10="",0,P10),
    IF(
        AND(I9="",I10=""),
        Q9-_xlpm.avgJ+_xlpm.addship,
        IF(
            I10="",
            I9-_xlpm.avgJ+_xlpm.addship,
            ""
        )
    )
),I10)</f>
        <v>#VALUE!</v>
      </c>
      <c r="R10" s="35" t="str">
        <f t="shared" si="1"/>
        <v/>
      </c>
      <c r="S10" s="35" t="e" cm="1">
        <f t="array" ref="S10">IF(K10="",_xlfn.LET(
    _xlpm.vals,_xlfn._xlws.FILTER($N$7:N9,$N$7:N9&lt;&gt;"",""),
    _xlpm.avgJ,IF(COUNTA(_xlpm.vals)=0,0,AVERAGE(_xlfn.TAKE(_xlpm.vals,-MIN(7,ROWS(_xlpm.vals))))),
    _xlpm.addship,IF(R10="",0,R10),
    IF(
        AND(K9="",K10=""),
        S9-_xlpm.avgJ+_xlpm.addship,
        IF(
            K10="",
            K9-_xlpm.avgJ+_xlpm.addship,
            ""
        )
    )
),K10)</f>
        <v>#VALUE!</v>
      </c>
      <c r="T10" s="29" t="e">
        <f t="shared" si="2"/>
        <v>#VALUE!</v>
      </c>
      <c r="AC10" s="5">
        <f t="shared" si="3"/>
        <v>16085</v>
      </c>
      <c r="AD10" s="5">
        <f t="shared" si="4"/>
        <v>325936</v>
      </c>
      <c r="AE10" s="5">
        <f t="shared" si="5"/>
        <v>72571</v>
      </c>
      <c r="AF10" s="5">
        <f t="shared" si="6"/>
        <v>1832778</v>
      </c>
    </row>
    <row r="11" spans="2:32" s="12" customFormat="1" ht="18" customHeight="1" x14ac:dyDescent="0.25">
      <c r="B11" s="12" t="s">
        <v>18</v>
      </c>
      <c r="C11" s="39">
        <v>46155</v>
      </c>
      <c r="D11" s="40">
        <v>150000</v>
      </c>
      <c r="E11" s="40">
        <v>700000</v>
      </c>
      <c r="F11" s="29"/>
      <c r="G11" s="2"/>
      <c r="H11" s="25">
        <f t="shared" si="8"/>
        <v>46102</v>
      </c>
      <c r="I11" s="34"/>
      <c r="J11" s="34"/>
      <c r="K11" s="34"/>
      <c r="L11" s="34"/>
      <c r="M11" s="34"/>
      <c r="N11" s="41">
        <f t="shared" si="7"/>
        <v>0</v>
      </c>
      <c r="P11" s="35" t="str">
        <f t="shared" si="0"/>
        <v/>
      </c>
      <c r="Q11" s="35" t="e" cm="1">
        <f t="array" ref="Q11">IF(I11="",_xlfn.LET(
    _xlpm.vals,_xlfn._xlws.FILTER($J$7:J10,$J$7:J10&lt;&gt;"",""),
    _xlpm.avgJ,IF(COUNTA(_xlpm.vals)=0,0,AVERAGE(_xlfn.TAKE(_xlpm.vals,-MIN(7,ROWS(_xlpm.vals))))),
    _xlpm.addship,IF(P11="",0,P11),
    IF(
        AND(I10="",I11=""),
        Q10-_xlpm.avgJ+_xlpm.addship,
        IF(
            I11="",
            I10-_xlpm.avgJ+_xlpm.addship,
            ""
        )
    )
),I11)</f>
        <v>#VALUE!</v>
      </c>
      <c r="R11" s="35" t="str">
        <f t="shared" si="1"/>
        <v/>
      </c>
      <c r="S11" s="35" t="e" cm="1">
        <f t="array" ref="S11">IF(K11="",_xlfn.LET(
    _xlpm.vals,_xlfn._xlws.FILTER($N$7:N10,$N$7:N10&lt;&gt;"",""),
    _xlpm.avgJ,IF(COUNTA(_xlpm.vals)=0,0,AVERAGE(_xlfn.TAKE(_xlpm.vals,-MIN(7,ROWS(_xlpm.vals))))),
    _xlpm.addship,IF(R11="",0,R11),
    IF(
        AND(K10="",K11=""),
        S10-_xlpm.avgJ+_xlpm.addship,
        IF(
            K11="",
            K10-_xlpm.avgJ+_xlpm.addship,
            ""
        )
    )
),K11)</f>
        <v>#VALUE!</v>
      </c>
      <c r="T11" s="29" t="e">
        <f t="shared" si="2"/>
        <v>#VALUE!</v>
      </c>
      <c r="AC11" s="5">
        <f t="shared" si="3"/>
        <v>16085</v>
      </c>
      <c r="AD11" s="5">
        <f t="shared" si="4"/>
        <v>325936</v>
      </c>
      <c r="AE11" s="5">
        <f t="shared" si="5"/>
        <v>72571</v>
      </c>
      <c r="AF11" s="5">
        <f t="shared" si="6"/>
        <v>1832778</v>
      </c>
    </row>
    <row r="12" spans="2:32" s="12" customFormat="1" ht="18" customHeight="1" x14ac:dyDescent="0.25">
      <c r="B12" s="12" t="s">
        <v>19</v>
      </c>
      <c r="C12" s="39"/>
      <c r="D12" s="40"/>
      <c r="E12" s="40"/>
      <c r="G12" s="2"/>
      <c r="H12" s="25">
        <f t="shared" si="8"/>
        <v>46103</v>
      </c>
      <c r="I12" s="34"/>
      <c r="J12" s="34"/>
      <c r="K12" s="34"/>
      <c r="L12" s="34"/>
      <c r="M12" s="34"/>
      <c r="N12" s="41">
        <f t="shared" si="7"/>
        <v>0</v>
      </c>
      <c r="P12" s="35" t="str">
        <f t="shared" si="0"/>
        <v/>
      </c>
      <c r="Q12" s="35" t="e" cm="1">
        <f t="array" ref="Q12">IF(I12="",_xlfn.LET(
    _xlpm.vals,_xlfn._xlws.FILTER($J$7:J11,$J$7:J11&lt;&gt;"",""),
    _xlpm.avgJ,IF(COUNTA(_xlpm.vals)=0,0,AVERAGE(_xlfn.TAKE(_xlpm.vals,-MIN(7,ROWS(_xlpm.vals))))),
    _xlpm.addship,IF(P12="",0,P12),
    IF(
        AND(I11="",I12=""),
        Q11-_xlpm.avgJ+_xlpm.addship,
        IF(
            I12="",
            I11-_xlpm.avgJ+_xlpm.addship,
            ""
        )
    )
),I12)</f>
        <v>#VALUE!</v>
      </c>
      <c r="R12" s="35" t="str">
        <f t="shared" si="1"/>
        <v/>
      </c>
      <c r="S12" s="35" t="e" cm="1">
        <f t="array" ref="S12">IF(K12="",_xlfn.LET(
    _xlpm.vals,_xlfn._xlws.FILTER($N$7:N11,$N$7:N11&lt;&gt;"",""),
    _xlpm.avgJ,IF(COUNTA(_xlpm.vals)=0,0,AVERAGE(_xlfn.TAKE(_xlpm.vals,-MIN(7,ROWS(_xlpm.vals))))),
    _xlpm.addship,IF(R12="",0,R12),
    IF(
        AND(K11="",K12=""),
        S11-_xlpm.avgJ+_xlpm.addship,
        IF(
            K12="",
            K11-_xlpm.avgJ+_xlpm.addship,
            ""
        )
    )
),K12)</f>
        <v>#VALUE!</v>
      </c>
      <c r="T12" s="29" t="e">
        <f t="shared" si="2"/>
        <v>#VALUE!</v>
      </c>
      <c r="AC12" s="5">
        <f t="shared" si="3"/>
        <v>16085</v>
      </c>
      <c r="AD12" s="5">
        <f t="shared" si="4"/>
        <v>325936</v>
      </c>
      <c r="AE12" s="5">
        <f t="shared" si="5"/>
        <v>72571</v>
      </c>
      <c r="AF12" s="5">
        <f t="shared" si="6"/>
        <v>1832778</v>
      </c>
    </row>
    <row r="13" spans="2:32" s="12" customFormat="1" ht="18" customHeight="1" x14ac:dyDescent="0.25">
      <c r="B13" s="12" t="s">
        <v>20</v>
      </c>
      <c r="C13" s="39"/>
      <c r="D13" s="40"/>
      <c r="E13" s="40"/>
      <c r="F13" s="29"/>
      <c r="G13" s="2"/>
      <c r="H13" s="25">
        <f t="shared" si="8"/>
        <v>46104</v>
      </c>
      <c r="I13" s="34"/>
      <c r="J13" s="34"/>
      <c r="K13" s="34"/>
      <c r="L13" s="34"/>
      <c r="M13" s="34"/>
      <c r="N13" s="41">
        <f t="shared" si="7"/>
        <v>0</v>
      </c>
      <c r="P13" s="35" t="str">
        <f t="shared" si="0"/>
        <v/>
      </c>
      <c r="Q13" s="35" t="e" cm="1">
        <f t="array" ref="Q13">IF(I13="",_xlfn.LET(
    _xlpm.vals,_xlfn._xlws.FILTER($J$7:J12,$J$7:J12&lt;&gt;"",""),
    _xlpm.avgJ,IF(COUNTA(_xlpm.vals)=0,0,AVERAGE(_xlfn.TAKE(_xlpm.vals,-MIN(7,ROWS(_xlpm.vals))))),
    _xlpm.addship,IF(P13="",0,P13),
    IF(
        AND(I12="",I13=""),
        Q12-_xlpm.avgJ+_xlpm.addship,
        IF(
            I13="",
            I12-_xlpm.avgJ+_xlpm.addship,
            ""
        )
    )
),I13)</f>
        <v>#VALUE!</v>
      </c>
      <c r="R13" s="35" t="str">
        <f t="shared" si="1"/>
        <v/>
      </c>
      <c r="S13" s="35" t="e" cm="1">
        <f t="array" ref="S13">IF(K13="",_xlfn.LET(
    _xlpm.vals,_xlfn._xlws.FILTER($N$7:N12,$N$7:N12&lt;&gt;"",""),
    _xlpm.avgJ,IF(COUNTA(_xlpm.vals)=0,0,AVERAGE(_xlfn.TAKE(_xlpm.vals,-MIN(7,ROWS(_xlpm.vals))))),
    _xlpm.addship,IF(R13="",0,R13),
    IF(
        AND(K12="",K13=""),
        S12-_xlpm.avgJ+_xlpm.addship,
        IF(
            K13="",
            K12-_xlpm.avgJ+_xlpm.addship,
            ""
        )
    )
),K13)</f>
        <v>#VALUE!</v>
      </c>
      <c r="T13" s="29" t="e">
        <f t="shared" si="2"/>
        <v>#VALUE!</v>
      </c>
      <c r="AC13" s="5">
        <f t="shared" si="3"/>
        <v>16085</v>
      </c>
      <c r="AD13" s="5">
        <f t="shared" si="4"/>
        <v>325936</v>
      </c>
      <c r="AE13" s="5">
        <f t="shared" si="5"/>
        <v>72571</v>
      </c>
      <c r="AF13" s="5">
        <f t="shared" si="6"/>
        <v>1832778</v>
      </c>
    </row>
    <row r="14" spans="2:32" s="12" customFormat="1" ht="18" customHeight="1" x14ac:dyDescent="0.25">
      <c r="B14" s="12" t="s">
        <v>21</v>
      </c>
      <c r="C14" s="39"/>
      <c r="D14" s="40"/>
      <c r="E14" s="40"/>
      <c r="F14" s="29"/>
      <c r="G14" s="2"/>
      <c r="H14" s="25">
        <f t="shared" si="8"/>
        <v>46105</v>
      </c>
      <c r="I14" s="34"/>
      <c r="J14" s="34"/>
      <c r="K14" s="34"/>
      <c r="L14" s="34"/>
      <c r="M14" s="34"/>
      <c r="N14" s="41">
        <f t="shared" si="7"/>
        <v>0</v>
      </c>
      <c r="P14" s="35" t="str">
        <f t="shared" si="0"/>
        <v/>
      </c>
      <c r="Q14" s="35" t="e" cm="1">
        <f t="array" ref="Q14">IF(I14="",_xlfn.LET(
    _xlpm.vals,_xlfn._xlws.FILTER($J$7:J13,$J$7:J13&lt;&gt;"",""),
    _xlpm.avgJ,IF(COUNTA(_xlpm.vals)=0,0,AVERAGE(_xlfn.TAKE(_xlpm.vals,-MIN(7,ROWS(_xlpm.vals))))),
    _xlpm.addship,IF(P14="",0,P14),
    IF(
        AND(I13="",I14=""),
        Q13-_xlpm.avgJ+_xlpm.addship,
        IF(
            I14="",
            I13-_xlpm.avgJ+_xlpm.addship,
            ""
        )
    )
),I14)</f>
        <v>#VALUE!</v>
      </c>
      <c r="R14" s="35" t="str">
        <f t="shared" si="1"/>
        <v/>
      </c>
      <c r="S14" s="35" t="e" cm="1">
        <f t="array" ref="S14">IF(K14="",_xlfn.LET(
    _xlpm.vals,_xlfn._xlws.FILTER($N$7:N13,$N$7:N13&lt;&gt;"",""),
    _xlpm.avgJ,IF(COUNTA(_xlpm.vals)=0,0,AVERAGE(_xlfn.TAKE(_xlpm.vals,-MIN(7,ROWS(_xlpm.vals))))),
    _xlpm.addship,IF(R14="",0,R14),
    IF(
        AND(K13="",K14=""),
        S13-_xlpm.avgJ+_xlpm.addship,
        IF(
            K14="",
            K13-_xlpm.avgJ+_xlpm.addship,
            ""
        )
    )
),K14)</f>
        <v>#VALUE!</v>
      </c>
      <c r="T14" s="29" t="e">
        <f t="shared" si="2"/>
        <v>#VALUE!</v>
      </c>
      <c r="AC14" s="5">
        <f t="shared" si="3"/>
        <v>16085</v>
      </c>
      <c r="AD14" s="5">
        <f t="shared" si="4"/>
        <v>325936</v>
      </c>
      <c r="AE14" s="5">
        <f t="shared" si="5"/>
        <v>72571</v>
      </c>
      <c r="AF14" s="5">
        <f t="shared" si="6"/>
        <v>1832778</v>
      </c>
    </row>
    <row r="15" spans="2:32" s="12" customFormat="1" ht="18" customHeight="1" x14ac:dyDescent="0.25">
      <c r="F15" s="29"/>
      <c r="G15" s="2"/>
      <c r="H15" s="25">
        <f t="shared" si="8"/>
        <v>46106</v>
      </c>
      <c r="I15" s="34"/>
      <c r="J15" s="34"/>
      <c r="K15" s="34"/>
      <c r="L15" s="34"/>
      <c r="M15" s="34"/>
      <c r="N15" s="41">
        <f t="shared" si="7"/>
        <v>0</v>
      </c>
      <c r="P15" s="35" t="str">
        <f t="shared" si="0"/>
        <v/>
      </c>
      <c r="Q15" s="35" t="e" cm="1">
        <f t="array" ref="Q15">IF(I15="",_xlfn.LET(
    _xlpm.vals,_xlfn._xlws.FILTER($J$7:J14,$J$7:J14&lt;&gt;"",""),
    _xlpm.avgJ,IF(COUNTA(_xlpm.vals)=0,0,AVERAGE(_xlfn.TAKE(_xlpm.vals,-MIN(7,ROWS(_xlpm.vals))))),
    _xlpm.addship,IF(P15="",0,P15),
    IF(
        AND(I14="",I15=""),
        Q14-_xlpm.avgJ+_xlpm.addship,
        IF(
            I15="",
            I14-_xlpm.avgJ+_xlpm.addship,
            ""
        )
    )
),I15)</f>
        <v>#VALUE!</v>
      </c>
      <c r="R15" s="35" t="str">
        <f t="shared" si="1"/>
        <v/>
      </c>
      <c r="S15" s="35" t="e" cm="1">
        <f t="array" ref="S15">IF(K15="",_xlfn.LET(
    _xlpm.vals,_xlfn._xlws.FILTER($N$7:N14,$N$7:N14&lt;&gt;"",""),
    _xlpm.avgJ,IF(COUNTA(_xlpm.vals)=0,0,AVERAGE(_xlfn.TAKE(_xlpm.vals,-MIN(7,ROWS(_xlpm.vals))))),
    _xlpm.addship,IF(R15="",0,R15),
    IF(
        AND(K14="",K15=""),
        S14-_xlpm.avgJ+_xlpm.addship,
        IF(
            K15="",
            K14-_xlpm.avgJ+_xlpm.addship,
            ""
        )
    )
),K15)</f>
        <v>#VALUE!</v>
      </c>
      <c r="T15" s="29" t="e">
        <f t="shared" si="2"/>
        <v>#VALUE!</v>
      </c>
      <c r="AC15" s="5">
        <f t="shared" si="3"/>
        <v>16085</v>
      </c>
      <c r="AD15" s="5">
        <f t="shared" si="4"/>
        <v>325936</v>
      </c>
      <c r="AE15" s="5">
        <f t="shared" si="5"/>
        <v>72571</v>
      </c>
      <c r="AF15" s="5">
        <f t="shared" si="6"/>
        <v>1832778</v>
      </c>
    </row>
    <row r="16" spans="2:32" s="12" customFormat="1" ht="18" customHeight="1" x14ac:dyDescent="0.25">
      <c r="B16" s="42"/>
      <c r="C16" s="43"/>
      <c r="D16" s="44"/>
      <c r="E16" s="44"/>
      <c r="F16" s="45"/>
      <c r="G16" s="2"/>
      <c r="H16" s="25">
        <f t="shared" si="8"/>
        <v>46107</v>
      </c>
      <c r="I16" s="34"/>
      <c r="J16" s="34"/>
      <c r="K16" s="34"/>
      <c r="L16" s="34"/>
      <c r="M16" s="34"/>
      <c r="N16" s="41">
        <f t="shared" si="7"/>
        <v>0</v>
      </c>
      <c r="P16" s="35" t="str">
        <f t="shared" si="0"/>
        <v/>
      </c>
      <c r="Q16" s="35" t="e" cm="1">
        <f t="array" ref="Q16">IF(I16="",_xlfn.LET(
    _xlpm.vals,_xlfn._xlws.FILTER($J$7:J15,$J$7:J15&lt;&gt;"",""),
    _xlpm.avgJ,IF(COUNTA(_xlpm.vals)=0,0,AVERAGE(_xlfn.TAKE(_xlpm.vals,-MIN(7,ROWS(_xlpm.vals))))),
    _xlpm.addship,IF(P16="",0,P16),
    IF(
        AND(I15="",I16=""),
        Q15-_xlpm.avgJ+_xlpm.addship,
        IF(
            I16="",
            I15-_xlpm.avgJ+_xlpm.addship,
            ""
        )
    )
),I16)</f>
        <v>#VALUE!</v>
      </c>
      <c r="R16" s="35" t="str">
        <f t="shared" si="1"/>
        <v/>
      </c>
      <c r="S16" s="35" t="e" cm="1">
        <f t="array" ref="S16">IF(K16="",_xlfn.LET(
    _xlpm.vals,_xlfn._xlws.FILTER($N$7:N15,$N$7:N15&lt;&gt;"",""),
    _xlpm.avgJ,IF(COUNTA(_xlpm.vals)=0,0,AVERAGE(_xlfn.TAKE(_xlpm.vals,-MIN(7,ROWS(_xlpm.vals))))),
    _xlpm.addship,IF(R16="",0,R16),
    IF(
        AND(K15="",K16=""),
        S15-_xlpm.avgJ+_xlpm.addship,
        IF(
            K16="",
            K15-_xlpm.avgJ+_xlpm.addship,
            ""
        )
    )
),K16)</f>
        <v>#VALUE!</v>
      </c>
      <c r="T16" s="29" t="e">
        <f t="shared" si="2"/>
        <v>#VALUE!</v>
      </c>
      <c r="AC16" s="5">
        <f t="shared" si="3"/>
        <v>16085</v>
      </c>
      <c r="AD16" s="5">
        <f t="shared" si="4"/>
        <v>325936</v>
      </c>
      <c r="AE16" s="5">
        <f t="shared" si="5"/>
        <v>72571</v>
      </c>
      <c r="AF16" s="5">
        <f t="shared" si="6"/>
        <v>1832778</v>
      </c>
    </row>
    <row r="17" spans="2:32" s="12" customFormat="1" ht="18" customHeight="1" x14ac:dyDescent="0.25">
      <c r="B17" s="46"/>
      <c r="C17" s="47"/>
      <c r="D17" s="48"/>
      <c r="E17" s="49" t="str" cm="1">
        <f t="array" ref="E17">_xlfn.LET(
    _xlpm.pDate,IFERROR(INDEX(H7:H503,MATCH(TRUE,ISNUMBER(SEARCH("Petrol stock out",T7:T503)),0)),""),
    _xlpm.dDate,IFERROR(INDEX(H7:H503,MATCH(TRUE,ISNUMBER(SEARCH("Diesel stock out",T7:T503)),0)),""),
    _xlpm.results,_xlfn.VSTACK(
        IF(_xlpm.pDate&lt;&gt;"","First petrol stock out: "&amp;TEXT(_xlpm.pDate,"d-mmm-yy")&amp;", cargo needed before this date",""),
        IF(_xlpm.dDate&lt;&gt;"","First diesel stock out: "&amp;TEXT(_xlpm.dDate,"d-mmm-yy")&amp;", cargo needed before this date","")
    ),
    _xlpm.filtered,_xlfn._xlws.FILTER(_xlpm.results,_xlpm.results&lt;&gt;""),
    IFERROR(_xlpm.filtered,"No stock outs forecast")
)</f>
        <v>No stock outs forecast</v>
      </c>
      <c r="F17" s="50"/>
      <c r="G17" s="2"/>
      <c r="H17" s="25">
        <f t="shared" si="8"/>
        <v>46108</v>
      </c>
      <c r="I17" s="34"/>
      <c r="J17" s="34"/>
      <c r="K17" s="34"/>
      <c r="L17" s="34"/>
      <c r="M17" s="34"/>
      <c r="N17" s="41">
        <f t="shared" si="7"/>
        <v>0</v>
      </c>
      <c r="P17" s="35" t="str">
        <f t="shared" si="0"/>
        <v/>
      </c>
      <c r="Q17" s="35" t="e" cm="1">
        <f t="array" ref="Q17">IF(I17="",_xlfn.LET(
    _xlpm.vals,_xlfn._xlws.FILTER($J$7:J16,$J$7:J16&lt;&gt;"",""),
    _xlpm.avgJ,IF(COUNTA(_xlpm.vals)=0,0,AVERAGE(_xlfn.TAKE(_xlpm.vals,-MIN(7,ROWS(_xlpm.vals))))),
    _xlpm.addship,IF(P17="",0,P17),
    IF(
        AND(I16="",I17=""),
        Q16-_xlpm.avgJ+_xlpm.addship,
        IF(
            I17="",
            I16-_xlpm.avgJ+_xlpm.addship,
            ""
        )
    )
),I17)</f>
        <v>#VALUE!</v>
      </c>
      <c r="R17" s="35" t="str">
        <f t="shared" si="1"/>
        <v/>
      </c>
      <c r="S17" s="35" t="e" cm="1">
        <f t="array" ref="S17">IF(K17="",_xlfn.LET(
    _xlpm.vals,_xlfn._xlws.FILTER($N$7:N16,$N$7:N16&lt;&gt;"",""),
    _xlpm.avgJ,IF(COUNTA(_xlpm.vals)=0,0,AVERAGE(_xlfn.TAKE(_xlpm.vals,-MIN(7,ROWS(_xlpm.vals))))),
    _xlpm.addship,IF(R17="",0,R17),
    IF(
        AND(K16="",K17=""),
        S16-_xlpm.avgJ+_xlpm.addship,
        IF(
            K17="",
            K16-_xlpm.avgJ+_xlpm.addship,
            ""
        )
    )
),K17)</f>
        <v>#VALUE!</v>
      </c>
      <c r="T17" s="29" t="e">
        <f t="shared" si="2"/>
        <v>#VALUE!</v>
      </c>
      <c r="AC17" s="5">
        <f t="shared" si="3"/>
        <v>16085</v>
      </c>
      <c r="AD17" s="5">
        <f t="shared" si="4"/>
        <v>325936</v>
      </c>
      <c r="AE17" s="5">
        <f t="shared" si="5"/>
        <v>72571</v>
      </c>
      <c r="AF17" s="5">
        <f t="shared" si="6"/>
        <v>1832778</v>
      </c>
    </row>
    <row r="18" spans="2:32" s="12" customFormat="1" ht="18" customHeight="1" x14ac:dyDescent="0.25">
      <c r="B18" s="51"/>
      <c r="C18" s="48"/>
      <c r="D18" s="48"/>
      <c r="E18" s="49"/>
      <c r="F18" s="50"/>
      <c r="G18" s="2"/>
      <c r="H18" s="25">
        <f t="shared" si="8"/>
        <v>46109</v>
      </c>
      <c r="I18" s="34"/>
      <c r="J18" s="34"/>
      <c r="K18" s="34"/>
      <c r="L18" s="34"/>
      <c r="M18" s="34"/>
      <c r="N18" s="41">
        <f t="shared" si="7"/>
        <v>0</v>
      </c>
      <c r="P18" s="35" t="str">
        <f t="shared" si="0"/>
        <v/>
      </c>
      <c r="Q18" s="35" t="e" cm="1">
        <f t="array" ref="Q18">IF(I18="",_xlfn.LET(
    _xlpm.vals,_xlfn._xlws.FILTER($J$7:J17,$J$7:J17&lt;&gt;"",""),
    _xlpm.avgJ,IF(COUNTA(_xlpm.vals)=0,0,AVERAGE(_xlfn.TAKE(_xlpm.vals,-MIN(7,ROWS(_xlpm.vals))))),
    _xlpm.addship,IF(P18="",0,P18),
    IF(
        AND(I17="",I18=""),
        Q17-_xlpm.avgJ+_xlpm.addship,
        IF(
            I18="",
            I17-_xlpm.avgJ+_xlpm.addship,
            ""
        )
    )
),I18)</f>
        <v>#VALUE!</v>
      </c>
      <c r="R18" s="35" t="str">
        <f t="shared" si="1"/>
        <v/>
      </c>
      <c r="S18" s="35" t="e" cm="1">
        <f t="array" ref="S18">IF(K18="",_xlfn.LET(
    _xlpm.vals,_xlfn._xlws.FILTER($N$7:N17,$N$7:N17&lt;&gt;"",""),
    _xlpm.avgJ,IF(COUNTA(_xlpm.vals)=0,0,AVERAGE(_xlfn.TAKE(_xlpm.vals,-MIN(7,ROWS(_xlpm.vals))))),
    _xlpm.addship,IF(R18="",0,R18),
    IF(
        AND(K17="",K18=""),
        S17-_xlpm.avgJ+_xlpm.addship,
        IF(
            K18="",
            K17-_xlpm.avgJ+_xlpm.addship,
            ""
        )
    )
),K18)</f>
        <v>#VALUE!</v>
      </c>
      <c r="T18" s="29" t="e">
        <f t="shared" si="2"/>
        <v>#VALUE!</v>
      </c>
      <c r="AC18" s="5">
        <f t="shared" si="3"/>
        <v>16085</v>
      </c>
      <c r="AD18" s="5">
        <f t="shared" si="4"/>
        <v>325936</v>
      </c>
      <c r="AE18" s="5">
        <f t="shared" si="5"/>
        <v>72571</v>
      </c>
      <c r="AF18" s="5">
        <f t="shared" si="6"/>
        <v>1832778</v>
      </c>
    </row>
    <row r="19" spans="2:32" s="12" customFormat="1" ht="18" customHeight="1" x14ac:dyDescent="0.25">
      <c r="B19" s="52"/>
      <c r="C19" s="53"/>
      <c r="D19" s="53"/>
      <c r="E19" s="53"/>
      <c r="F19" s="54"/>
      <c r="G19" s="2"/>
      <c r="H19" s="25">
        <f t="shared" si="8"/>
        <v>46110</v>
      </c>
      <c r="I19" s="34"/>
      <c r="J19" s="34"/>
      <c r="K19" s="34"/>
      <c r="L19" s="34"/>
      <c r="M19" s="34"/>
      <c r="N19" s="41">
        <f t="shared" si="7"/>
        <v>0</v>
      </c>
      <c r="P19" s="35" t="str">
        <f t="shared" si="0"/>
        <v/>
      </c>
      <c r="Q19" s="35" t="e" cm="1">
        <f t="array" ref="Q19">IF(I19="",_xlfn.LET(
    _xlpm.vals,_xlfn._xlws.FILTER($J$7:J18,$J$7:J18&lt;&gt;"",""),
    _xlpm.avgJ,IF(COUNTA(_xlpm.vals)=0,0,AVERAGE(_xlfn.TAKE(_xlpm.vals,-MIN(7,ROWS(_xlpm.vals))))),
    _xlpm.addship,IF(P19="",0,P19),
    IF(
        AND(I18="",I19=""),
        Q18-_xlpm.avgJ+_xlpm.addship,
        IF(
            I19="",
            I18-_xlpm.avgJ+_xlpm.addship,
            ""
        )
    )
),I19)</f>
        <v>#VALUE!</v>
      </c>
      <c r="R19" s="35" t="str">
        <f t="shared" si="1"/>
        <v/>
      </c>
      <c r="S19" s="35" t="e" cm="1">
        <f t="array" ref="S19">IF(K19="",_xlfn.LET(
    _xlpm.vals,_xlfn._xlws.FILTER($N$7:N18,$N$7:N18&lt;&gt;"",""),
    _xlpm.avgJ,IF(COUNTA(_xlpm.vals)=0,0,AVERAGE(_xlfn.TAKE(_xlpm.vals,-MIN(7,ROWS(_xlpm.vals))))),
    _xlpm.addship,IF(R19="",0,R19),
    IF(
        AND(K18="",K19=""),
        S18-_xlpm.avgJ+_xlpm.addship,
        IF(
            K19="",
            K18-_xlpm.avgJ+_xlpm.addship,
            ""
        )
    )
),K19)</f>
        <v>#VALUE!</v>
      </c>
      <c r="T19" s="29" t="e">
        <f t="shared" si="2"/>
        <v>#VALUE!</v>
      </c>
      <c r="AC19" s="5">
        <f t="shared" si="3"/>
        <v>16085</v>
      </c>
      <c r="AD19" s="5">
        <f t="shared" si="4"/>
        <v>325936</v>
      </c>
      <c r="AE19" s="5">
        <f t="shared" si="5"/>
        <v>72571</v>
      </c>
      <c r="AF19" s="5">
        <f t="shared" si="6"/>
        <v>1832778</v>
      </c>
    </row>
    <row r="20" spans="2:32" s="12" customFormat="1" ht="18" customHeight="1" x14ac:dyDescent="0.25">
      <c r="B20" s="29"/>
      <c r="F20" s="29"/>
      <c r="G20" s="2"/>
      <c r="H20" s="25">
        <f t="shared" si="8"/>
        <v>46111</v>
      </c>
      <c r="I20" s="34"/>
      <c r="J20" s="34"/>
      <c r="K20" s="34"/>
      <c r="L20" s="34"/>
      <c r="M20" s="34"/>
      <c r="N20" s="41">
        <f t="shared" si="7"/>
        <v>0</v>
      </c>
      <c r="P20" s="35" t="str">
        <f t="shared" si="0"/>
        <v/>
      </c>
      <c r="Q20" s="35" t="e" cm="1">
        <f t="array" ref="Q20">IF(I20="",_xlfn.LET(
    _xlpm.vals,_xlfn._xlws.FILTER($J$7:J19,$J$7:J19&lt;&gt;"",""),
    _xlpm.avgJ,IF(COUNTA(_xlpm.vals)=0,0,AVERAGE(_xlfn.TAKE(_xlpm.vals,-MIN(7,ROWS(_xlpm.vals))))),
    _xlpm.addship,IF(P20="",0,P20),
    IF(
        AND(I19="",I20=""),
        Q19-_xlpm.avgJ+_xlpm.addship,
        IF(
            I20="",
            I19-_xlpm.avgJ+_xlpm.addship,
            ""
        )
    )
),I20)</f>
        <v>#VALUE!</v>
      </c>
      <c r="R20" s="35" t="str">
        <f t="shared" si="1"/>
        <v/>
      </c>
      <c r="S20" s="35" t="e" cm="1">
        <f t="array" ref="S20">IF(K20="",_xlfn.LET(
    _xlpm.vals,_xlfn._xlws.FILTER($N$7:N19,$N$7:N19&lt;&gt;"",""),
    _xlpm.avgJ,IF(COUNTA(_xlpm.vals)=0,0,AVERAGE(_xlfn.TAKE(_xlpm.vals,-MIN(7,ROWS(_xlpm.vals))))),
    _xlpm.addship,IF(R20="",0,R20),
    IF(
        AND(K19="",K20=""),
        S19-_xlpm.avgJ+_xlpm.addship,
        IF(
            K20="",
            K19-_xlpm.avgJ+_xlpm.addship,
            ""
        )
    )
),K20)</f>
        <v>#VALUE!</v>
      </c>
      <c r="T20" s="29" t="e">
        <f t="shared" si="2"/>
        <v>#VALUE!</v>
      </c>
      <c r="AC20" s="5">
        <f t="shared" si="3"/>
        <v>16085</v>
      </c>
      <c r="AD20" s="5">
        <f t="shared" si="4"/>
        <v>325936</v>
      </c>
      <c r="AE20" s="5">
        <f t="shared" si="5"/>
        <v>72571</v>
      </c>
      <c r="AF20" s="5">
        <f t="shared" si="6"/>
        <v>1832778</v>
      </c>
    </row>
    <row r="21" spans="2:32" s="12" customFormat="1" ht="18" customHeight="1" x14ac:dyDescent="0.25">
      <c r="B21" s="30" t="s">
        <v>15</v>
      </c>
      <c r="D21" s="55" t="s">
        <v>22</v>
      </c>
      <c r="E21" s="11"/>
      <c r="F21" s="29"/>
      <c r="G21" s="2"/>
      <c r="H21" s="25">
        <f t="shared" si="8"/>
        <v>46112</v>
      </c>
      <c r="I21" s="34">
        <v>703167</v>
      </c>
      <c r="J21" s="34">
        <v>6000</v>
      </c>
      <c r="K21" s="34">
        <v>1901677</v>
      </c>
      <c r="L21" s="34">
        <v>20000</v>
      </c>
      <c r="M21" s="34">
        <f>84910-20000</f>
        <v>64910</v>
      </c>
      <c r="N21" s="41">
        <f t="shared" si="7"/>
        <v>84910</v>
      </c>
      <c r="P21" s="35" t="str">
        <f t="shared" si="0"/>
        <v/>
      </c>
      <c r="Q21" s="35" cm="1">
        <f t="array" ref="Q21">IF(I21="",_xlfn.LET(
    _xlpm.vals,_xlfn._xlws.FILTER($J$7:J20,$J$7:J20&lt;&gt;"",""),
    _xlpm.avgJ,IF(COUNTA(_xlpm.vals)=0,0,AVERAGE(_xlfn.TAKE(_xlpm.vals,-MIN(7,ROWS(_xlpm.vals))))),
    _xlpm.addship,IF(P21="",0,P21),
    IF(
        AND(I20="",I21=""),
        Q20-_xlpm.avgJ+_xlpm.addship,
        IF(
            I21="",
            I20-_xlpm.avgJ+_xlpm.addship,
            ""
        )
    )
),I21)</f>
        <v>703167</v>
      </c>
      <c r="R21" s="35" t="str">
        <f t="shared" si="1"/>
        <v/>
      </c>
      <c r="S21" s="35" cm="1">
        <f t="array" ref="S21">IF(K21="",_xlfn.LET(
    _xlpm.vals,_xlfn._xlws.FILTER($N$7:N20,$N$7:N20&lt;&gt;"",""),
    _xlpm.avgJ,IF(COUNTA(_xlpm.vals)=0,0,AVERAGE(_xlfn.TAKE(_xlpm.vals,-MIN(7,ROWS(_xlpm.vals))))),
    _xlpm.addship,IF(R21="",0,R21),
    IF(
        AND(K20="",K21=""),
        S20-_xlpm.avgJ+_xlpm.addship,
        IF(
            K21="",
            K20-_xlpm.avgJ+_xlpm.addship,
            ""
        )
    )
),K21)</f>
        <v>1901677</v>
      </c>
      <c r="T21" s="29" t="str">
        <f t="shared" si="2"/>
        <v>Petrol over capacity | Diesel over capacity</v>
      </c>
      <c r="AC21" s="5">
        <f t="shared" si="3"/>
        <v>16085</v>
      </c>
      <c r="AD21" s="5">
        <f t="shared" si="4"/>
        <v>325936</v>
      </c>
      <c r="AE21" s="5">
        <f t="shared" si="5"/>
        <v>72571</v>
      </c>
      <c r="AF21" s="5">
        <f t="shared" si="6"/>
        <v>1832778</v>
      </c>
    </row>
    <row r="22" spans="2:32" s="12" customFormat="1" ht="18" customHeight="1" x14ac:dyDescent="0.25">
      <c r="B22" s="56" t="s">
        <v>23</v>
      </c>
      <c r="C22" s="57"/>
      <c r="D22" s="58" t="s">
        <v>4</v>
      </c>
      <c r="E22" s="59" t="s">
        <v>5</v>
      </c>
      <c r="F22" s="29"/>
      <c r="G22" s="2"/>
      <c r="H22" s="25">
        <f t="shared" si="8"/>
        <v>46113</v>
      </c>
      <c r="I22" s="34">
        <v>681592</v>
      </c>
      <c r="J22" s="34">
        <v>21400</v>
      </c>
      <c r="K22" s="34">
        <v>1780336</v>
      </c>
      <c r="L22" s="34">
        <v>68000</v>
      </c>
      <c r="M22" s="34">
        <f>121010-68000</f>
        <v>53010</v>
      </c>
      <c r="N22" s="41">
        <f t="shared" si="7"/>
        <v>121010</v>
      </c>
      <c r="P22" s="35" t="str">
        <f t="shared" si="0"/>
        <v/>
      </c>
      <c r="Q22" s="35" cm="1">
        <f t="array" ref="Q22">IF(I22="",_xlfn.LET(
    _xlpm.vals,_xlfn._xlws.FILTER($J$7:J21,$J$7:J21&lt;&gt;"",""),
    _xlpm.avgJ,IF(COUNTA(_xlpm.vals)=0,0,AVERAGE(_xlfn.TAKE(_xlpm.vals,-MIN(7,ROWS(_xlpm.vals))))),
    _xlpm.addship,IF(P22="",0,P22),
    IF(
        AND(I21="",I22=""),
        Q21-_xlpm.avgJ+_xlpm.addship,
        IF(
            I22="",
            I21-_xlpm.avgJ+_xlpm.addship,
            ""
        )
    )
),I22)</f>
        <v>681592</v>
      </c>
      <c r="R22" s="35" t="str">
        <f t="shared" si="1"/>
        <v/>
      </c>
      <c r="S22" s="35" cm="1">
        <f t="array" ref="S22">IF(K22="",_xlfn.LET(
    _xlpm.vals,_xlfn._xlws.FILTER($N$7:N21,$N$7:N21&lt;&gt;"",""),
    _xlpm.avgJ,IF(COUNTA(_xlpm.vals)=0,0,AVERAGE(_xlfn.TAKE(_xlpm.vals,-MIN(7,ROWS(_xlpm.vals))))),
    _xlpm.addship,IF(R22="",0,R22),
    IF(
        AND(K21="",K22=""),
        S21-_xlpm.avgJ+_xlpm.addship,
        IF(
            K22="",
            K21-_xlpm.avgJ+_xlpm.addship,
            ""
        )
    )
),K22)</f>
        <v>1780336</v>
      </c>
      <c r="T22" s="29" t="str">
        <f t="shared" si="2"/>
        <v>Petrol over capacity</v>
      </c>
      <c r="AC22" s="5">
        <f t="shared" si="3"/>
        <v>16085</v>
      </c>
      <c r="AD22" s="5">
        <f t="shared" si="4"/>
        <v>325936</v>
      </c>
      <c r="AE22" s="5">
        <f t="shared" si="5"/>
        <v>72571</v>
      </c>
      <c r="AF22" s="5">
        <f t="shared" si="6"/>
        <v>1832778</v>
      </c>
    </row>
    <row r="23" spans="2:32" s="12" customFormat="1" ht="18" customHeight="1" x14ac:dyDescent="0.25">
      <c r="B23" s="12" t="s">
        <v>24</v>
      </c>
      <c r="C23" s="57" t="s">
        <v>25</v>
      </c>
      <c r="D23" s="60">
        <v>325936</v>
      </c>
      <c r="E23" s="60">
        <v>1832778</v>
      </c>
      <c r="F23" s="29"/>
      <c r="G23" s="2"/>
      <c r="H23" s="25">
        <f t="shared" si="8"/>
        <v>46114</v>
      </c>
      <c r="I23" s="61">
        <v>669529</v>
      </c>
      <c r="J23" s="61">
        <v>12000</v>
      </c>
      <c r="K23" s="61">
        <v>1637854</v>
      </c>
      <c r="L23" s="61">
        <v>80000</v>
      </c>
      <c r="M23" s="61">
        <f>142000-80000</f>
        <v>62000</v>
      </c>
      <c r="N23" s="41">
        <f t="shared" si="7"/>
        <v>142000</v>
      </c>
      <c r="O23" s="56"/>
      <c r="P23" s="35" t="str">
        <f t="shared" si="0"/>
        <v/>
      </c>
      <c r="Q23" s="35" cm="1">
        <f t="array" ref="Q23">IF(I23="",_xlfn.LET(
    _xlpm.vals,_xlfn._xlws.FILTER($J$7:J22,$J$7:J22&lt;&gt;"",""),
    _xlpm.avgJ,IF(COUNTA(_xlpm.vals)=0,0,AVERAGE(_xlfn.TAKE(_xlpm.vals,-MIN(7,ROWS(_xlpm.vals))))),
    _xlpm.addship,IF(P23="",0,P23),
    IF(
        AND(I22="",I23=""),
        Q22-_xlpm.avgJ+_xlpm.addship,
        IF(
            I23="",
            I22-_xlpm.avgJ+_xlpm.addship,
            ""
        )
    )
),I23)</f>
        <v>669529</v>
      </c>
      <c r="R23" s="35" t="str">
        <f t="shared" si="1"/>
        <v/>
      </c>
      <c r="S23" s="35" cm="1">
        <f t="array" ref="S23">IF(K23="",_xlfn.LET(
    _xlpm.vals,_xlfn._xlws.FILTER($N$7:N22,$N$7:N22&lt;&gt;"",""),
    _xlpm.avgJ,IF(COUNTA(_xlpm.vals)=0,0,AVERAGE(_xlfn.TAKE(_xlpm.vals,-MIN(7,ROWS(_xlpm.vals))))),
    _xlpm.addship,IF(R23="",0,R23),
    IF(
        AND(K22="",K23=""),
        S22-_xlpm.avgJ+_xlpm.addship,
        IF(
            K23="",
            K22-_xlpm.avgJ+_xlpm.addship,
            ""
        )
    )
),K23)</f>
        <v>1637854</v>
      </c>
      <c r="T23" s="29" t="str">
        <f t="shared" si="2"/>
        <v>Petrol over capacity</v>
      </c>
      <c r="U23" s="56"/>
      <c r="V23" s="56"/>
      <c r="AC23" s="5">
        <f t="shared" si="3"/>
        <v>16085</v>
      </c>
      <c r="AD23" s="5">
        <f t="shared" si="4"/>
        <v>325936</v>
      </c>
      <c r="AE23" s="5">
        <f t="shared" si="5"/>
        <v>72571</v>
      </c>
      <c r="AF23" s="5">
        <f t="shared" si="6"/>
        <v>1832778</v>
      </c>
    </row>
    <row r="24" spans="2:32" s="12" customFormat="1" ht="18" customHeight="1" x14ac:dyDescent="0.25">
      <c r="B24" s="12" t="s">
        <v>26</v>
      </c>
      <c r="C24" s="57" t="s">
        <v>25</v>
      </c>
      <c r="D24" s="60">
        <v>16085</v>
      </c>
      <c r="E24" s="60">
        <f>46571+26000</f>
        <v>72571</v>
      </c>
      <c r="F24" s="56"/>
      <c r="G24" s="2"/>
      <c r="H24" s="25">
        <f t="shared" si="8"/>
        <v>46115</v>
      </c>
      <c r="I24" s="34">
        <v>669529</v>
      </c>
      <c r="J24" s="34">
        <v>0</v>
      </c>
      <c r="K24" s="34">
        <v>1637854</v>
      </c>
      <c r="L24" s="34">
        <v>0</v>
      </c>
      <c r="M24" s="34">
        <v>0</v>
      </c>
      <c r="N24" s="41">
        <f t="shared" si="7"/>
        <v>0</v>
      </c>
      <c r="P24" s="35" t="str">
        <f t="shared" si="0"/>
        <v/>
      </c>
      <c r="Q24" s="35" cm="1">
        <f t="array" ref="Q24">IF(I24="",_xlfn.LET(
    _xlpm.vals,_xlfn._xlws.FILTER($J$7:J23,$J$7:J23&lt;&gt;"",""),
    _xlpm.avgJ,IF(COUNTA(_xlpm.vals)=0,0,AVERAGE(_xlfn.TAKE(_xlpm.vals,-MIN(7,ROWS(_xlpm.vals))))),
    _xlpm.addship,IF(P24="",0,P24),
    IF(
        AND(I23="",I24=""),
        Q23-_xlpm.avgJ+_xlpm.addship,
        IF(
            I24="",
            I23-_xlpm.avgJ+_xlpm.addship,
            ""
        )
    )
),I24)</f>
        <v>669529</v>
      </c>
      <c r="R24" s="35" t="str">
        <f t="shared" si="1"/>
        <v/>
      </c>
      <c r="S24" s="35" cm="1">
        <f t="array" ref="S24">IF(K24="",_xlfn.LET(
    _xlpm.vals,_xlfn._xlws.FILTER($N$7:N23,$N$7:N23&lt;&gt;"",""),
    _xlpm.avgJ,IF(COUNTA(_xlpm.vals)=0,0,AVERAGE(_xlfn.TAKE(_xlpm.vals,-MIN(7,ROWS(_xlpm.vals))))),
    _xlpm.addship,IF(R24="",0,R24),
    IF(
        AND(K23="",K24=""),
        S23-_xlpm.avgJ+_xlpm.addship,
        IF(
            K24="",
            K23-_xlpm.avgJ+_xlpm.addship,
            ""
        )
    )
),K24)</f>
        <v>1637854</v>
      </c>
      <c r="T24" s="29" t="str">
        <f t="shared" si="2"/>
        <v>Petrol over capacity</v>
      </c>
      <c r="AC24" s="5">
        <f t="shared" si="3"/>
        <v>16085</v>
      </c>
      <c r="AD24" s="5">
        <f t="shared" si="4"/>
        <v>325936</v>
      </c>
      <c r="AE24" s="5">
        <f t="shared" si="5"/>
        <v>72571</v>
      </c>
      <c r="AF24" s="5">
        <f t="shared" si="6"/>
        <v>1832778</v>
      </c>
    </row>
    <row r="25" spans="2:32" s="12" customFormat="1" ht="21.75" x14ac:dyDescent="0.25">
      <c r="B25" s="12" t="s">
        <v>27</v>
      </c>
      <c r="C25" s="57" t="s">
        <v>25</v>
      </c>
      <c r="D25" s="28">
        <f>D23-D24</f>
        <v>309851</v>
      </c>
      <c r="E25" s="28">
        <f>E23-E24</f>
        <v>1760207</v>
      </c>
      <c r="F25" s="29"/>
      <c r="G25" s="2"/>
      <c r="H25" s="25">
        <f t="shared" si="8"/>
        <v>46116</v>
      </c>
      <c r="I25" s="34">
        <v>651732</v>
      </c>
      <c r="J25" s="34">
        <v>18000</v>
      </c>
      <c r="K25" s="34">
        <v>1594043</v>
      </c>
      <c r="L25" s="34">
        <v>40000</v>
      </c>
      <c r="M25" s="34">
        <v>4000</v>
      </c>
      <c r="N25" s="41">
        <f t="shared" si="7"/>
        <v>44000</v>
      </c>
      <c r="P25" s="35" t="str">
        <f t="shared" si="0"/>
        <v/>
      </c>
      <c r="Q25" s="35" cm="1">
        <f t="array" ref="Q25">IF(I25="",_xlfn.LET(
    _xlpm.vals,_xlfn._xlws.FILTER($J$7:J24,$J$7:J24&lt;&gt;"",""),
    _xlpm.avgJ,IF(COUNTA(_xlpm.vals)=0,0,AVERAGE(_xlfn.TAKE(_xlpm.vals,-MIN(7,ROWS(_xlpm.vals))))),
    _xlpm.addship,IF(P25="",0,P25),
    IF(
        AND(I24="",I25=""),
        Q24-_xlpm.avgJ+_xlpm.addship,
        IF(
            I25="",
            I24-_xlpm.avgJ+_xlpm.addship,
            ""
        )
    )
),I25)</f>
        <v>651732</v>
      </c>
      <c r="R25" s="35" t="str">
        <f t="shared" si="1"/>
        <v/>
      </c>
      <c r="S25" s="35" cm="1">
        <f t="array" ref="S25">IF(K25="",_xlfn.LET(
    _xlpm.vals,_xlfn._xlws.FILTER($N$7:N24,$N$7:N24&lt;&gt;"",""),
    _xlpm.avgJ,IF(COUNTA(_xlpm.vals)=0,0,AVERAGE(_xlfn.TAKE(_xlpm.vals,-MIN(7,ROWS(_xlpm.vals))))),
    _xlpm.addship,IF(R25="",0,R25),
    IF(
        AND(K24="",K25=""),
        S24-_xlpm.avgJ+_xlpm.addship,
        IF(
            K25="",
            K24-_xlpm.avgJ+_xlpm.addship,
            ""
        )
    )
),K25)</f>
        <v>1594043</v>
      </c>
      <c r="T25" s="29" t="str">
        <f t="shared" si="2"/>
        <v>Petrol over capacity</v>
      </c>
      <c r="AC25" s="5">
        <f t="shared" si="3"/>
        <v>16085</v>
      </c>
      <c r="AD25" s="5">
        <f t="shared" si="4"/>
        <v>325936</v>
      </c>
      <c r="AE25" s="5">
        <f t="shared" si="5"/>
        <v>72571</v>
      </c>
      <c r="AF25" s="5">
        <f t="shared" si="6"/>
        <v>1832778</v>
      </c>
    </row>
    <row r="26" spans="2:32" s="56" customFormat="1" ht="18" customHeight="1" x14ac:dyDescent="0.25">
      <c r="F26" s="29"/>
      <c r="G26" s="2"/>
      <c r="H26" s="25">
        <f t="shared" si="8"/>
        <v>46117</v>
      </c>
      <c r="I26" s="61">
        <v>651732</v>
      </c>
      <c r="J26" s="61">
        <v>0</v>
      </c>
      <c r="K26" s="61">
        <v>1594043</v>
      </c>
      <c r="L26" s="61">
        <v>0</v>
      </c>
      <c r="M26" s="61">
        <v>0</v>
      </c>
      <c r="N26" s="41">
        <f t="shared" si="7"/>
        <v>0</v>
      </c>
      <c r="P26" s="35" t="str">
        <f t="shared" si="0"/>
        <v/>
      </c>
      <c r="Q26" s="35" cm="1">
        <f t="array" ref="Q26">IF(I26="",_xlfn.LET(
    _xlpm.vals,_xlfn._xlws.FILTER($J$7:J25,$J$7:J25&lt;&gt;"",""),
    _xlpm.avgJ,IF(COUNTA(_xlpm.vals)=0,0,AVERAGE(_xlfn.TAKE(_xlpm.vals,-MIN(7,ROWS(_xlpm.vals))))),
    _xlpm.addship,IF(P26="",0,P26),
    IF(
        AND(I25="",I26=""),
        Q25-_xlpm.avgJ+_xlpm.addship,
        IF(
            I26="",
            I25-_xlpm.avgJ+_xlpm.addship,
            ""
        )
    )
),I26)</f>
        <v>651732</v>
      </c>
      <c r="R26" s="35" t="str">
        <f t="shared" si="1"/>
        <v/>
      </c>
      <c r="S26" s="35" cm="1">
        <f t="array" ref="S26">IF(K26="",_xlfn.LET(
    _xlpm.vals,_xlfn._xlws.FILTER($N$7:N25,$N$7:N25&lt;&gt;"",""),
    _xlpm.avgJ,IF(COUNTA(_xlpm.vals)=0,0,AVERAGE(_xlfn.TAKE(_xlpm.vals,-MIN(7,ROWS(_xlpm.vals))))),
    _xlpm.addship,IF(R26="",0,R26),
    IF(
        AND(K25="",K26=""),
        S25-_xlpm.avgJ+_xlpm.addship,
        IF(
            K26="",
            K25-_xlpm.avgJ+_xlpm.addship,
            ""
        )
    )
),K26)</f>
        <v>1594043</v>
      </c>
      <c r="T26" s="29" t="str">
        <f t="shared" si="2"/>
        <v>Petrol over capacity</v>
      </c>
      <c r="U26" s="12"/>
      <c r="V26" s="12"/>
      <c r="AC26" s="5">
        <f t="shared" si="3"/>
        <v>16085</v>
      </c>
      <c r="AD26" s="5">
        <f t="shared" si="4"/>
        <v>325936</v>
      </c>
      <c r="AE26" s="5">
        <f t="shared" si="5"/>
        <v>72571</v>
      </c>
      <c r="AF26" s="5">
        <f t="shared" si="6"/>
        <v>1832778</v>
      </c>
    </row>
    <row r="27" spans="2:32" s="12" customFormat="1" ht="21.75" x14ac:dyDescent="0.25">
      <c r="B27" s="29"/>
      <c r="G27" s="2"/>
      <c r="H27" s="25">
        <f t="shared" si="8"/>
        <v>46118</v>
      </c>
      <c r="I27" s="34">
        <v>651732</v>
      </c>
      <c r="J27" s="34">
        <v>0</v>
      </c>
      <c r="K27" s="34">
        <v>1494058</v>
      </c>
      <c r="L27" s="34">
        <v>100010</v>
      </c>
      <c r="M27" s="34">
        <v>0</v>
      </c>
      <c r="N27" s="41">
        <f t="shared" si="7"/>
        <v>100010</v>
      </c>
      <c r="P27" s="35" t="str">
        <f t="shared" si="0"/>
        <v/>
      </c>
      <c r="Q27" s="35" cm="1">
        <f t="array" ref="Q27">IF(I27="",_xlfn.LET(
    _xlpm.vals,_xlfn._xlws.FILTER($J$7:J26,$J$7:J26&lt;&gt;"",""),
    _xlpm.avgJ,IF(COUNTA(_xlpm.vals)=0,0,AVERAGE(_xlfn.TAKE(_xlpm.vals,-MIN(7,ROWS(_xlpm.vals))))),
    _xlpm.addship,IF(P27="",0,P27),
    IF(
        AND(I26="",I27=""),
        Q26-_xlpm.avgJ+_xlpm.addship,
        IF(
            I27="",
            I26-_xlpm.avgJ+_xlpm.addship,
            ""
        )
    )
),I27)</f>
        <v>651732</v>
      </c>
      <c r="R27" s="35" t="str">
        <f t="shared" si="1"/>
        <v/>
      </c>
      <c r="S27" s="35" cm="1">
        <f t="array" ref="S27">IF(K27="",_xlfn.LET(
    _xlpm.vals,_xlfn._xlws.FILTER($N$7:N26,$N$7:N26&lt;&gt;"",""),
    _xlpm.avgJ,IF(COUNTA(_xlpm.vals)=0,0,AVERAGE(_xlfn.TAKE(_xlpm.vals,-MIN(7,ROWS(_xlpm.vals))))),
    _xlpm.addship,IF(R27="",0,R27),
    IF(
        AND(K26="",K27=""),
        S26-_xlpm.avgJ+_xlpm.addship,
        IF(
            K27="",
            K26-_xlpm.avgJ+_xlpm.addship,
            ""
        )
    )
),K27)</f>
        <v>1494058</v>
      </c>
      <c r="T27" s="29" t="str">
        <f t="shared" si="2"/>
        <v>Petrol over capacity</v>
      </c>
      <c r="AC27" s="5">
        <f t="shared" si="3"/>
        <v>16085</v>
      </c>
      <c r="AD27" s="5">
        <f t="shared" si="4"/>
        <v>325936</v>
      </c>
      <c r="AE27" s="5">
        <f t="shared" si="5"/>
        <v>72571</v>
      </c>
      <c r="AF27" s="5">
        <f t="shared" si="6"/>
        <v>1832778</v>
      </c>
    </row>
    <row r="28" spans="2:32" s="12" customFormat="1" ht="18" customHeight="1" x14ac:dyDescent="0.25">
      <c r="G28" s="2"/>
      <c r="H28" s="25">
        <f t="shared" si="8"/>
        <v>46119</v>
      </c>
      <c r="I28" s="34"/>
      <c r="J28" s="34"/>
      <c r="K28" s="34"/>
      <c r="L28" s="34"/>
      <c r="M28" s="34"/>
      <c r="N28" s="41">
        <f t="shared" si="7"/>
        <v>0</v>
      </c>
      <c r="P28" s="35" t="str">
        <f t="shared" si="0"/>
        <v/>
      </c>
      <c r="Q28" s="35" cm="1">
        <f t="array" ref="Q28">IF(I28="",_xlfn.LET(
    _xlpm.vals,_xlfn._xlws.FILTER($J$7:J27,$J$7:J27&lt;&gt;"",""),
    _xlpm.avgJ,IF(COUNTA(_xlpm.vals)=0,0,AVERAGE(_xlfn.TAKE(_xlpm.vals,-MIN(7,ROWS(_xlpm.vals))))),
    _xlpm.addship,IF(P28="",0,P28),
    IF(
        AND(I27="",I28=""),
        Q27-_xlpm.avgJ+_xlpm.addship,
        IF(
            I28="",
            I27-_xlpm.avgJ+_xlpm.addship,
            ""
        )
    )
),I28)</f>
        <v>643532</v>
      </c>
      <c r="R28" s="35" t="str">
        <f t="shared" si="1"/>
        <v/>
      </c>
      <c r="S28" s="35" cm="1">
        <f t="array" ref="S28">IF(K28="",_xlfn.LET(
    _xlpm.vals,_xlfn._xlws.FILTER($N$7:N27,$N$7:N27&lt;&gt;"",""),
    _xlpm.avgJ,IF(COUNTA(_xlpm.vals)=0,0,AVERAGE(_xlfn.TAKE(_xlpm.vals,-MIN(7,ROWS(_xlpm.vals))))),
    _xlpm.addship,IF(R28="",0,R28),
    IF(
        AND(K27="",K28=""),
        S27-_xlpm.avgJ+_xlpm.addship,
        IF(
            K28="",
            K27-_xlpm.avgJ+_xlpm.addship,
            ""
        )
    )
),K28)</f>
        <v>1423782.2857142857</v>
      </c>
      <c r="T28" s="29" t="str">
        <f t="shared" si="2"/>
        <v>Petrol over capacity</v>
      </c>
      <c r="AC28" s="5">
        <f t="shared" si="3"/>
        <v>16085</v>
      </c>
      <c r="AD28" s="5">
        <f t="shared" si="4"/>
        <v>325936</v>
      </c>
      <c r="AE28" s="5">
        <f t="shared" si="5"/>
        <v>72571</v>
      </c>
      <c r="AF28" s="5">
        <f t="shared" si="6"/>
        <v>1832778</v>
      </c>
    </row>
    <row r="29" spans="2:32" s="12" customFormat="1" ht="18" customHeight="1" x14ac:dyDescent="0.25">
      <c r="G29" s="2"/>
      <c r="H29" s="25">
        <f t="shared" si="8"/>
        <v>46120</v>
      </c>
      <c r="I29" s="61"/>
      <c r="J29" s="61"/>
      <c r="K29" s="61"/>
      <c r="L29" s="61"/>
      <c r="M29" s="61"/>
      <c r="N29" s="41">
        <f t="shared" si="7"/>
        <v>0</v>
      </c>
      <c r="O29" s="56"/>
      <c r="P29" s="35" t="str">
        <f t="shared" si="0"/>
        <v/>
      </c>
      <c r="Q29" s="35" cm="1">
        <f t="array" ref="Q29">IF(I29="",_xlfn.LET(
    _xlpm.vals,_xlfn._xlws.FILTER($J$7:J28,$J$7:J28&lt;&gt;"",""),
    _xlpm.avgJ,IF(COUNTA(_xlpm.vals)=0,0,AVERAGE(_xlfn.TAKE(_xlpm.vals,-MIN(7,ROWS(_xlpm.vals))))),
    _xlpm.addship,IF(P29="",0,P29),
    IF(
        AND(I28="",I29=""),
        Q28-_xlpm.avgJ+_xlpm.addship,
        IF(
            I29="",
            I28-_xlpm.avgJ+_xlpm.addship,
            ""
        )
    )
),I29)</f>
        <v>635332</v>
      </c>
      <c r="R29" s="35" t="str">
        <f t="shared" si="1"/>
        <v/>
      </c>
      <c r="S29" s="35" cm="1">
        <f t="array" ref="S29">IF(K29="",_xlfn.LET(
    _xlpm.vals,_xlfn._xlws.FILTER($N$7:N28,$N$7:N28&lt;&gt;"",""),
    _xlpm.avgJ,IF(COUNTA(_xlpm.vals)=0,0,AVERAGE(_xlfn.TAKE(_xlpm.vals,-MIN(7,ROWS(_xlpm.vals))))),
    _xlpm.addship,IF(R29="",0,R29),
    IF(
        AND(K28="",K29=""),
        S28-_xlpm.avgJ+_xlpm.addship,
        IF(
            K29="",
            K28-_xlpm.avgJ+_xlpm.addship,
            ""
        )
    )
),K29)</f>
        <v>1365636.5714285714</v>
      </c>
      <c r="T29" s="29" t="str">
        <f t="shared" si="2"/>
        <v>Petrol over capacity</v>
      </c>
      <c r="AC29" s="5">
        <f t="shared" si="3"/>
        <v>16085</v>
      </c>
      <c r="AD29" s="5">
        <f t="shared" si="4"/>
        <v>325936</v>
      </c>
      <c r="AE29" s="5">
        <f t="shared" si="5"/>
        <v>72571</v>
      </c>
      <c r="AF29" s="5">
        <f t="shared" si="6"/>
        <v>1832778</v>
      </c>
    </row>
    <row r="30" spans="2:32" s="12" customFormat="1" ht="18" customHeight="1" x14ac:dyDescent="0.25">
      <c r="B30" s="29"/>
      <c r="F30" s="29"/>
      <c r="G30" s="2"/>
      <c r="H30" s="25">
        <f t="shared" si="8"/>
        <v>46121</v>
      </c>
      <c r="I30" s="34"/>
      <c r="J30" s="34"/>
      <c r="K30" s="34"/>
      <c r="L30" s="34"/>
      <c r="M30" s="34"/>
      <c r="N30" s="41">
        <f t="shared" si="7"/>
        <v>0</v>
      </c>
      <c r="P30" s="35" t="str">
        <f t="shared" si="0"/>
        <v/>
      </c>
      <c r="Q30" s="35" cm="1">
        <f t="array" ref="Q30">IF(I30="",_xlfn.LET(
    _xlpm.vals,_xlfn._xlws.FILTER($J$7:J29,$J$7:J29&lt;&gt;"",""),
    _xlpm.avgJ,IF(COUNTA(_xlpm.vals)=0,0,AVERAGE(_xlfn.TAKE(_xlpm.vals,-MIN(7,ROWS(_xlpm.vals))))),
    _xlpm.addship,IF(P30="",0,P30),
    IF(
        AND(I29="",I30=""),
        Q29-_xlpm.avgJ+_xlpm.addship,
        IF(
            I30="",
            I29-_xlpm.avgJ+_xlpm.addship,
            ""
        )
    )
),I30)</f>
        <v>627132</v>
      </c>
      <c r="R30" s="35" t="str">
        <f t="shared" si="1"/>
        <v/>
      </c>
      <c r="S30" s="35" cm="1">
        <f t="array" ref="S30">IF(K30="",_xlfn.LET(
    _xlpm.vals,_xlfn._xlws.FILTER($N$7:N29,$N$7:N29&lt;&gt;"",""),
    _xlpm.avgJ,IF(COUNTA(_xlpm.vals)=0,0,AVERAGE(_xlfn.TAKE(_xlpm.vals,-MIN(7,ROWS(_xlpm.vals))))),
    _xlpm.addship,IF(R30="",0,R30),
    IF(
        AND(K29="",K30=""),
        S29-_xlpm.avgJ+_xlpm.addship,
        IF(
            K30="",
            K29-_xlpm.avgJ+_xlpm.addship,
            ""
        )
    )
),K30)</f>
        <v>1324778</v>
      </c>
      <c r="T30" s="29" t="str">
        <f t="shared" si="2"/>
        <v>Petrol over capacity</v>
      </c>
      <c r="AC30" s="5">
        <f t="shared" si="3"/>
        <v>16085</v>
      </c>
      <c r="AD30" s="5">
        <f t="shared" si="4"/>
        <v>325936</v>
      </c>
      <c r="AE30" s="5">
        <f t="shared" si="5"/>
        <v>72571</v>
      </c>
      <c r="AF30" s="5">
        <f t="shared" si="6"/>
        <v>1832778</v>
      </c>
    </row>
    <row r="31" spans="2:32" s="12" customFormat="1" ht="18" customHeight="1" x14ac:dyDescent="0.25">
      <c r="B31" s="29"/>
      <c r="F31" s="29"/>
      <c r="G31" s="2"/>
      <c r="H31" s="25">
        <f t="shared" si="8"/>
        <v>46122</v>
      </c>
      <c r="I31" s="34"/>
      <c r="J31" s="34"/>
      <c r="K31" s="34"/>
      <c r="L31" s="34"/>
      <c r="M31" s="34"/>
      <c r="N31" s="41">
        <f t="shared" si="7"/>
        <v>0</v>
      </c>
      <c r="P31" s="35" t="str">
        <f t="shared" si="0"/>
        <v/>
      </c>
      <c r="Q31" s="35" cm="1">
        <f t="array" ref="Q31">IF(I31="",_xlfn.LET(
    _xlpm.vals,_xlfn._xlws.FILTER($J$7:J30,$J$7:J30&lt;&gt;"",""),
    _xlpm.avgJ,IF(COUNTA(_xlpm.vals)=0,0,AVERAGE(_xlfn.TAKE(_xlpm.vals,-MIN(7,ROWS(_xlpm.vals))))),
    _xlpm.addship,IF(P31="",0,P31),
    IF(
        AND(I30="",I31=""),
        Q30-_xlpm.avgJ+_xlpm.addship,
        IF(
            I31="",
            I30-_xlpm.avgJ+_xlpm.addship,
            ""
        )
    )
),I31)</f>
        <v>618932</v>
      </c>
      <c r="R31" s="35" t="str">
        <f t="shared" si="1"/>
        <v/>
      </c>
      <c r="S31" s="35" cm="1">
        <f t="array" ref="S31">IF(K31="",_xlfn.LET(
    _xlpm.vals,_xlfn._xlws.FILTER($N$7:N30,$N$7:N30&lt;&gt;"",""),
    _xlpm.avgJ,IF(COUNTA(_xlpm.vals)=0,0,AVERAGE(_xlfn.TAKE(_xlpm.vals,-MIN(7,ROWS(_xlpm.vals))))),
    _xlpm.addship,IF(R31="",0,R31),
    IF(
        AND(K30="",K31=""),
        S30-_xlpm.avgJ+_xlpm.addship,
        IF(
            K31="",
            K30-_xlpm.avgJ+_xlpm.addship,
            ""
        )
    )
),K31)</f>
        <v>1304205.142857143</v>
      </c>
      <c r="T31" s="29" t="str">
        <f t="shared" si="2"/>
        <v>Petrol over capacity</v>
      </c>
      <c r="AC31" s="5">
        <f t="shared" si="3"/>
        <v>16085</v>
      </c>
      <c r="AD31" s="5">
        <f t="shared" si="4"/>
        <v>325936</v>
      </c>
      <c r="AE31" s="5">
        <f t="shared" si="5"/>
        <v>72571</v>
      </c>
      <c r="AF31" s="5">
        <f t="shared" si="6"/>
        <v>1832778</v>
      </c>
    </row>
    <row r="32" spans="2:32" s="12" customFormat="1" ht="18" customHeight="1" x14ac:dyDescent="0.25">
      <c r="B32" s="29"/>
      <c r="F32" s="29"/>
      <c r="G32" s="29"/>
      <c r="H32" s="25">
        <f t="shared" si="8"/>
        <v>46123</v>
      </c>
      <c r="I32" s="34"/>
      <c r="J32" s="34"/>
      <c r="K32" s="34"/>
      <c r="L32" s="34"/>
      <c r="M32" s="34"/>
      <c r="N32" s="41">
        <f t="shared" si="7"/>
        <v>0</v>
      </c>
      <c r="P32" s="35" t="str">
        <f t="shared" si="0"/>
        <v/>
      </c>
      <c r="Q32" s="35" cm="1">
        <f t="array" ref="Q32">IF(I32="",_xlfn.LET(
    _xlpm.vals,_xlfn._xlws.FILTER($J$7:J31,$J$7:J31&lt;&gt;"",""),
    _xlpm.avgJ,IF(COUNTA(_xlpm.vals)=0,0,AVERAGE(_xlfn.TAKE(_xlpm.vals,-MIN(7,ROWS(_xlpm.vals))))),
    _xlpm.addship,IF(P32="",0,P32),
    IF(
        AND(I31="",I32=""),
        Q31-_xlpm.avgJ+_xlpm.addship,
        IF(
            I32="",
            I31-_xlpm.avgJ+_xlpm.addship,
            ""
        )
    )
),I32)</f>
        <v>610732</v>
      </c>
      <c r="R32" s="35" t="str">
        <f t="shared" si="1"/>
        <v/>
      </c>
      <c r="S32" s="35" cm="1">
        <f t="array" ref="S32">IF(K32="",_xlfn.LET(
    _xlpm.vals,_xlfn._xlws.FILTER($N$7:N31,$N$7:N31&lt;&gt;"",""),
    _xlpm.avgJ,IF(COUNTA(_xlpm.vals)=0,0,AVERAGE(_xlfn.TAKE(_xlpm.vals,-MIN(7,ROWS(_xlpm.vals))))),
    _xlpm.addship,IF(R32="",0,R32),
    IF(
        AND(K31="",K32=""),
        S31-_xlpm.avgJ+_xlpm.addship,
        IF(
            K32="",
            K31-_xlpm.avgJ+_xlpm.addship,
            ""
        )
    )
),K32)</f>
        <v>1283632.2857142859</v>
      </c>
      <c r="T32" s="29" t="str">
        <f t="shared" si="2"/>
        <v>Petrol over capacity</v>
      </c>
      <c r="AC32" s="5">
        <f t="shared" si="3"/>
        <v>16085</v>
      </c>
      <c r="AD32" s="5">
        <f t="shared" si="4"/>
        <v>325936</v>
      </c>
      <c r="AE32" s="5">
        <f t="shared" si="5"/>
        <v>72571</v>
      </c>
      <c r="AF32" s="5">
        <f t="shared" si="6"/>
        <v>1832778</v>
      </c>
    </row>
    <row r="33" spans="2:32" s="12" customFormat="1" ht="14.3" x14ac:dyDescent="0.25">
      <c r="B33" s="29"/>
      <c r="F33" s="29"/>
      <c r="H33" s="25">
        <f t="shared" si="8"/>
        <v>46124</v>
      </c>
      <c r="I33" s="34"/>
      <c r="J33" s="34"/>
      <c r="K33" s="34"/>
      <c r="L33" s="34"/>
      <c r="M33" s="34"/>
      <c r="N33" s="41">
        <f t="shared" si="7"/>
        <v>0</v>
      </c>
      <c r="P33" s="35" t="str">
        <f t="shared" si="0"/>
        <v/>
      </c>
      <c r="Q33" s="35" cm="1">
        <f t="array" ref="Q33">IF(I33="",_xlfn.LET(
    _xlpm.vals,_xlfn._xlws.FILTER($J$7:J32,$J$7:J32&lt;&gt;"",""),
    _xlpm.avgJ,IF(COUNTA(_xlpm.vals)=0,0,AVERAGE(_xlfn.TAKE(_xlpm.vals,-MIN(7,ROWS(_xlpm.vals))))),
    _xlpm.addship,IF(P33="",0,P33),
    IF(
        AND(I32="",I33=""),
        Q32-_xlpm.avgJ+_xlpm.addship,
        IF(
            I33="",
            I32-_xlpm.avgJ+_xlpm.addship,
            ""
        )
    )
),I33)</f>
        <v>602532</v>
      </c>
      <c r="R33" s="35" t="str">
        <f t="shared" si="1"/>
        <v/>
      </c>
      <c r="S33" s="35" cm="1">
        <f t="array" ref="S33">IF(K33="",_xlfn.LET(
    _xlpm.vals,_xlfn._xlws.FILTER($N$7:N32,$N$7:N32&lt;&gt;"",""),
    _xlpm.avgJ,IF(COUNTA(_xlpm.vals)=0,0,AVERAGE(_xlfn.TAKE(_xlpm.vals,-MIN(7,ROWS(_xlpm.vals))))),
    _xlpm.addship,IF(R33="",0,R33),
    IF(
        AND(K32="",K33=""),
        S32-_xlpm.avgJ+_xlpm.addship,
        IF(
            K33="",
            K32-_xlpm.avgJ+_xlpm.addship,
            ""
        )
    )
),K33)</f>
        <v>1269345.142857143</v>
      </c>
      <c r="T33" s="29" t="str">
        <f t="shared" si="2"/>
        <v>Petrol over capacity</v>
      </c>
      <c r="AC33" s="5">
        <f t="shared" si="3"/>
        <v>16085</v>
      </c>
      <c r="AD33" s="5">
        <f t="shared" si="4"/>
        <v>325936</v>
      </c>
      <c r="AE33" s="5">
        <f t="shared" si="5"/>
        <v>72571</v>
      </c>
      <c r="AF33" s="5">
        <f t="shared" si="6"/>
        <v>1832778</v>
      </c>
    </row>
    <row r="34" spans="2:32" s="12" customFormat="1" ht="18" customHeight="1" x14ac:dyDescent="0.25">
      <c r="B34" s="29"/>
      <c r="F34" s="29"/>
      <c r="H34" s="25">
        <f t="shared" si="8"/>
        <v>46125</v>
      </c>
      <c r="I34" s="34"/>
      <c r="J34" s="34"/>
      <c r="K34" s="34"/>
      <c r="L34" s="34"/>
      <c r="M34" s="34"/>
      <c r="N34" s="41">
        <f t="shared" si="7"/>
        <v>0</v>
      </c>
      <c r="P34" s="35" t="str">
        <f t="shared" si="0"/>
        <v/>
      </c>
      <c r="Q34" s="35" cm="1">
        <f t="array" ref="Q34">IF(I34="",_xlfn.LET(
    _xlpm.vals,_xlfn._xlws.FILTER($J$7:J33,$J$7:J33&lt;&gt;"",""),
    _xlpm.avgJ,IF(COUNTA(_xlpm.vals)=0,0,AVERAGE(_xlfn.TAKE(_xlpm.vals,-MIN(7,ROWS(_xlpm.vals))))),
    _xlpm.addship,IF(P34="",0,P34),
    IF(
        AND(I33="",I34=""),
        Q33-_xlpm.avgJ+_xlpm.addship,
        IF(
            I34="",
            I33-_xlpm.avgJ+_xlpm.addship,
            ""
        )
    )
),I34)</f>
        <v>594332</v>
      </c>
      <c r="R34" s="35" t="str">
        <f t="shared" si="1"/>
        <v/>
      </c>
      <c r="S34" s="35" cm="1">
        <f t="array" ref="S34">IF(K34="",_xlfn.LET(
    _xlpm.vals,_xlfn._xlws.FILTER($N$7:N33,$N$7:N33&lt;&gt;"",""),
    _xlpm.avgJ,IF(COUNTA(_xlpm.vals)=0,0,AVERAGE(_xlfn.TAKE(_xlpm.vals,-MIN(7,ROWS(_xlpm.vals))))),
    _xlpm.addship,IF(R34="",0,R34),
    IF(
        AND(K33="",K34=""),
        S33-_xlpm.avgJ+_xlpm.addship,
        IF(
            K34="",
            K33-_xlpm.avgJ+_xlpm.addship,
            ""
        )
    )
),K34)</f>
        <v>1255058</v>
      </c>
      <c r="T34" s="29" t="str">
        <f t="shared" si="2"/>
        <v>Petrol over capacity</v>
      </c>
      <c r="AC34" s="5">
        <f t="shared" si="3"/>
        <v>16085</v>
      </c>
      <c r="AD34" s="5">
        <f t="shared" si="4"/>
        <v>325936</v>
      </c>
      <c r="AE34" s="5">
        <f t="shared" si="5"/>
        <v>72571</v>
      </c>
      <c r="AF34" s="5">
        <f t="shared" si="6"/>
        <v>1832778</v>
      </c>
    </row>
    <row r="35" spans="2:32" s="12" customFormat="1" ht="18" customHeight="1" x14ac:dyDescent="0.25">
      <c r="B35" s="29"/>
      <c r="F35" s="29"/>
      <c r="H35" s="25">
        <f t="shared" si="8"/>
        <v>46126</v>
      </c>
      <c r="I35" s="34"/>
      <c r="J35" s="34"/>
      <c r="K35" s="34"/>
      <c r="L35" s="34"/>
      <c r="M35" s="34"/>
      <c r="N35" s="41">
        <f t="shared" si="7"/>
        <v>0</v>
      </c>
      <c r="P35" s="35" t="str">
        <f t="shared" si="0"/>
        <v/>
      </c>
      <c r="Q35" s="35" cm="1">
        <f t="array" ref="Q35">IF(I35="",_xlfn.LET(
    _xlpm.vals,_xlfn._xlws.FILTER($J$7:J34,$J$7:J34&lt;&gt;"",""),
    _xlpm.avgJ,IF(COUNTA(_xlpm.vals)=0,0,AVERAGE(_xlfn.TAKE(_xlpm.vals,-MIN(7,ROWS(_xlpm.vals))))),
    _xlpm.addship,IF(P35="",0,P35),
    IF(
        AND(I34="",I35=""),
        Q34-_xlpm.avgJ+_xlpm.addship,
        IF(
            I35="",
            I34-_xlpm.avgJ+_xlpm.addship,
            ""
        )
    )
),I35)</f>
        <v>586132</v>
      </c>
      <c r="R35" s="35" t="str">
        <f t="shared" si="1"/>
        <v/>
      </c>
      <c r="S35" s="35" cm="1">
        <f t="array" ref="S35">IF(K35="",_xlfn.LET(
    _xlpm.vals,_xlfn._xlws.FILTER($N$7:N34,$N$7:N34&lt;&gt;"",""),
    _xlpm.avgJ,IF(COUNTA(_xlpm.vals)=0,0,AVERAGE(_xlfn.TAKE(_xlpm.vals,-MIN(7,ROWS(_xlpm.vals))))),
    _xlpm.addship,IF(R35="",0,R35),
    IF(
        AND(K34="",K35=""),
        S34-_xlpm.avgJ+_xlpm.addship,
        IF(
            K35="",
            K34-_xlpm.avgJ+_xlpm.addship,
            ""
        )
    )
),K35)</f>
        <v>1255058</v>
      </c>
      <c r="T35" s="29" t="str">
        <f t="shared" si="2"/>
        <v>Petrol over capacity</v>
      </c>
      <c r="AC35" s="5">
        <f t="shared" si="3"/>
        <v>16085</v>
      </c>
      <c r="AD35" s="5">
        <f t="shared" si="4"/>
        <v>325936</v>
      </c>
      <c r="AE35" s="5">
        <f t="shared" si="5"/>
        <v>72571</v>
      </c>
      <c r="AF35" s="5">
        <f t="shared" si="6"/>
        <v>1832778</v>
      </c>
    </row>
    <row r="36" spans="2:32" s="12" customFormat="1" ht="18" customHeight="1" x14ac:dyDescent="0.25">
      <c r="B36" s="29"/>
      <c r="F36" s="62"/>
      <c r="H36" s="25">
        <f t="shared" si="8"/>
        <v>46127</v>
      </c>
      <c r="I36" s="34"/>
      <c r="J36" s="34"/>
      <c r="K36" s="34"/>
      <c r="L36" s="34"/>
      <c r="M36" s="34"/>
      <c r="N36" s="41">
        <f t="shared" si="7"/>
        <v>0</v>
      </c>
      <c r="P36" s="35" t="str">
        <f t="shared" si="0"/>
        <v/>
      </c>
      <c r="Q36" s="35" cm="1">
        <f t="array" ref="Q36">IF(I36="",_xlfn.LET(
    _xlpm.vals,_xlfn._xlws.FILTER($J$7:J35,$J$7:J35&lt;&gt;"",""),
    _xlpm.avgJ,IF(COUNTA(_xlpm.vals)=0,0,AVERAGE(_xlfn.TAKE(_xlpm.vals,-MIN(7,ROWS(_xlpm.vals))))),
    _xlpm.addship,IF(P36="",0,P36),
    IF(
        AND(I35="",I36=""),
        Q35-_xlpm.avgJ+_xlpm.addship,
        IF(
            I36="",
            I35-_xlpm.avgJ+_xlpm.addship,
            ""
        )
    )
),I36)</f>
        <v>577932</v>
      </c>
      <c r="R36" s="35" t="str">
        <f t="shared" si="1"/>
        <v/>
      </c>
      <c r="S36" s="35" cm="1">
        <f t="array" ref="S36">IF(K36="",_xlfn.LET(
    _xlpm.vals,_xlfn._xlws.FILTER($N$7:N35,$N$7:N35&lt;&gt;"",""),
    _xlpm.avgJ,IF(COUNTA(_xlpm.vals)=0,0,AVERAGE(_xlfn.TAKE(_xlpm.vals,-MIN(7,ROWS(_xlpm.vals))))),
    _xlpm.addship,IF(R36="",0,R36),
    IF(
        AND(K35="",K36=""),
        S35-_xlpm.avgJ+_xlpm.addship,
        IF(
            K36="",
            K35-_xlpm.avgJ+_xlpm.addship,
            ""
        )
    )
),K36)</f>
        <v>1255058</v>
      </c>
      <c r="T36" s="29" t="str">
        <f t="shared" si="2"/>
        <v>Petrol over capacity</v>
      </c>
      <c r="AC36" s="5">
        <f t="shared" si="3"/>
        <v>16085</v>
      </c>
      <c r="AD36" s="5">
        <f t="shared" si="4"/>
        <v>325936</v>
      </c>
      <c r="AE36" s="5">
        <f t="shared" si="5"/>
        <v>72571</v>
      </c>
      <c r="AF36" s="5">
        <f t="shared" si="6"/>
        <v>1832778</v>
      </c>
    </row>
    <row r="37" spans="2:32" s="12" customFormat="1" ht="18" customHeight="1" x14ac:dyDescent="0.25">
      <c r="B37" s="29"/>
      <c r="F37" s="29"/>
      <c r="H37" s="25">
        <f t="shared" si="8"/>
        <v>46128</v>
      </c>
      <c r="I37" s="34"/>
      <c r="J37" s="34"/>
      <c r="K37" s="34"/>
      <c r="L37" s="34"/>
      <c r="M37" s="34"/>
      <c r="N37" s="41">
        <f t="shared" si="7"/>
        <v>0</v>
      </c>
      <c r="P37" s="35" t="str">
        <f t="shared" si="0"/>
        <v/>
      </c>
      <c r="Q37" s="35" cm="1">
        <f t="array" ref="Q37">IF(I37="",_xlfn.LET(
    _xlpm.vals,_xlfn._xlws.FILTER($J$7:J36,$J$7:J36&lt;&gt;"",""),
    _xlpm.avgJ,IF(COUNTA(_xlpm.vals)=0,0,AVERAGE(_xlfn.TAKE(_xlpm.vals,-MIN(7,ROWS(_xlpm.vals))))),
    _xlpm.addship,IF(P37="",0,P37),
    IF(
        AND(I36="",I37=""),
        Q36-_xlpm.avgJ+_xlpm.addship,
        IF(
            I37="",
            I36-_xlpm.avgJ+_xlpm.addship,
            ""
        )
    )
),I37)</f>
        <v>569732</v>
      </c>
      <c r="R37" s="35" t="str">
        <f t="shared" si="1"/>
        <v/>
      </c>
      <c r="S37" s="35" cm="1">
        <f t="array" ref="S37">IF(K37="",_xlfn.LET(
    _xlpm.vals,_xlfn._xlws.FILTER($N$7:N36,$N$7:N36&lt;&gt;"",""),
    _xlpm.avgJ,IF(COUNTA(_xlpm.vals)=0,0,AVERAGE(_xlfn.TAKE(_xlpm.vals,-MIN(7,ROWS(_xlpm.vals))))),
    _xlpm.addship,IF(R37="",0,R37),
    IF(
        AND(K36="",K37=""),
        S36-_xlpm.avgJ+_xlpm.addship,
        IF(
            K37="",
            K36-_xlpm.avgJ+_xlpm.addship,
            ""
        )
    )
),K37)</f>
        <v>1255058</v>
      </c>
      <c r="T37" s="29" t="str">
        <f t="shared" si="2"/>
        <v>Petrol over capacity</v>
      </c>
      <c r="AC37" s="5">
        <f t="shared" si="3"/>
        <v>16085</v>
      </c>
      <c r="AD37" s="5">
        <f t="shared" si="4"/>
        <v>325936</v>
      </c>
      <c r="AE37" s="5">
        <f t="shared" si="5"/>
        <v>72571</v>
      </c>
      <c r="AF37" s="5">
        <f t="shared" si="6"/>
        <v>1832778</v>
      </c>
    </row>
    <row r="38" spans="2:32" s="12" customFormat="1" ht="18" customHeight="1" x14ac:dyDescent="0.25">
      <c r="B38" s="29"/>
      <c r="F38" s="29"/>
      <c r="H38" s="25">
        <f t="shared" si="8"/>
        <v>46129</v>
      </c>
      <c r="I38" s="34"/>
      <c r="J38" s="34"/>
      <c r="K38" s="34"/>
      <c r="L38" s="34"/>
      <c r="M38" s="34"/>
      <c r="N38" s="41">
        <f t="shared" si="7"/>
        <v>0</v>
      </c>
      <c r="P38" s="35" t="str">
        <f t="shared" si="0"/>
        <v/>
      </c>
      <c r="Q38" s="35" cm="1">
        <f t="array" ref="Q38">IF(I38="",_xlfn.LET(
    _xlpm.vals,_xlfn._xlws.FILTER($J$7:J37,$J$7:J37&lt;&gt;"",""),
    _xlpm.avgJ,IF(COUNTA(_xlpm.vals)=0,0,AVERAGE(_xlfn.TAKE(_xlpm.vals,-MIN(7,ROWS(_xlpm.vals))))),
    _xlpm.addship,IF(P38="",0,P38),
    IF(
        AND(I37="",I38=""),
        Q37-_xlpm.avgJ+_xlpm.addship,
        IF(
            I38="",
            I37-_xlpm.avgJ+_xlpm.addship,
            ""
        )
    )
),I38)</f>
        <v>561532</v>
      </c>
      <c r="R38" s="35" t="str">
        <f t="shared" si="1"/>
        <v/>
      </c>
      <c r="S38" s="35" cm="1">
        <f t="array" ref="S38">IF(K38="",_xlfn.LET(
    _xlpm.vals,_xlfn._xlws.FILTER($N$7:N37,$N$7:N37&lt;&gt;"",""),
    _xlpm.avgJ,IF(COUNTA(_xlpm.vals)=0,0,AVERAGE(_xlfn.TAKE(_xlpm.vals,-MIN(7,ROWS(_xlpm.vals))))),
    _xlpm.addship,IF(R38="",0,R38),
    IF(
        AND(K37="",K38=""),
        S37-_xlpm.avgJ+_xlpm.addship,
        IF(
            K38="",
            K37-_xlpm.avgJ+_xlpm.addship,
            ""
        )
    )
),K38)</f>
        <v>1255058</v>
      </c>
      <c r="T38" s="29" t="str">
        <f t="shared" si="2"/>
        <v>Petrol over capacity</v>
      </c>
      <c r="AC38" s="5">
        <f t="shared" si="3"/>
        <v>16085</v>
      </c>
      <c r="AD38" s="5">
        <f t="shared" si="4"/>
        <v>325936</v>
      </c>
      <c r="AE38" s="5">
        <f t="shared" si="5"/>
        <v>72571</v>
      </c>
      <c r="AF38" s="5">
        <f t="shared" si="6"/>
        <v>1832778</v>
      </c>
    </row>
    <row r="39" spans="2:32" s="12" customFormat="1" ht="18" customHeight="1" x14ac:dyDescent="0.25">
      <c r="B39" s="29"/>
      <c r="F39" s="29"/>
      <c r="H39" s="25">
        <f t="shared" si="8"/>
        <v>46130</v>
      </c>
      <c r="I39" s="34"/>
      <c r="J39" s="34"/>
      <c r="K39" s="34"/>
      <c r="L39" s="34"/>
      <c r="M39" s="34"/>
      <c r="N39" s="41">
        <f t="shared" si="7"/>
        <v>0</v>
      </c>
      <c r="P39" s="35" t="str">
        <f t="shared" si="0"/>
        <v/>
      </c>
      <c r="Q39" s="35" cm="1">
        <f t="array" ref="Q39">IF(I39="",_xlfn.LET(
    _xlpm.vals,_xlfn._xlws.FILTER($J$7:J38,$J$7:J38&lt;&gt;"",""),
    _xlpm.avgJ,IF(COUNTA(_xlpm.vals)=0,0,AVERAGE(_xlfn.TAKE(_xlpm.vals,-MIN(7,ROWS(_xlpm.vals))))),
    _xlpm.addship,IF(P39="",0,P39),
    IF(
        AND(I38="",I39=""),
        Q38-_xlpm.avgJ+_xlpm.addship,
        IF(
            I39="",
            I38-_xlpm.avgJ+_xlpm.addship,
            ""
        )
    )
),I39)</f>
        <v>553332</v>
      </c>
      <c r="R39" s="35" t="str">
        <f t="shared" si="1"/>
        <v/>
      </c>
      <c r="S39" s="35" cm="1">
        <f t="array" ref="S39">IF(K39="",_xlfn.LET(
    _xlpm.vals,_xlfn._xlws.FILTER($N$7:N38,$N$7:N38&lt;&gt;"",""),
    _xlpm.avgJ,IF(COUNTA(_xlpm.vals)=0,0,AVERAGE(_xlfn.TAKE(_xlpm.vals,-MIN(7,ROWS(_xlpm.vals))))),
    _xlpm.addship,IF(R39="",0,R39),
    IF(
        AND(K38="",K39=""),
        S38-_xlpm.avgJ+_xlpm.addship,
        IF(
            K39="",
            K38-_xlpm.avgJ+_xlpm.addship,
            ""
        )
    )
),K39)</f>
        <v>1255058</v>
      </c>
      <c r="T39" s="29" t="str">
        <f t="shared" si="2"/>
        <v>Petrol over capacity</v>
      </c>
      <c r="AC39" s="5">
        <f t="shared" si="3"/>
        <v>16085</v>
      </c>
      <c r="AD39" s="5">
        <f t="shared" si="4"/>
        <v>325936</v>
      </c>
      <c r="AE39" s="5">
        <f t="shared" si="5"/>
        <v>72571</v>
      </c>
      <c r="AF39" s="5">
        <f t="shared" si="6"/>
        <v>1832778</v>
      </c>
    </row>
    <row r="40" spans="2:32" s="12" customFormat="1" ht="18" customHeight="1" x14ac:dyDescent="0.25">
      <c r="B40" s="29"/>
      <c r="F40" s="29"/>
      <c r="H40" s="25">
        <f t="shared" si="8"/>
        <v>46131</v>
      </c>
      <c r="I40" s="34"/>
      <c r="J40" s="34"/>
      <c r="K40" s="34"/>
      <c r="L40" s="34"/>
      <c r="M40" s="34"/>
      <c r="N40" s="41">
        <f t="shared" si="7"/>
        <v>0</v>
      </c>
      <c r="P40" s="35" t="str">
        <f t="shared" si="0"/>
        <v/>
      </c>
      <c r="Q40" s="35" cm="1">
        <f t="array" ref="Q40">IF(I40="",_xlfn.LET(
    _xlpm.vals,_xlfn._xlws.FILTER($J$7:J39,$J$7:J39&lt;&gt;"",""),
    _xlpm.avgJ,IF(COUNTA(_xlpm.vals)=0,0,AVERAGE(_xlfn.TAKE(_xlpm.vals,-MIN(7,ROWS(_xlpm.vals))))),
    _xlpm.addship,IF(P40="",0,P40),
    IF(
        AND(I39="",I40=""),
        Q39-_xlpm.avgJ+_xlpm.addship,
        IF(
            I40="",
            I39-_xlpm.avgJ+_xlpm.addship,
            ""
        )
    )
),I40)</f>
        <v>545132</v>
      </c>
      <c r="R40" s="35" t="str">
        <f t="shared" si="1"/>
        <v/>
      </c>
      <c r="S40" s="35" cm="1">
        <f t="array" ref="S40">IF(K40="",_xlfn.LET(
    _xlpm.vals,_xlfn._xlws.FILTER($N$7:N39,$N$7:N39&lt;&gt;"",""),
    _xlpm.avgJ,IF(COUNTA(_xlpm.vals)=0,0,AVERAGE(_xlfn.TAKE(_xlpm.vals,-MIN(7,ROWS(_xlpm.vals))))),
    _xlpm.addship,IF(R40="",0,R40),
    IF(
        AND(K39="",K40=""),
        S39-_xlpm.avgJ+_xlpm.addship,
        IF(
            K40="",
            K39-_xlpm.avgJ+_xlpm.addship,
            ""
        )
    )
),K40)</f>
        <v>1255058</v>
      </c>
      <c r="T40" s="29" t="str">
        <f t="shared" si="2"/>
        <v>Petrol over capacity</v>
      </c>
      <c r="AC40" s="5">
        <f t="shared" si="3"/>
        <v>16085</v>
      </c>
      <c r="AD40" s="5">
        <f t="shared" si="4"/>
        <v>325936</v>
      </c>
      <c r="AE40" s="5">
        <f t="shared" si="5"/>
        <v>72571</v>
      </c>
      <c r="AF40" s="5">
        <f t="shared" si="6"/>
        <v>1832778</v>
      </c>
    </row>
    <row r="41" spans="2:32" s="12" customFormat="1" ht="18" customHeight="1" x14ac:dyDescent="0.25">
      <c r="B41" s="29"/>
      <c r="F41" s="29"/>
      <c r="H41" s="25">
        <f t="shared" si="8"/>
        <v>46132</v>
      </c>
      <c r="I41" s="34"/>
      <c r="J41" s="34"/>
      <c r="K41" s="34"/>
      <c r="L41" s="34"/>
      <c r="M41" s="34"/>
      <c r="N41" s="41">
        <f t="shared" si="7"/>
        <v>0</v>
      </c>
      <c r="P41" s="35" t="str">
        <f t="shared" si="0"/>
        <v/>
      </c>
      <c r="Q41" s="35" cm="1">
        <f t="array" ref="Q41">IF(I41="",_xlfn.LET(
    _xlpm.vals,_xlfn._xlws.FILTER($J$7:J40,$J$7:J40&lt;&gt;"",""),
    _xlpm.avgJ,IF(COUNTA(_xlpm.vals)=0,0,AVERAGE(_xlfn.TAKE(_xlpm.vals,-MIN(7,ROWS(_xlpm.vals))))),
    _xlpm.addship,IF(P41="",0,P41),
    IF(
        AND(I40="",I41=""),
        Q40-_xlpm.avgJ+_xlpm.addship,
        IF(
            I41="",
            I40-_xlpm.avgJ+_xlpm.addship,
            ""
        )
    )
),I41)</f>
        <v>536932</v>
      </c>
      <c r="R41" s="35" t="str">
        <f t="shared" si="1"/>
        <v/>
      </c>
      <c r="S41" s="35" cm="1">
        <f t="array" ref="S41">IF(K41="",_xlfn.LET(
    _xlpm.vals,_xlfn._xlws.FILTER($N$7:N40,$N$7:N40&lt;&gt;"",""),
    _xlpm.avgJ,IF(COUNTA(_xlpm.vals)=0,0,AVERAGE(_xlfn.TAKE(_xlpm.vals,-MIN(7,ROWS(_xlpm.vals))))),
    _xlpm.addship,IF(R41="",0,R41),
    IF(
        AND(K40="",K41=""),
        S40-_xlpm.avgJ+_xlpm.addship,
        IF(
            K41="",
            K40-_xlpm.avgJ+_xlpm.addship,
            ""
        )
    )
),K41)</f>
        <v>1255058</v>
      </c>
      <c r="T41" s="29" t="str">
        <f t="shared" si="2"/>
        <v>Petrol over capacity</v>
      </c>
      <c r="AC41" s="5">
        <f t="shared" si="3"/>
        <v>16085</v>
      </c>
      <c r="AD41" s="5">
        <f t="shared" si="4"/>
        <v>325936</v>
      </c>
      <c r="AE41" s="5">
        <f t="shared" si="5"/>
        <v>72571</v>
      </c>
      <c r="AF41" s="5">
        <f t="shared" si="6"/>
        <v>1832778</v>
      </c>
    </row>
    <row r="42" spans="2:32" s="12" customFormat="1" ht="18" customHeight="1" x14ac:dyDescent="0.25">
      <c r="B42" s="29"/>
      <c r="F42" s="29"/>
      <c r="H42" s="25">
        <f t="shared" si="8"/>
        <v>46133</v>
      </c>
      <c r="I42" s="34"/>
      <c r="J42" s="34"/>
      <c r="K42" s="34"/>
      <c r="L42" s="34"/>
      <c r="M42" s="34"/>
      <c r="N42" s="41">
        <f t="shared" si="7"/>
        <v>0</v>
      </c>
      <c r="P42" s="35" t="str">
        <f t="shared" si="0"/>
        <v/>
      </c>
      <c r="Q42" s="35" cm="1">
        <f t="array" ref="Q42">IF(I42="",_xlfn.LET(
    _xlpm.vals,_xlfn._xlws.FILTER($J$7:J41,$J$7:J41&lt;&gt;"",""),
    _xlpm.avgJ,IF(COUNTA(_xlpm.vals)=0,0,AVERAGE(_xlfn.TAKE(_xlpm.vals,-MIN(7,ROWS(_xlpm.vals))))),
    _xlpm.addship,IF(P42="",0,P42),
    IF(
        AND(I41="",I42=""),
        Q41-_xlpm.avgJ+_xlpm.addship,
        IF(
            I42="",
            I41-_xlpm.avgJ+_xlpm.addship,
            ""
        )
    )
),I42)</f>
        <v>528732</v>
      </c>
      <c r="R42" s="35" t="str">
        <f t="shared" si="1"/>
        <v/>
      </c>
      <c r="S42" s="35" cm="1">
        <f t="array" ref="S42">IF(K42="",_xlfn.LET(
    _xlpm.vals,_xlfn._xlws.FILTER($N$7:N41,$N$7:N41&lt;&gt;"",""),
    _xlpm.avgJ,IF(COUNTA(_xlpm.vals)=0,0,AVERAGE(_xlfn.TAKE(_xlpm.vals,-MIN(7,ROWS(_xlpm.vals))))),
    _xlpm.addship,IF(R42="",0,R42),
    IF(
        AND(K41="",K42=""),
        S41-_xlpm.avgJ+_xlpm.addship,
        IF(
            K42="",
            K41-_xlpm.avgJ+_xlpm.addship,
            ""
        )
    )
),K42)</f>
        <v>1255058</v>
      </c>
      <c r="T42" s="29" t="str">
        <f t="shared" si="2"/>
        <v>Petrol over capacity</v>
      </c>
      <c r="AC42" s="5">
        <f t="shared" si="3"/>
        <v>16085</v>
      </c>
      <c r="AD42" s="5">
        <f t="shared" si="4"/>
        <v>325936</v>
      </c>
      <c r="AE42" s="5">
        <f t="shared" si="5"/>
        <v>72571</v>
      </c>
      <c r="AF42" s="5">
        <f t="shared" si="6"/>
        <v>1832778</v>
      </c>
    </row>
    <row r="43" spans="2:32" s="12" customFormat="1" ht="18" customHeight="1" x14ac:dyDescent="0.25">
      <c r="B43" s="29"/>
      <c r="F43" s="29"/>
      <c r="H43" s="25">
        <f t="shared" si="8"/>
        <v>46134</v>
      </c>
      <c r="I43" s="34"/>
      <c r="J43" s="34"/>
      <c r="K43" s="34"/>
      <c r="L43" s="34"/>
      <c r="M43" s="34"/>
      <c r="N43" s="41">
        <f t="shared" si="7"/>
        <v>0</v>
      </c>
      <c r="P43" s="35" t="str">
        <f t="shared" si="0"/>
        <v/>
      </c>
      <c r="Q43" s="35" cm="1">
        <f t="array" ref="Q43">IF(I43="",_xlfn.LET(
    _xlpm.vals,_xlfn._xlws.FILTER($J$7:J42,$J$7:J42&lt;&gt;"",""),
    _xlpm.avgJ,IF(COUNTA(_xlpm.vals)=0,0,AVERAGE(_xlfn.TAKE(_xlpm.vals,-MIN(7,ROWS(_xlpm.vals))))),
    _xlpm.addship,IF(P43="",0,P43),
    IF(
        AND(I42="",I43=""),
        Q42-_xlpm.avgJ+_xlpm.addship,
        IF(
            I43="",
            I42-_xlpm.avgJ+_xlpm.addship,
            ""
        )
    )
),I43)</f>
        <v>520532</v>
      </c>
      <c r="R43" s="35" t="str">
        <f t="shared" si="1"/>
        <v/>
      </c>
      <c r="S43" s="35" cm="1">
        <f t="array" ref="S43">IF(K43="",_xlfn.LET(
    _xlpm.vals,_xlfn._xlws.FILTER($N$7:N42,$N$7:N42&lt;&gt;"",""),
    _xlpm.avgJ,IF(COUNTA(_xlpm.vals)=0,0,AVERAGE(_xlfn.TAKE(_xlpm.vals,-MIN(7,ROWS(_xlpm.vals))))),
    _xlpm.addship,IF(R43="",0,R43),
    IF(
        AND(K42="",K43=""),
        S42-_xlpm.avgJ+_xlpm.addship,
        IF(
            K43="",
            K42-_xlpm.avgJ+_xlpm.addship,
            ""
        )
    )
),K43)</f>
        <v>1255058</v>
      </c>
      <c r="T43" s="29" t="str">
        <f t="shared" si="2"/>
        <v>Petrol over capacity</v>
      </c>
      <c r="AC43" s="5">
        <f t="shared" si="3"/>
        <v>16085</v>
      </c>
      <c r="AD43" s="5">
        <f t="shared" si="4"/>
        <v>325936</v>
      </c>
      <c r="AE43" s="5">
        <f t="shared" si="5"/>
        <v>72571</v>
      </c>
      <c r="AF43" s="5">
        <f t="shared" si="6"/>
        <v>1832778</v>
      </c>
    </row>
    <row r="44" spans="2:32" s="12" customFormat="1" ht="18" customHeight="1" x14ac:dyDescent="0.25">
      <c r="B44" s="29"/>
      <c r="F44" s="29"/>
      <c r="H44" s="25">
        <f t="shared" si="8"/>
        <v>46135</v>
      </c>
      <c r="I44" s="34"/>
      <c r="J44" s="34"/>
      <c r="K44" s="34"/>
      <c r="L44" s="34"/>
      <c r="M44" s="34"/>
      <c r="N44" s="41">
        <f t="shared" si="7"/>
        <v>0</v>
      </c>
      <c r="P44" s="35" t="str">
        <f t="shared" si="0"/>
        <v/>
      </c>
      <c r="Q44" s="35" cm="1">
        <f t="array" ref="Q44">IF(I44="",_xlfn.LET(
    _xlpm.vals,_xlfn._xlws.FILTER($J$7:J43,$J$7:J43&lt;&gt;"",""),
    _xlpm.avgJ,IF(COUNTA(_xlpm.vals)=0,0,AVERAGE(_xlfn.TAKE(_xlpm.vals,-MIN(7,ROWS(_xlpm.vals))))),
    _xlpm.addship,IF(P44="",0,P44),
    IF(
        AND(I43="",I44=""),
        Q43-_xlpm.avgJ+_xlpm.addship,
        IF(
            I44="",
            I43-_xlpm.avgJ+_xlpm.addship,
            ""
        )
    )
),I44)</f>
        <v>512332</v>
      </c>
      <c r="R44" s="35" t="str">
        <f t="shared" si="1"/>
        <v/>
      </c>
      <c r="S44" s="35" cm="1">
        <f t="array" ref="S44">IF(K44="",_xlfn.LET(
    _xlpm.vals,_xlfn._xlws.FILTER($N$7:N43,$N$7:N43&lt;&gt;"",""),
    _xlpm.avgJ,IF(COUNTA(_xlpm.vals)=0,0,AVERAGE(_xlfn.TAKE(_xlpm.vals,-MIN(7,ROWS(_xlpm.vals))))),
    _xlpm.addship,IF(R44="",0,R44),
    IF(
        AND(K43="",K44=""),
        S43-_xlpm.avgJ+_xlpm.addship,
        IF(
            K44="",
            K43-_xlpm.avgJ+_xlpm.addship,
            ""
        )
    )
),K44)</f>
        <v>1255058</v>
      </c>
      <c r="T44" s="29" t="str">
        <f t="shared" si="2"/>
        <v>Petrol over capacity</v>
      </c>
      <c r="AC44" s="5">
        <f t="shared" si="3"/>
        <v>16085</v>
      </c>
      <c r="AD44" s="5">
        <f t="shared" si="4"/>
        <v>325936</v>
      </c>
      <c r="AE44" s="5">
        <f t="shared" si="5"/>
        <v>72571</v>
      </c>
      <c r="AF44" s="5">
        <f t="shared" si="6"/>
        <v>1832778</v>
      </c>
    </row>
    <row r="45" spans="2:32" s="12" customFormat="1" ht="18" customHeight="1" x14ac:dyDescent="0.25">
      <c r="B45" s="29"/>
      <c r="F45" s="29"/>
      <c r="H45" s="25">
        <f t="shared" si="8"/>
        <v>46136</v>
      </c>
      <c r="I45" s="34"/>
      <c r="J45" s="34"/>
      <c r="K45" s="34"/>
      <c r="L45" s="34"/>
      <c r="M45" s="34"/>
      <c r="N45" s="41">
        <f t="shared" si="7"/>
        <v>0</v>
      </c>
      <c r="P45" s="35">
        <f t="shared" si="0"/>
        <v>150000</v>
      </c>
      <c r="Q45" s="35" cm="1">
        <f t="array" ref="Q45">IF(I45="",_xlfn.LET(
    _xlpm.vals,_xlfn._xlws.FILTER($J$7:J44,$J$7:J44&lt;&gt;"",""),
    _xlpm.avgJ,IF(COUNTA(_xlpm.vals)=0,0,AVERAGE(_xlfn.TAKE(_xlpm.vals,-MIN(7,ROWS(_xlpm.vals))))),
    _xlpm.addship,IF(P45="",0,P45),
    IF(
        AND(I44="",I45=""),
        Q44-_xlpm.avgJ+_xlpm.addship,
        IF(
            I45="",
            I44-_xlpm.avgJ+_xlpm.addship,
            ""
        )
    )
),I45)</f>
        <v>654132</v>
      </c>
      <c r="R45" s="35">
        <f t="shared" si="1"/>
        <v>700000</v>
      </c>
      <c r="S45" s="35" cm="1">
        <f t="array" ref="S45">IF(K45="",_xlfn.LET(
    _xlpm.vals,_xlfn._xlws.FILTER($N$7:N44,$N$7:N44&lt;&gt;"",""),
    _xlpm.avgJ,IF(COUNTA(_xlpm.vals)=0,0,AVERAGE(_xlfn.TAKE(_xlpm.vals,-MIN(7,ROWS(_xlpm.vals))))),
    _xlpm.addship,IF(R45="",0,R45),
    IF(
        AND(K44="",K45=""),
        S44-_xlpm.avgJ+_xlpm.addship,
        IF(
            K45="",
            K44-_xlpm.avgJ+_xlpm.addship,
            ""
        )
    )
),K45)</f>
        <v>1955058</v>
      </c>
      <c r="T45" s="29" t="str">
        <f t="shared" si="2"/>
        <v>Petrol over capacity | Diesel over capacity</v>
      </c>
      <c r="AC45" s="5">
        <f t="shared" si="3"/>
        <v>16085</v>
      </c>
      <c r="AD45" s="5">
        <f t="shared" si="4"/>
        <v>325936</v>
      </c>
      <c r="AE45" s="5">
        <f t="shared" si="5"/>
        <v>72571</v>
      </c>
      <c r="AF45" s="5">
        <f t="shared" si="6"/>
        <v>1832778</v>
      </c>
    </row>
    <row r="46" spans="2:32" s="12" customFormat="1" ht="18" customHeight="1" x14ac:dyDescent="0.25">
      <c r="B46" s="29"/>
      <c r="F46" s="29"/>
      <c r="H46" s="25">
        <f t="shared" si="8"/>
        <v>46137</v>
      </c>
      <c r="I46" s="34"/>
      <c r="J46" s="34"/>
      <c r="K46" s="34"/>
      <c r="L46" s="34"/>
      <c r="M46" s="34"/>
      <c r="N46" s="41">
        <f t="shared" si="7"/>
        <v>0</v>
      </c>
      <c r="P46" s="35" t="str">
        <f t="shared" si="0"/>
        <v/>
      </c>
      <c r="Q46" s="35" cm="1">
        <f t="array" ref="Q46">IF(I46="",_xlfn.LET(
    _xlpm.vals,_xlfn._xlws.FILTER($J$7:J45,$J$7:J45&lt;&gt;"",""),
    _xlpm.avgJ,IF(COUNTA(_xlpm.vals)=0,0,AVERAGE(_xlfn.TAKE(_xlpm.vals,-MIN(7,ROWS(_xlpm.vals))))),
    _xlpm.addship,IF(P46="",0,P46),
    IF(
        AND(I45="",I46=""),
        Q45-_xlpm.avgJ+_xlpm.addship,
        IF(
            I46="",
            I45-_xlpm.avgJ+_xlpm.addship,
            ""
        )
    )
),I46)</f>
        <v>645932</v>
      </c>
      <c r="R46" s="35" t="str">
        <f t="shared" si="1"/>
        <v/>
      </c>
      <c r="S46" s="35" cm="1">
        <f t="array" ref="S46">IF(K46="",_xlfn.LET(
    _xlpm.vals,_xlfn._xlws.FILTER($N$7:N45,$N$7:N45&lt;&gt;"",""),
    _xlpm.avgJ,IF(COUNTA(_xlpm.vals)=0,0,AVERAGE(_xlfn.TAKE(_xlpm.vals,-MIN(7,ROWS(_xlpm.vals))))),
    _xlpm.addship,IF(R46="",0,R46),
    IF(
        AND(K45="",K46=""),
        S45-_xlpm.avgJ+_xlpm.addship,
        IF(
            K46="",
            K45-_xlpm.avgJ+_xlpm.addship,
            ""
        )
    )
),K46)</f>
        <v>1955058</v>
      </c>
      <c r="T46" s="29" t="str">
        <f t="shared" si="2"/>
        <v>Petrol over capacity | Diesel over capacity</v>
      </c>
      <c r="AC46" s="5">
        <f t="shared" si="3"/>
        <v>16085</v>
      </c>
      <c r="AD46" s="5">
        <f t="shared" si="4"/>
        <v>325936</v>
      </c>
      <c r="AE46" s="5">
        <f t="shared" si="5"/>
        <v>72571</v>
      </c>
      <c r="AF46" s="5">
        <f t="shared" si="6"/>
        <v>1832778</v>
      </c>
    </row>
    <row r="47" spans="2:32" s="12" customFormat="1" ht="18" customHeight="1" x14ac:dyDescent="0.25">
      <c r="B47" s="29"/>
      <c r="F47" s="29"/>
      <c r="H47" s="25">
        <f t="shared" si="8"/>
        <v>46138</v>
      </c>
      <c r="I47" s="34"/>
      <c r="J47" s="34"/>
      <c r="K47" s="34"/>
      <c r="L47" s="34"/>
      <c r="M47" s="34"/>
      <c r="N47" s="41">
        <f t="shared" si="7"/>
        <v>0</v>
      </c>
      <c r="P47" s="35" t="str">
        <f t="shared" si="0"/>
        <v/>
      </c>
      <c r="Q47" s="35" cm="1">
        <f t="array" ref="Q47">IF(I47="",_xlfn.LET(
    _xlpm.vals,_xlfn._xlws.FILTER($J$7:J46,$J$7:J46&lt;&gt;"",""),
    _xlpm.avgJ,IF(COUNTA(_xlpm.vals)=0,0,AVERAGE(_xlfn.TAKE(_xlpm.vals,-MIN(7,ROWS(_xlpm.vals))))),
    _xlpm.addship,IF(P47="",0,P47),
    IF(
        AND(I46="",I47=""),
        Q46-_xlpm.avgJ+_xlpm.addship,
        IF(
            I47="",
            I46-_xlpm.avgJ+_xlpm.addship,
            ""
        )
    )
),I47)</f>
        <v>637732</v>
      </c>
      <c r="R47" s="35" t="str">
        <f t="shared" si="1"/>
        <v/>
      </c>
      <c r="S47" s="35" cm="1">
        <f t="array" ref="S47">IF(K47="",_xlfn.LET(
    _xlpm.vals,_xlfn._xlws.FILTER($N$7:N46,$N$7:N46&lt;&gt;"",""),
    _xlpm.avgJ,IF(COUNTA(_xlpm.vals)=0,0,AVERAGE(_xlfn.TAKE(_xlpm.vals,-MIN(7,ROWS(_xlpm.vals))))),
    _xlpm.addship,IF(R47="",0,R47),
    IF(
        AND(K46="",K47=""),
        S46-_xlpm.avgJ+_xlpm.addship,
        IF(
            K47="",
            K46-_xlpm.avgJ+_xlpm.addship,
            ""
        )
    )
),K47)</f>
        <v>1955058</v>
      </c>
      <c r="T47" s="29" t="str">
        <f t="shared" si="2"/>
        <v>Petrol over capacity | Diesel over capacity</v>
      </c>
      <c r="AC47" s="5">
        <f t="shared" si="3"/>
        <v>16085</v>
      </c>
      <c r="AD47" s="5">
        <f t="shared" si="4"/>
        <v>325936</v>
      </c>
      <c r="AE47" s="5">
        <f t="shared" si="5"/>
        <v>72571</v>
      </c>
      <c r="AF47" s="5">
        <f t="shared" si="6"/>
        <v>1832778</v>
      </c>
    </row>
    <row r="48" spans="2:32" s="12" customFormat="1" ht="18" customHeight="1" x14ac:dyDescent="0.25">
      <c r="B48" s="29"/>
      <c r="F48" s="29"/>
      <c r="H48" s="25">
        <f t="shared" si="8"/>
        <v>46139</v>
      </c>
      <c r="I48" s="34"/>
      <c r="J48" s="34"/>
      <c r="K48" s="34"/>
      <c r="L48" s="34"/>
      <c r="M48" s="34"/>
      <c r="N48" s="41">
        <f t="shared" si="7"/>
        <v>0</v>
      </c>
      <c r="P48" s="35" t="str">
        <f t="shared" si="0"/>
        <v/>
      </c>
      <c r="Q48" s="35" cm="1">
        <f t="array" ref="Q48">IF(I48="",_xlfn.LET(
    _xlpm.vals,_xlfn._xlws.FILTER($J$7:J47,$J$7:J47&lt;&gt;"",""),
    _xlpm.avgJ,IF(COUNTA(_xlpm.vals)=0,0,AVERAGE(_xlfn.TAKE(_xlpm.vals,-MIN(7,ROWS(_xlpm.vals))))),
    _xlpm.addship,IF(P48="",0,P48),
    IF(
        AND(I47="",I48=""),
        Q47-_xlpm.avgJ+_xlpm.addship,
        IF(
            I48="",
            I47-_xlpm.avgJ+_xlpm.addship,
            ""
        )
    )
),I48)</f>
        <v>629532</v>
      </c>
      <c r="R48" s="35" t="str">
        <f t="shared" si="1"/>
        <v/>
      </c>
      <c r="S48" s="35" cm="1">
        <f t="array" ref="S48">IF(K48="",_xlfn.LET(
    _xlpm.vals,_xlfn._xlws.FILTER($N$7:N47,$N$7:N47&lt;&gt;"",""),
    _xlpm.avgJ,IF(COUNTA(_xlpm.vals)=0,0,AVERAGE(_xlfn.TAKE(_xlpm.vals,-MIN(7,ROWS(_xlpm.vals))))),
    _xlpm.addship,IF(R48="",0,R48),
    IF(
        AND(K47="",K48=""),
        S47-_xlpm.avgJ+_xlpm.addship,
        IF(
            K48="",
            K47-_xlpm.avgJ+_xlpm.addship,
            ""
        )
    )
),K48)</f>
        <v>1955058</v>
      </c>
      <c r="T48" s="29" t="str">
        <f t="shared" si="2"/>
        <v>Petrol over capacity | Diesel over capacity</v>
      </c>
      <c r="AC48" s="5">
        <f t="shared" si="3"/>
        <v>16085</v>
      </c>
      <c r="AD48" s="5">
        <f t="shared" si="4"/>
        <v>325936</v>
      </c>
      <c r="AE48" s="5">
        <f t="shared" si="5"/>
        <v>72571</v>
      </c>
      <c r="AF48" s="5">
        <f t="shared" si="6"/>
        <v>1832778</v>
      </c>
    </row>
    <row r="49" spans="2:32" s="12" customFormat="1" ht="18" customHeight="1" x14ac:dyDescent="0.25">
      <c r="B49" s="29"/>
      <c r="F49" s="29"/>
      <c r="H49" s="25">
        <f t="shared" si="8"/>
        <v>46140</v>
      </c>
      <c r="I49" s="34"/>
      <c r="J49" s="34"/>
      <c r="K49" s="34"/>
      <c r="L49" s="34"/>
      <c r="M49" s="34"/>
      <c r="N49" s="41">
        <f t="shared" si="7"/>
        <v>0</v>
      </c>
      <c r="P49" s="35" t="str">
        <f t="shared" si="0"/>
        <v/>
      </c>
      <c r="Q49" s="35" cm="1">
        <f t="array" ref="Q49">IF(I49="",_xlfn.LET(
    _xlpm.vals,_xlfn._xlws.FILTER($J$7:J48,$J$7:J48&lt;&gt;"",""),
    _xlpm.avgJ,IF(COUNTA(_xlpm.vals)=0,0,AVERAGE(_xlfn.TAKE(_xlpm.vals,-MIN(7,ROWS(_xlpm.vals))))),
    _xlpm.addship,IF(P49="",0,P49),
    IF(
        AND(I48="",I49=""),
        Q48-_xlpm.avgJ+_xlpm.addship,
        IF(
            I49="",
            I48-_xlpm.avgJ+_xlpm.addship,
            ""
        )
    )
),I49)</f>
        <v>621332</v>
      </c>
      <c r="R49" s="35" t="str">
        <f t="shared" si="1"/>
        <v/>
      </c>
      <c r="S49" s="35" cm="1">
        <f t="array" ref="S49">IF(K49="",_xlfn.LET(
    _xlpm.vals,_xlfn._xlws.FILTER($N$7:N48,$N$7:N48&lt;&gt;"",""),
    _xlpm.avgJ,IF(COUNTA(_xlpm.vals)=0,0,AVERAGE(_xlfn.TAKE(_xlpm.vals,-MIN(7,ROWS(_xlpm.vals))))),
    _xlpm.addship,IF(R49="",0,R49),
    IF(
        AND(K48="",K49=""),
        S48-_xlpm.avgJ+_xlpm.addship,
        IF(
            K49="",
            K48-_xlpm.avgJ+_xlpm.addship,
            ""
        )
    )
),K49)</f>
        <v>1955058</v>
      </c>
      <c r="T49" s="29" t="str">
        <f t="shared" si="2"/>
        <v>Petrol over capacity | Diesel over capacity</v>
      </c>
      <c r="AC49" s="5">
        <f t="shared" si="3"/>
        <v>16085</v>
      </c>
      <c r="AD49" s="5">
        <f t="shared" si="4"/>
        <v>325936</v>
      </c>
      <c r="AE49" s="5">
        <f t="shared" si="5"/>
        <v>72571</v>
      </c>
      <c r="AF49" s="5">
        <f t="shared" si="6"/>
        <v>1832778</v>
      </c>
    </row>
    <row r="50" spans="2:32" s="12" customFormat="1" ht="18" customHeight="1" x14ac:dyDescent="0.25">
      <c r="B50" s="29"/>
      <c r="F50" s="29"/>
      <c r="H50" s="25">
        <f t="shared" si="8"/>
        <v>46141</v>
      </c>
      <c r="I50" s="34"/>
      <c r="J50" s="34"/>
      <c r="K50" s="34"/>
      <c r="L50" s="34"/>
      <c r="M50" s="34"/>
      <c r="N50" s="41">
        <f t="shared" si="7"/>
        <v>0</v>
      </c>
      <c r="P50" s="35" t="str">
        <f t="shared" si="0"/>
        <v/>
      </c>
      <c r="Q50" s="35" cm="1">
        <f t="array" ref="Q50">IF(I50="",_xlfn.LET(
    _xlpm.vals,_xlfn._xlws.FILTER($J$7:J49,$J$7:J49&lt;&gt;"",""),
    _xlpm.avgJ,IF(COUNTA(_xlpm.vals)=0,0,AVERAGE(_xlfn.TAKE(_xlpm.vals,-MIN(7,ROWS(_xlpm.vals))))),
    _xlpm.addship,IF(P50="",0,P50),
    IF(
        AND(I49="",I50=""),
        Q49-_xlpm.avgJ+_xlpm.addship,
        IF(
            I50="",
            I49-_xlpm.avgJ+_xlpm.addship,
            ""
        )
    )
),I50)</f>
        <v>613132</v>
      </c>
      <c r="R50" s="35" t="str">
        <f t="shared" si="1"/>
        <v/>
      </c>
      <c r="S50" s="35" cm="1">
        <f t="array" ref="S50">IF(K50="",_xlfn.LET(
    _xlpm.vals,_xlfn._xlws.FILTER($N$7:N49,$N$7:N49&lt;&gt;"",""),
    _xlpm.avgJ,IF(COUNTA(_xlpm.vals)=0,0,AVERAGE(_xlfn.TAKE(_xlpm.vals,-MIN(7,ROWS(_xlpm.vals))))),
    _xlpm.addship,IF(R50="",0,R50),
    IF(
        AND(K49="",K50=""),
        S49-_xlpm.avgJ+_xlpm.addship,
        IF(
            K50="",
            K49-_xlpm.avgJ+_xlpm.addship,
            ""
        )
    )
),K50)</f>
        <v>1955058</v>
      </c>
      <c r="T50" s="29" t="str">
        <f t="shared" si="2"/>
        <v>Petrol over capacity | Diesel over capacity</v>
      </c>
      <c r="AC50" s="5">
        <f t="shared" si="3"/>
        <v>16085</v>
      </c>
      <c r="AD50" s="5">
        <f t="shared" si="4"/>
        <v>325936</v>
      </c>
      <c r="AE50" s="5">
        <f t="shared" si="5"/>
        <v>72571</v>
      </c>
      <c r="AF50" s="5">
        <f t="shared" si="6"/>
        <v>1832778</v>
      </c>
    </row>
    <row r="51" spans="2:32" s="12" customFormat="1" ht="18" customHeight="1" x14ac:dyDescent="0.25">
      <c r="B51" s="29"/>
      <c r="F51" s="29"/>
      <c r="H51" s="25">
        <f t="shared" si="8"/>
        <v>46142</v>
      </c>
      <c r="I51" s="34"/>
      <c r="J51" s="34"/>
      <c r="K51" s="34"/>
      <c r="L51" s="34"/>
      <c r="M51" s="34"/>
      <c r="N51" s="41">
        <f t="shared" si="7"/>
        <v>0</v>
      </c>
      <c r="P51" s="35" t="str">
        <f t="shared" si="0"/>
        <v/>
      </c>
      <c r="Q51" s="35" cm="1">
        <f t="array" ref="Q51">IF(I51="",_xlfn.LET(
    _xlpm.vals,_xlfn._xlws.FILTER($J$7:J50,$J$7:J50&lt;&gt;"",""),
    _xlpm.avgJ,IF(COUNTA(_xlpm.vals)=0,0,AVERAGE(_xlfn.TAKE(_xlpm.vals,-MIN(7,ROWS(_xlpm.vals))))),
    _xlpm.addship,IF(P51="",0,P51),
    IF(
        AND(I50="",I51=""),
        Q50-_xlpm.avgJ+_xlpm.addship,
        IF(
            I51="",
            I50-_xlpm.avgJ+_xlpm.addship,
            ""
        )
    )
),I51)</f>
        <v>604932</v>
      </c>
      <c r="R51" s="35" t="str">
        <f t="shared" si="1"/>
        <v/>
      </c>
      <c r="S51" s="35" cm="1">
        <f t="array" ref="S51">IF(K51="",_xlfn.LET(
    _xlpm.vals,_xlfn._xlws.FILTER($N$7:N50,$N$7:N50&lt;&gt;"",""),
    _xlpm.avgJ,IF(COUNTA(_xlpm.vals)=0,0,AVERAGE(_xlfn.TAKE(_xlpm.vals,-MIN(7,ROWS(_xlpm.vals))))),
    _xlpm.addship,IF(R51="",0,R51),
    IF(
        AND(K50="",K51=""),
        S50-_xlpm.avgJ+_xlpm.addship,
        IF(
            K51="",
            K50-_xlpm.avgJ+_xlpm.addship,
            ""
        )
    )
),K51)</f>
        <v>1955058</v>
      </c>
      <c r="T51" s="29" t="str">
        <f t="shared" si="2"/>
        <v>Petrol over capacity | Diesel over capacity</v>
      </c>
      <c r="AC51" s="5">
        <f t="shared" si="3"/>
        <v>16085</v>
      </c>
      <c r="AD51" s="5">
        <f t="shared" si="4"/>
        <v>325936</v>
      </c>
      <c r="AE51" s="5">
        <f t="shared" si="5"/>
        <v>72571</v>
      </c>
      <c r="AF51" s="5">
        <f t="shared" si="6"/>
        <v>1832778</v>
      </c>
    </row>
    <row r="52" spans="2:32" s="12" customFormat="1" ht="18" customHeight="1" x14ac:dyDescent="0.25">
      <c r="B52" s="29"/>
      <c r="F52" s="29"/>
      <c r="H52" s="25">
        <f t="shared" si="8"/>
        <v>46143</v>
      </c>
      <c r="I52" s="34"/>
      <c r="J52" s="34"/>
      <c r="K52" s="34"/>
      <c r="L52" s="34"/>
      <c r="M52" s="34"/>
      <c r="N52" s="41">
        <f t="shared" si="7"/>
        <v>0</v>
      </c>
      <c r="P52" s="35" t="str">
        <f t="shared" si="0"/>
        <v/>
      </c>
      <c r="Q52" s="35" cm="1">
        <f t="array" ref="Q52">IF(I52="",_xlfn.LET(
    _xlpm.vals,_xlfn._xlws.FILTER($J$7:J51,$J$7:J51&lt;&gt;"",""),
    _xlpm.avgJ,IF(COUNTA(_xlpm.vals)=0,0,AVERAGE(_xlfn.TAKE(_xlpm.vals,-MIN(7,ROWS(_xlpm.vals))))),
    _xlpm.addship,IF(P52="",0,P52),
    IF(
        AND(I51="",I52=""),
        Q51-_xlpm.avgJ+_xlpm.addship,
        IF(
            I52="",
            I51-_xlpm.avgJ+_xlpm.addship,
            ""
        )
    )
),I52)</f>
        <v>596732</v>
      </c>
      <c r="R52" s="35" t="str">
        <f t="shared" si="1"/>
        <v/>
      </c>
      <c r="S52" s="35" cm="1">
        <f t="array" ref="S52">IF(K52="",_xlfn.LET(
    _xlpm.vals,_xlfn._xlws.FILTER($N$7:N51,$N$7:N51&lt;&gt;"",""),
    _xlpm.avgJ,IF(COUNTA(_xlpm.vals)=0,0,AVERAGE(_xlfn.TAKE(_xlpm.vals,-MIN(7,ROWS(_xlpm.vals))))),
    _xlpm.addship,IF(R52="",0,R52),
    IF(
        AND(K51="",K52=""),
        S51-_xlpm.avgJ+_xlpm.addship,
        IF(
            K52="",
            K51-_xlpm.avgJ+_xlpm.addship,
            ""
        )
    )
),K52)</f>
        <v>1955058</v>
      </c>
      <c r="T52" s="29" t="str">
        <f t="shared" si="2"/>
        <v>Petrol over capacity | Diesel over capacity</v>
      </c>
      <c r="AC52" s="5">
        <f t="shared" si="3"/>
        <v>16085</v>
      </c>
      <c r="AD52" s="5">
        <f t="shared" si="4"/>
        <v>325936</v>
      </c>
      <c r="AE52" s="5">
        <f t="shared" si="5"/>
        <v>72571</v>
      </c>
      <c r="AF52" s="5">
        <f t="shared" si="6"/>
        <v>1832778</v>
      </c>
    </row>
    <row r="53" spans="2:32" s="12" customFormat="1" ht="18" customHeight="1" x14ac:dyDescent="0.25">
      <c r="B53" s="29"/>
      <c r="F53" s="29"/>
      <c r="H53" s="25">
        <f t="shared" si="8"/>
        <v>46144</v>
      </c>
      <c r="I53" s="34"/>
      <c r="J53" s="34"/>
      <c r="K53" s="34"/>
      <c r="L53" s="34"/>
      <c r="M53" s="34"/>
      <c r="N53" s="41">
        <f t="shared" si="7"/>
        <v>0</v>
      </c>
      <c r="P53" s="35" t="str">
        <f t="shared" si="0"/>
        <v/>
      </c>
      <c r="Q53" s="35" cm="1">
        <f t="array" ref="Q53">IF(I53="",_xlfn.LET(
    _xlpm.vals,_xlfn._xlws.FILTER($J$7:J52,$J$7:J52&lt;&gt;"",""),
    _xlpm.avgJ,IF(COUNTA(_xlpm.vals)=0,0,AVERAGE(_xlfn.TAKE(_xlpm.vals,-MIN(7,ROWS(_xlpm.vals))))),
    _xlpm.addship,IF(P53="",0,P53),
    IF(
        AND(I52="",I53=""),
        Q52-_xlpm.avgJ+_xlpm.addship,
        IF(
            I53="",
            I52-_xlpm.avgJ+_xlpm.addship,
            ""
        )
    )
),I53)</f>
        <v>588532</v>
      </c>
      <c r="R53" s="35" t="str">
        <f t="shared" si="1"/>
        <v/>
      </c>
      <c r="S53" s="35" cm="1">
        <f t="array" ref="S53">IF(K53="",_xlfn.LET(
    _xlpm.vals,_xlfn._xlws.FILTER($N$7:N52,$N$7:N52&lt;&gt;"",""),
    _xlpm.avgJ,IF(COUNTA(_xlpm.vals)=0,0,AVERAGE(_xlfn.TAKE(_xlpm.vals,-MIN(7,ROWS(_xlpm.vals))))),
    _xlpm.addship,IF(R53="",0,R53),
    IF(
        AND(K52="",K53=""),
        S52-_xlpm.avgJ+_xlpm.addship,
        IF(
            K53="",
            K52-_xlpm.avgJ+_xlpm.addship,
            ""
        )
    )
),K53)</f>
        <v>1955058</v>
      </c>
      <c r="T53" s="29" t="str">
        <f t="shared" si="2"/>
        <v>Petrol over capacity | Diesel over capacity</v>
      </c>
      <c r="AC53" s="5">
        <f t="shared" si="3"/>
        <v>16085</v>
      </c>
      <c r="AD53" s="5">
        <f t="shared" si="4"/>
        <v>325936</v>
      </c>
      <c r="AE53" s="5">
        <f t="shared" si="5"/>
        <v>72571</v>
      </c>
      <c r="AF53" s="5">
        <f t="shared" si="6"/>
        <v>1832778</v>
      </c>
    </row>
    <row r="54" spans="2:32" s="12" customFormat="1" ht="18" customHeight="1" x14ac:dyDescent="0.25">
      <c r="B54" s="29"/>
      <c r="F54" s="29"/>
      <c r="H54" s="25">
        <f t="shared" si="8"/>
        <v>46145</v>
      </c>
      <c r="I54" s="34"/>
      <c r="J54" s="34"/>
      <c r="K54" s="34"/>
      <c r="L54" s="34"/>
      <c r="M54" s="34"/>
      <c r="N54" s="41">
        <f t="shared" si="7"/>
        <v>0</v>
      </c>
      <c r="P54" s="35" t="str">
        <f t="shared" si="0"/>
        <v/>
      </c>
      <c r="Q54" s="35" cm="1">
        <f t="array" ref="Q54">IF(I54="",_xlfn.LET(
    _xlpm.vals,_xlfn._xlws.FILTER($J$7:J53,$J$7:J53&lt;&gt;"",""),
    _xlpm.avgJ,IF(COUNTA(_xlpm.vals)=0,0,AVERAGE(_xlfn.TAKE(_xlpm.vals,-MIN(7,ROWS(_xlpm.vals))))),
    _xlpm.addship,IF(P54="",0,P54),
    IF(
        AND(I53="",I54=""),
        Q53-_xlpm.avgJ+_xlpm.addship,
        IF(
            I54="",
            I53-_xlpm.avgJ+_xlpm.addship,
            ""
        )
    )
),I54)</f>
        <v>580332</v>
      </c>
      <c r="R54" s="35" t="str">
        <f t="shared" si="1"/>
        <v/>
      </c>
      <c r="S54" s="35" cm="1">
        <f t="array" ref="S54">IF(K54="",_xlfn.LET(
    _xlpm.vals,_xlfn._xlws.FILTER($N$7:N53,$N$7:N53&lt;&gt;"",""),
    _xlpm.avgJ,IF(COUNTA(_xlpm.vals)=0,0,AVERAGE(_xlfn.TAKE(_xlpm.vals,-MIN(7,ROWS(_xlpm.vals))))),
    _xlpm.addship,IF(R54="",0,R54),
    IF(
        AND(K53="",K54=""),
        S53-_xlpm.avgJ+_xlpm.addship,
        IF(
            K54="",
            K53-_xlpm.avgJ+_xlpm.addship,
            ""
        )
    )
),K54)</f>
        <v>1955058</v>
      </c>
      <c r="T54" s="29" t="str">
        <f t="shared" si="2"/>
        <v>Petrol over capacity | Diesel over capacity</v>
      </c>
      <c r="AC54" s="5">
        <f t="shared" si="3"/>
        <v>16085</v>
      </c>
      <c r="AD54" s="5">
        <f t="shared" si="4"/>
        <v>325936</v>
      </c>
      <c r="AE54" s="5">
        <f t="shared" si="5"/>
        <v>72571</v>
      </c>
      <c r="AF54" s="5">
        <f t="shared" si="6"/>
        <v>1832778</v>
      </c>
    </row>
    <row r="55" spans="2:32" s="12" customFormat="1" ht="18" customHeight="1" x14ac:dyDescent="0.25">
      <c r="B55" s="29"/>
      <c r="F55" s="29"/>
      <c r="H55" s="25">
        <f t="shared" si="8"/>
        <v>46146</v>
      </c>
      <c r="I55" s="34"/>
      <c r="J55" s="34"/>
      <c r="K55" s="34"/>
      <c r="L55" s="34"/>
      <c r="M55" s="34"/>
      <c r="N55" s="41">
        <f t="shared" si="7"/>
        <v>0</v>
      </c>
      <c r="P55" s="35" t="str">
        <f t="shared" si="0"/>
        <v/>
      </c>
      <c r="Q55" s="35" cm="1">
        <f t="array" ref="Q55">IF(I55="",_xlfn.LET(
    _xlpm.vals,_xlfn._xlws.FILTER($J$7:J54,$J$7:J54&lt;&gt;"",""),
    _xlpm.avgJ,IF(COUNTA(_xlpm.vals)=0,0,AVERAGE(_xlfn.TAKE(_xlpm.vals,-MIN(7,ROWS(_xlpm.vals))))),
    _xlpm.addship,IF(P55="",0,P55),
    IF(
        AND(I54="",I55=""),
        Q54-_xlpm.avgJ+_xlpm.addship,
        IF(
            I55="",
            I54-_xlpm.avgJ+_xlpm.addship,
            ""
        )
    )
),I55)</f>
        <v>572132</v>
      </c>
      <c r="R55" s="35" t="str">
        <f t="shared" si="1"/>
        <v/>
      </c>
      <c r="S55" s="35" cm="1">
        <f t="array" ref="S55">IF(K55="",_xlfn.LET(
    _xlpm.vals,_xlfn._xlws.FILTER($N$7:N54,$N$7:N54&lt;&gt;"",""),
    _xlpm.avgJ,IF(COUNTA(_xlpm.vals)=0,0,AVERAGE(_xlfn.TAKE(_xlpm.vals,-MIN(7,ROWS(_xlpm.vals))))),
    _xlpm.addship,IF(R55="",0,R55),
    IF(
        AND(K54="",K55=""),
        S54-_xlpm.avgJ+_xlpm.addship,
        IF(
            K55="",
            K54-_xlpm.avgJ+_xlpm.addship,
            ""
        )
    )
),K55)</f>
        <v>1955058</v>
      </c>
      <c r="T55" s="29" t="str">
        <f t="shared" si="2"/>
        <v>Petrol over capacity | Diesel over capacity</v>
      </c>
      <c r="AC55" s="5">
        <f t="shared" si="3"/>
        <v>16085</v>
      </c>
      <c r="AD55" s="5">
        <f t="shared" si="4"/>
        <v>325936</v>
      </c>
      <c r="AE55" s="5">
        <f t="shared" si="5"/>
        <v>72571</v>
      </c>
      <c r="AF55" s="5">
        <f t="shared" si="6"/>
        <v>1832778</v>
      </c>
    </row>
    <row r="56" spans="2:32" s="12" customFormat="1" ht="18" customHeight="1" x14ac:dyDescent="0.25">
      <c r="B56" s="29"/>
      <c r="F56" s="29"/>
      <c r="H56" s="25">
        <f t="shared" si="8"/>
        <v>46147</v>
      </c>
      <c r="I56" s="34"/>
      <c r="J56" s="34"/>
      <c r="K56" s="34"/>
      <c r="L56" s="34"/>
      <c r="M56" s="34"/>
      <c r="N56" s="41">
        <f t="shared" si="7"/>
        <v>0</v>
      </c>
      <c r="P56" s="35" t="str">
        <f t="shared" si="0"/>
        <v/>
      </c>
      <c r="Q56" s="35" cm="1">
        <f t="array" ref="Q56">IF(I56="",_xlfn.LET(
    _xlpm.vals,_xlfn._xlws.FILTER($J$7:J55,$J$7:J55&lt;&gt;"",""),
    _xlpm.avgJ,IF(COUNTA(_xlpm.vals)=0,0,AVERAGE(_xlfn.TAKE(_xlpm.vals,-MIN(7,ROWS(_xlpm.vals))))),
    _xlpm.addship,IF(P56="",0,P56),
    IF(
        AND(I55="",I56=""),
        Q55-_xlpm.avgJ+_xlpm.addship,
        IF(
            I56="",
            I55-_xlpm.avgJ+_xlpm.addship,
            ""
        )
    )
),I56)</f>
        <v>563932</v>
      </c>
      <c r="R56" s="35" t="str">
        <f t="shared" si="1"/>
        <v/>
      </c>
      <c r="S56" s="35" cm="1">
        <f t="array" ref="S56">IF(K56="",_xlfn.LET(
    _xlpm.vals,_xlfn._xlws.FILTER($N$7:N55,$N$7:N55&lt;&gt;"",""),
    _xlpm.avgJ,IF(COUNTA(_xlpm.vals)=0,0,AVERAGE(_xlfn.TAKE(_xlpm.vals,-MIN(7,ROWS(_xlpm.vals))))),
    _xlpm.addship,IF(R56="",0,R56),
    IF(
        AND(K55="",K56=""),
        S55-_xlpm.avgJ+_xlpm.addship,
        IF(
            K56="",
            K55-_xlpm.avgJ+_xlpm.addship,
            ""
        )
    )
),K56)</f>
        <v>1955058</v>
      </c>
      <c r="T56" s="29" t="str">
        <f t="shared" si="2"/>
        <v>Petrol over capacity | Diesel over capacity</v>
      </c>
      <c r="AC56" s="5">
        <f t="shared" si="3"/>
        <v>16085</v>
      </c>
      <c r="AD56" s="5">
        <f t="shared" si="4"/>
        <v>325936</v>
      </c>
      <c r="AE56" s="5">
        <f t="shared" si="5"/>
        <v>72571</v>
      </c>
      <c r="AF56" s="5">
        <f t="shared" si="6"/>
        <v>1832778</v>
      </c>
    </row>
    <row r="57" spans="2:32" s="12" customFormat="1" ht="18" customHeight="1" x14ac:dyDescent="0.25">
      <c r="B57" s="29"/>
      <c r="F57" s="29"/>
      <c r="H57" s="25">
        <f t="shared" si="8"/>
        <v>46148</v>
      </c>
      <c r="I57" s="34"/>
      <c r="J57" s="34"/>
      <c r="K57" s="34"/>
      <c r="L57" s="34"/>
      <c r="M57" s="34"/>
      <c r="N57" s="41">
        <f t="shared" si="7"/>
        <v>0</v>
      </c>
      <c r="P57" s="35" t="str">
        <f t="shared" si="0"/>
        <v/>
      </c>
      <c r="Q57" s="35" cm="1">
        <f t="array" ref="Q57">IF(I57="",_xlfn.LET(
    _xlpm.vals,_xlfn._xlws.FILTER($J$7:J56,$J$7:J56&lt;&gt;"",""),
    _xlpm.avgJ,IF(COUNTA(_xlpm.vals)=0,0,AVERAGE(_xlfn.TAKE(_xlpm.vals,-MIN(7,ROWS(_xlpm.vals))))),
    _xlpm.addship,IF(P57="",0,P57),
    IF(
        AND(I56="",I57=""),
        Q56-_xlpm.avgJ+_xlpm.addship,
        IF(
            I57="",
            I56-_xlpm.avgJ+_xlpm.addship,
            ""
        )
    )
),I57)</f>
        <v>555732</v>
      </c>
      <c r="R57" s="35" t="str">
        <f t="shared" si="1"/>
        <v/>
      </c>
      <c r="S57" s="35" cm="1">
        <f t="array" ref="S57">IF(K57="",_xlfn.LET(
    _xlpm.vals,_xlfn._xlws.FILTER($N$7:N56,$N$7:N56&lt;&gt;"",""),
    _xlpm.avgJ,IF(COUNTA(_xlpm.vals)=0,0,AVERAGE(_xlfn.TAKE(_xlpm.vals,-MIN(7,ROWS(_xlpm.vals))))),
    _xlpm.addship,IF(R57="",0,R57),
    IF(
        AND(K56="",K57=""),
        S56-_xlpm.avgJ+_xlpm.addship,
        IF(
            K57="",
            K56-_xlpm.avgJ+_xlpm.addship,
            ""
        )
    )
),K57)</f>
        <v>1955058</v>
      </c>
      <c r="T57" s="29" t="str">
        <f t="shared" si="2"/>
        <v>Petrol over capacity | Diesel over capacity</v>
      </c>
      <c r="AC57" s="5">
        <f t="shared" si="3"/>
        <v>16085</v>
      </c>
      <c r="AD57" s="5">
        <f t="shared" si="4"/>
        <v>325936</v>
      </c>
      <c r="AE57" s="5">
        <f t="shared" si="5"/>
        <v>72571</v>
      </c>
      <c r="AF57" s="5">
        <f t="shared" si="6"/>
        <v>1832778</v>
      </c>
    </row>
    <row r="58" spans="2:32" s="12" customFormat="1" ht="18" customHeight="1" x14ac:dyDescent="0.25">
      <c r="B58" s="29"/>
      <c r="F58" s="29"/>
      <c r="H58" s="25">
        <f t="shared" si="8"/>
        <v>46149</v>
      </c>
      <c r="I58" s="34"/>
      <c r="J58" s="34"/>
      <c r="K58" s="34"/>
      <c r="L58" s="34"/>
      <c r="M58" s="34"/>
      <c r="N58" s="41">
        <f t="shared" si="7"/>
        <v>0</v>
      </c>
      <c r="P58" s="35" t="str">
        <f t="shared" si="0"/>
        <v/>
      </c>
      <c r="Q58" s="35" cm="1">
        <f t="array" ref="Q58">IF(I58="",_xlfn.LET(
    _xlpm.vals,_xlfn._xlws.FILTER($J$7:J57,$J$7:J57&lt;&gt;"",""),
    _xlpm.avgJ,IF(COUNTA(_xlpm.vals)=0,0,AVERAGE(_xlfn.TAKE(_xlpm.vals,-MIN(7,ROWS(_xlpm.vals))))),
    _xlpm.addship,IF(P58="",0,P58),
    IF(
        AND(I57="",I58=""),
        Q57-_xlpm.avgJ+_xlpm.addship,
        IF(
            I58="",
            I57-_xlpm.avgJ+_xlpm.addship,
            ""
        )
    )
),I58)</f>
        <v>547532</v>
      </c>
      <c r="R58" s="35" t="str">
        <f t="shared" si="1"/>
        <v/>
      </c>
      <c r="S58" s="35" cm="1">
        <f t="array" ref="S58">IF(K58="",_xlfn.LET(
    _xlpm.vals,_xlfn._xlws.FILTER($N$7:N57,$N$7:N57&lt;&gt;"",""),
    _xlpm.avgJ,IF(COUNTA(_xlpm.vals)=0,0,AVERAGE(_xlfn.TAKE(_xlpm.vals,-MIN(7,ROWS(_xlpm.vals))))),
    _xlpm.addship,IF(R58="",0,R58),
    IF(
        AND(K57="",K58=""),
        S57-_xlpm.avgJ+_xlpm.addship,
        IF(
            K58="",
            K57-_xlpm.avgJ+_xlpm.addship,
            ""
        )
    )
),K58)</f>
        <v>1955058</v>
      </c>
      <c r="T58" s="29" t="str">
        <f t="shared" si="2"/>
        <v>Petrol over capacity | Diesel over capacity</v>
      </c>
      <c r="AC58" s="5">
        <f t="shared" si="3"/>
        <v>16085</v>
      </c>
      <c r="AD58" s="5">
        <f t="shared" si="4"/>
        <v>325936</v>
      </c>
      <c r="AE58" s="5">
        <f t="shared" si="5"/>
        <v>72571</v>
      </c>
      <c r="AF58" s="5">
        <f t="shared" si="6"/>
        <v>1832778</v>
      </c>
    </row>
    <row r="59" spans="2:32" s="12" customFormat="1" ht="18" customHeight="1" x14ac:dyDescent="0.25">
      <c r="B59" s="29"/>
      <c r="F59" s="29"/>
      <c r="H59" s="25">
        <f t="shared" si="8"/>
        <v>46150</v>
      </c>
      <c r="I59" s="34"/>
      <c r="J59" s="34"/>
      <c r="K59" s="34"/>
      <c r="L59" s="34"/>
      <c r="M59" s="34"/>
      <c r="N59" s="41">
        <f t="shared" si="7"/>
        <v>0</v>
      </c>
      <c r="P59" s="35" t="str">
        <f t="shared" si="0"/>
        <v/>
      </c>
      <c r="Q59" s="35" cm="1">
        <f t="array" ref="Q59">IF(I59="",_xlfn.LET(
    _xlpm.vals,_xlfn._xlws.FILTER($J$7:J58,$J$7:J58&lt;&gt;"",""),
    _xlpm.avgJ,IF(COUNTA(_xlpm.vals)=0,0,AVERAGE(_xlfn.TAKE(_xlpm.vals,-MIN(7,ROWS(_xlpm.vals))))),
    _xlpm.addship,IF(P59="",0,P59),
    IF(
        AND(I58="",I59=""),
        Q58-_xlpm.avgJ+_xlpm.addship,
        IF(
            I59="",
            I58-_xlpm.avgJ+_xlpm.addship,
            ""
        )
    )
),I59)</f>
        <v>539332</v>
      </c>
      <c r="R59" s="35" t="str">
        <f t="shared" si="1"/>
        <v/>
      </c>
      <c r="S59" s="35" cm="1">
        <f t="array" ref="S59">IF(K59="",_xlfn.LET(
    _xlpm.vals,_xlfn._xlws.FILTER($N$7:N58,$N$7:N58&lt;&gt;"",""),
    _xlpm.avgJ,IF(COUNTA(_xlpm.vals)=0,0,AVERAGE(_xlfn.TAKE(_xlpm.vals,-MIN(7,ROWS(_xlpm.vals))))),
    _xlpm.addship,IF(R59="",0,R59),
    IF(
        AND(K58="",K59=""),
        S58-_xlpm.avgJ+_xlpm.addship,
        IF(
            K59="",
            K58-_xlpm.avgJ+_xlpm.addship,
            ""
        )
    )
),K59)</f>
        <v>1955058</v>
      </c>
      <c r="T59" s="29" t="str">
        <f t="shared" si="2"/>
        <v>Petrol over capacity | Diesel over capacity</v>
      </c>
      <c r="AC59" s="5">
        <f t="shared" si="3"/>
        <v>16085</v>
      </c>
      <c r="AD59" s="5">
        <f t="shared" si="4"/>
        <v>325936</v>
      </c>
      <c r="AE59" s="5">
        <f t="shared" si="5"/>
        <v>72571</v>
      </c>
      <c r="AF59" s="5">
        <f t="shared" si="6"/>
        <v>1832778</v>
      </c>
    </row>
    <row r="60" spans="2:32" s="12" customFormat="1" ht="18" customHeight="1" x14ac:dyDescent="0.25">
      <c r="B60" s="29"/>
      <c r="F60" s="29"/>
      <c r="H60" s="25">
        <f t="shared" si="8"/>
        <v>46151</v>
      </c>
      <c r="I60" s="34"/>
      <c r="J60" s="34"/>
      <c r="K60" s="34"/>
      <c r="L60" s="34"/>
      <c r="M60" s="34"/>
      <c r="N60" s="41">
        <f t="shared" si="7"/>
        <v>0</v>
      </c>
      <c r="P60" s="35" t="str">
        <f t="shared" si="0"/>
        <v/>
      </c>
      <c r="Q60" s="35" cm="1">
        <f t="array" ref="Q60">IF(I60="",_xlfn.LET(
    _xlpm.vals,_xlfn._xlws.FILTER($J$7:J59,$J$7:J59&lt;&gt;"",""),
    _xlpm.avgJ,IF(COUNTA(_xlpm.vals)=0,0,AVERAGE(_xlfn.TAKE(_xlpm.vals,-MIN(7,ROWS(_xlpm.vals))))),
    _xlpm.addship,IF(P60="",0,P60),
    IF(
        AND(I59="",I60=""),
        Q59-_xlpm.avgJ+_xlpm.addship,
        IF(
            I60="",
            I59-_xlpm.avgJ+_xlpm.addship,
            ""
        )
    )
),I60)</f>
        <v>531132</v>
      </c>
      <c r="R60" s="35" t="str">
        <f t="shared" si="1"/>
        <v/>
      </c>
      <c r="S60" s="35" cm="1">
        <f t="array" ref="S60">IF(K60="",_xlfn.LET(
    _xlpm.vals,_xlfn._xlws.FILTER($N$7:N59,$N$7:N59&lt;&gt;"",""),
    _xlpm.avgJ,IF(COUNTA(_xlpm.vals)=0,0,AVERAGE(_xlfn.TAKE(_xlpm.vals,-MIN(7,ROWS(_xlpm.vals))))),
    _xlpm.addship,IF(R60="",0,R60),
    IF(
        AND(K59="",K60=""),
        S59-_xlpm.avgJ+_xlpm.addship,
        IF(
            K60="",
            K59-_xlpm.avgJ+_xlpm.addship,
            ""
        )
    )
),K60)</f>
        <v>1955058</v>
      </c>
      <c r="T60" s="29" t="str">
        <f t="shared" si="2"/>
        <v>Petrol over capacity | Diesel over capacity</v>
      </c>
      <c r="AC60" s="5">
        <f t="shared" si="3"/>
        <v>16085</v>
      </c>
      <c r="AD60" s="5">
        <f t="shared" si="4"/>
        <v>325936</v>
      </c>
      <c r="AE60" s="5">
        <f t="shared" si="5"/>
        <v>72571</v>
      </c>
      <c r="AF60" s="5">
        <f t="shared" si="6"/>
        <v>1832778</v>
      </c>
    </row>
    <row r="61" spans="2:32" s="12" customFormat="1" ht="18" customHeight="1" x14ac:dyDescent="0.25">
      <c r="B61" s="29"/>
      <c r="F61" s="29"/>
      <c r="H61" s="25">
        <f t="shared" si="8"/>
        <v>46152</v>
      </c>
      <c r="I61" s="34"/>
      <c r="J61" s="34"/>
      <c r="K61" s="34"/>
      <c r="L61" s="34"/>
      <c r="M61" s="34"/>
      <c r="N61" s="41">
        <f t="shared" si="7"/>
        <v>0</v>
      </c>
      <c r="P61" s="35" t="str">
        <f t="shared" si="0"/>
        <v/>
      </c>
      <c r="Q61" s="35" cm="1">
        <f t="array" ref="Q61">IF(I61="",_xlfn.LET(
    _xlpm.vals,_xlfn._xlws.FILTER($J$7:J60,$J$7:J60&lt;&gt;"",""),
    _xlpm.avgJ,IF(COUNTA(_xlpm.vals)=0,0,AVERAGE(_xlfn.TAKE(_xlpm.vals,-MIN(7,ROWS(_xlpm.vals))))),
    _xlpm.addship,IF(P61="",0,P61),
    IF(
        AND(I60="",I61=""),
        Q60-_xlpm.avgJ+_xlpm.addship,
        IF(
            I61="",
            I60-_xlpm.avgJ+_xlpm.addship,
            ""
        )
    )
),I61)</f>
        <v>522932</v>
      </c>
      <c r="R61" s="35" t="str">
        <f t="shared" si="1"/>
        <v/>
      </c>
      <c r="S61" s="35" cm="1">
        <f t="array" ref="S61">IF(K61="",_xlfn.LET(
    _xlpm.vals,_xlfn._xlws.FILTER($N$7:N60,$N$7:N60&lt;&gt;"",""),
    _xlpm.avgJ,IF(COUNTA(_xlpm.vals)=0,0,AVERAGE(_xlfn.TAKE(_xlpm.vals,-MIN(7,ROWS(_xlpm.vals))))),
    _xlpm.addship,IF(R61="",0,R61),
    IF(
        AND(K60="",K61=""),
        S60-_xlpm.avgJ+_xlpm.addship,
        IF(
            K61="",
            K60-_xlpm.avgJ+_xlpm.addship,
            ""
        )
    )
),K61)</f>
        <v>1955058</v>
      </c>
      <c r="T61" s="29" t="str">
        <f t="shared" si="2"/>
        <v>Petrol over capacity | Diesel over capacity</v>
      </c>
      <c r="AC61" s="5">
        <f t="shared" si="3"/>
        <v>16085</v>
      </c>
      <c r="AD61" s="5">
        <f t="shared" si="4"/>
        <v>325936</v>
      </c>
      <c r="AE61" s="5">
        <f t="shared" si="5"/>
        <v>72571</v>
      </c>
      <c r="AF61" s="5">
        <f t="shared" si="6"/>
        <v>1832778</v>
      </c>
    </row>
    <row r="62" spans="2:32" s="12" customFormat="1" ht="18" customHeight="1" x14ac:dyDescent="0.25">
      <c r="B62" s="29"/>
      <c r="F62" s="29"/>
      <c r="H62" s="25">
        <f t="shared" si="8"/>
        <v>46153</v>
      </c>
      <c r="I62" s="34"/>
      <c r="J62" s="34"/>
      <c r="K62" s="34"/>
      <c r="L62" s="34"/>
      <c r="M62" s="34"/>
      <c r="N62" s="41">
        <f t="shared" si="7"/>
        <v>0</v>
      </c>
      <c r="P62" s="35" t="str">
        <f t="shared" si="0"/>
        <v/>
      </c>
      <c r="Q62" s="35" cm="1">
        <f t="array" ref="Q62">IF(I62="",_xlfn.LET(
    _xlpm.vals,_xlfn._xlws.FILTER($J$7:J61,$J$7:J61&lt;&gt;"",""),
    _xlpm.avgJ,IF(COUNTA(_xlpm.vals)=0,0,AVERAGE(_xlfn.TAKE(_xlpm.vals,-MIN(7,ROWS(_xlpm.vals))))),
    _xlpm.addship,IF(P62="",0,P62),
    IF(
        AND(I61="",I62=""),
        Q61-_xlpm.avgJ+_xlpm.addship,
        IF(
            I62="",
            I61-_xlpm.avgJ+_xlpm.addship,
            ""
        )
    )
),I62)</f>
        <v>514732</v>
      </c>
      <c r="R62" s="35" t="str">
        <f t="shared" si="1"/>
        <v/>
      </c>
      <c r="S62" s="35" cm="1">
        <f t="array" ref="S62">IF(K62="",_xlfn.LET(
    _xlpm.vals,_xlfn._xlws.FILTER($N$7:N61,$N$7:N61&lt;&gt;"",""),
    _xlpm.avgJ,IF(COUNTA(_xlpm.vals)=0,0,AVERAGE(_xlfn.TAKE(_xlpm.vals,-MIN(7,ROWS(_xlpm.vals))))),
    _xlpm.addship,IF(R62="",0,R62),
    IF(
        AND(K61="",K62=""),
        S61-_xlpm.avgJ+_xlpm.addship,
        IF(
            K62="",
            K61-_xlpm.avgJ+_xlpm.addship,
            ""
        )
    )
),K62)</f>
        <v>1955058</v>
      </c>
      <c r="T62" s="29" t="str">
        <f t="shared" si="2"/>
        <v>Petrol over capacity | Diesel over capacity</v>
      </c>
      <c r="AC62" s="5">
        <f t="shared" si="3"/>
        <v>16085</v>
      </c>
      <c r="AD62" s="5">
        <f t="shared" si="4"/>
        <v>325936</v>
      </c>
      <c r="AE62" s="5">
        <f t="shared" si="5"/>
        <v>72571</v>
      </c>
      <c r="AF62" s="5">
        <f t="shared" si="6"/>
        <v>1832778</v>
      </c>
    </row>
    <row r="63" spans="2:32" s="12" customFormat="1" ht="18" customHeight="1" x14ac:dyDescent="0.25">
      <c r="B63" s="29"/>
      <c r="F63" s="29"/>
      <c r="H63" s="25">
        <f t="shared" si="8"/>
        <v>46154</v>
      </c>
      <c r="I63" s="34"/>
      <c r="J63" s="34"/>
      <c r="K63" s="34"/>
      <c r="L63" s="34"/>
      <c r="M63" s="34"/>
      <c r="N63" s="41">
        <f t="shared" si="7"/>
        <v>0</v>
      </c>
      <c r="P63" s="35" t="str">
        <f t="shared" si="0"/>
        <v/>
      </c>
      <c r="Q63" s="35" cm="1">
        <f t="array" ref="Q63">IF(I63="",_xlfn.LET(
    _xlpm.vals,_xlfn._xlws.FILTER($J$7:J62,$J$7:J62&lt;&gt;"",""),
    _xlpm.avgJ,IF(COUNTA(_xlpm.vals)=0,0,AVERAGE(_xlfn.TAKE(_xlpm.vals,-MIN(7,ROWS(_xlpm.vals))))),
    _xlpm.addship,IF(P63="",0,P63),
    IF(
        AND(I62="",I63=""),
        Q62-_xlpm.avgJ+_xlpm.addship,
        IF(
            I63="",
            I62-_xlpm.avgJ+_xlpm.addship,
            ""
        )
    )
),I63)</f>
        <v>506532</v>
      </c>
      <c r="R63" s="35" t="str">
        <f t="shared" si="1"/>
        <v/>
      </c>
      <c r="S63" s="35" cm="1">
        <f t="array" ref="S63">IF(K63="",_xlfn.LET(
    _xlpm.vals,_xlfn._xlws.FILTER($N$7:N62,$N$7:N62&lt;&gt;"",""),
    _xlpm.avgJ,IF(COUNTA(_xlpm.vals)=0,0,AVERAGE(_xlfn.TAKE(_xlpm.vals,-MIN(7,ROWS(_xlpm.vals))))),
    _xlpm.addship,IF(R63="",0,R63),
    IF(
        AND(K62="",K63=""),
        S62-_xlpm.avgJ+_xlpm.addship,
        IF(
            K63="",
            K62-_xlpm.avgJ+_xlpm.addship,
            ""
        )
    )
),K63)</f>
        <v>1955058</v>
      </c>
      <c r="T63" s="29" t="str">
        <f t="shared" si="2"/>
        <v>Petrol over capacity | Diesel over capacity</v>
      </c>
      <c r="AC63" s="5">
        <f t="shared" si="3"/>
        <v>16085</v>
      </c>
      <c r="AD63" s="5">
        <f t="shared" si="4"/>
        <v>325936</v>
      </c>
      <c r="AE63" s="5">
        <f t="shared" si="5"/>
        <v>72571</v>
      </c>
      <c r="AF63" s="5">
        <f t="shared" si="6"/>
        <v>1832778</v>
      </c>
    </row>
    <row r="64" spans="2:32" s="12" customFormat="1" ht="18" customHeight="1" x14ac:dyDescent="0.25">
      <c r="B64" s="29"/>
      <c r="F64" s="29"/>
      <c r="H64" s="25">
        <f t="shared" si="8"/>
        <v>46155</v>
      </c>
      <c r="I64" s="34"/>
      <c r="J64" s="34"/>
      <c r="K64" s="34"/>
      <c r="L64" s="34"/>
      <c r="M64" s="34"/>
      <c r="N64" s="41">
        <f t="shared" si="7"/>
        <v>0</v>
      </c>
      <c r="P64" s="35">
        <f t="shared" si="0"/>
        <v>150000</v>
      </c>
      <c r="Q64" s="35" cm="1">
        <f t="array" ref="Q64">IF(I64="",_xlfn.LET(
    _xlpm.vals,_xlfn._xlws.FILTER($J$7:J63,$J$7:J63&lt;&gt;"",""),
    _xlpm.avgJ,IF(COUNTA(_xlpm.vals)=0,0,AVERAGE(_xlfn.TAKE(_xlpm.vals,-MIN(7,ROWS(_xlpm.vals))))),
    _xlpm.addship,IF(P64="",0,P64),
    IF(
        AND(I63="",I64=""),
        Q63-_xlpm.avgJ+_xlpm.addship,
        IF(
            I64="",
            I63-_xlpm.avgJ+_xlpm.addship,
            ""
        )
    )
),I64)</f>
        <v>648332</v>
      </c>
      <c r="R64" s="35">
        <f t="shared" si="1"/>
        <v>700000</v>
      </c>
      <c r="S64" s="35" cm="1">
        <f t="array" ref="S64">IF(K64="",_xlfn.LET(
    _xlpm.vals,_xlfn._xlws.FILTER($N$7:N63,$N$7:N63&lt;&gt;"",""),
    _xlpm.avgJ,IF(COUNTA(_xlpm.vals)=0,0,AVERAGE(_xlfn.TAKE(_xlpm.vals,-MIN(7,ROWS(_xlpm.vals))))),
    _xlpm.addship,IF(R64="",0,R64),
    IF(
        AND(K63="",K64=""),
        S63-_xlpm.avgJ+_xlpm.addship,
        IF(
            K64="",
            K63-_xlpm.avgJ+_xlpm.addship,
            ""
        )
    )
),K64)</f>
        <v>2655058</v>
      </c>
      <c r="T64" s="29" t="str">
        <f t="shared" si="2"/>
        <v>Petrol over capacity | Diesel over capacity</v>
      </c>
      <c r="AC64" s="5">
        <f t="shared" si="3"/>
        <v>16085</v>
      </c>
      <c r="AD64" s="5">
        <f t="shared" si="4"/>
        <v>325936</v>
      </c>
      <c r="AE64" s="5">
        <f t="shared" si="5"/>
        <v>72571</v>
      </c>
      <c r="AF64" s="5">
        <f t="shared" si="6"/>
        <v>1832778</v>
      </c>
    </row>
    <row r="65" spans="2:32" s="12" customFormat="1" ht="18" customHeight="1" x14ac:dyDescent="0.25">
      <c r="B65" s="29"/>
      <c r="F65" s="29"/>
      <c r="H65" s="25">
        <f t="shared" si="8"/>
        <v>46156</v>
      </c>
      <c r="I65" s="34"/>
      <c r="J65" s="34"/>
      <c r="K65" s="34"/>
      <c r="L65" s="34"/>
      <c r="M65" s="34"/>
      <c r="N65" s="41">
        <f t="shared" si="7"/>
        <v>0</v>
      </c>
      <c r="P65" s="35" t="str">
        <f t="shared" si="0"/>
        <v/>
      </c>
      <c r="Q65" s="35" cm="1">
        <f t="array" ref="Q65">IF(I65="",_xlfn.LET(
    _xlpm.vals,_xlfn._xlws.FILTER($J$7:J64,$J$7:J64&lt;&gt;"",""),
    _xlpm.avgJ,IF(COUNTA(_xlpm.vals)=0,0,AVERAGE(_xlfn.TAKE(_xlpm.vals,-MIN(7,ROWS(_xlpm.vals))))),
    _xlpm.addship,IF(P65="",0,P65),
    IF(
        AND(I64="",I65=""),
        Q64-_xlpm.avgJ+_xlpm.addship,
        IF(
            I65="",
            I64-_xlpm.avgJ+_xlpm.addship,
            ""
        )
    )
),I65)</f>
        <v>640132</v>
      </c>
      <c r="R65" s="35" t="str">
        <f t="shared" si="1"/>
        <v/>
      </c>
      <c r="S65" s="35" cm="1">
        <f t="array" ref="S65">IF(K65="",_xlfn.LET(
    _xlpm.vals,_xlfn._xlws.FILTER($N$7:N64,$N$7:N64&lt;&gt;"",""),
    _xlpm.avgJ,IF(COUNTA(_xlpm.vals)=0,0,AVERAGE(_xlfn.TAKE(_xlpm.vals,-MIN(7,ROWS(_xlpm.vals))))),
    _xlpm.addship,IF(R65="",0,R65),
    IF(
        AND(K64="",K65=""),
        S64-_xlpm.avgJ+_xlpm.addship,
        IF(
            K65="",
            K64-_xlpm.avgJ+_xlpm.addship,
            ""
        )
    )
),K65)</f>
        <v>2655058</v>
      </c>
      <c r="T65" s="29" t="str">
        <f t="shared" si="2"/>
        <v>Petrol over capacity | Diesel over capacity</v>
      </c>
      <c r="AC65" s="5">
        <f t="shared" si="3"/>
        <v>16085</v>
      </c>
      <c r="AD65" s="5">
        <f t="shared" si="4"/>
        <v>325936</v>
      </c>
      <c r="AE65" s="5">
        <f t="shared" si="5"/>
        <v>72571</v>
      </c>
      <c r="AF65" s="5">
        <f t="shared" si="6"/>
        <v>1832778</v>
      </c>
    </row>
    <row r="66" spans="2:32" s="12" customFormat="1" ht="18" customHeight="1" x14ac:dyDescent="0.25">
      <c r="B66" s="29"/>
      <c r="F66" s="29"/>
      <c r="H66" s="25">
        <f t="shared" si="8"/>
        <v>46157</v>
      </c>
      <c r="I66" s="34"/>
      <c r="J66" s="34"/>
      <c r="K66" s="34"/>
      <c r="L66" s="34"/>
      <c r="M66" s="34"/>
      <c r="N66" s="41">
        <f t="shared" si="7"/>
        <v>0</v>
      </c>
      <c r="P66" s="35" t="str">
        <f t="shared" si="0"/>
        <v/>
      </c>
      <c r="Q66" s="35" cm="1">
        <f t="array" ref="Q66">IF(I66="",_xlfn.LET(
    _xlpm.vals,_xlfn._xlws.FILTER($J$7:J65,$J$7:J65&lt;&gt;"",""),
    _xlpm.avgJ,IF(COUNTA(_xlpm.vals)=0,0,AVERAGE(_xlfn.TAKE(_xlpm.vals,-MIN(7,ROWS(_xlpm.vals))))),
    _xlpm.addship,IF(P66="",0,P66),
    IF(
        AND(I65="",I66=""),
        Q65-_xlpm.avgJ+_xlpm.addship,
        IF(
            I66="",
            I65-_xlpm.avgJ+_xlpm.addship,
            ""
        )
    )
),I66)</f>
        <v>631932</v>
      </c>
      <c r="R66" s="35" t="str">
        <f t="shared" si="1"/>
        <v/>
      </c>
      <c r="S66" s="35" cm="1">
        <f t="array" ref="S66">IF(K66="",_xlfn.LET(
    _xlpm.vals,_xlfn._xlws.FILTER($N$7:N65,$N$7:N65&lt;&gt;"",""),
    _xlpm.avgJ,IF(COUNTA(_xlpm.vals)=0,0,AVERAGE(_xlfn.TAKE(_xlpm.vals,-MIN(7,ROWS(_xlpm.vals))))),
    _xlpm.addship,IF(R66="",0,R66),
    IF(
        AND(K65="",K66=""),
        S65-_xlpm.avgJ+_xlpm.addship,
        IF(
            K66="",
            K65-_xlpm.avgJ+_xlpm.addship,
            ""
        )
    )
),K66)</f>
        <v>2655058</v>
      </c>
      <c r="T66" s="29" t="str">
        <f t="shared" si="2"/>
        <v>Petrol over capacity | Diesel over capacity</v>
      </c>
      <c r="AC66" s="5">
        <f t="shared" si="3"/>
        <v>16085</v>
      </c>
      <c r="AD66" s="5">
        <f t="shared" si="4"/>
        <v>325936</v>
      </c>
      <c r="AE66" s="5">
        <f t="shared" si="5"/>
        <v>72571</v>
      </c>
      <c r="AF66" s="5">
        <f t="shared" si="6"/>
        <v>1832778</v>
      </c>
    </row>
    <row r="67" spans="2:32" s="12" customFormat="1" ht="18" customHeight="1" x14ac:dyDescent="0.25">
      <c r="B67" s="29"/>
      <c r="F67" s="29"/>
      <c r="H67" s="25">
        <f t="shared" si="8"/>
        <v>46158</v>
      </c>
      <c r="I67" s="34"/>
      <c r="J67" s="34"/>
      <c r="K67" s="34"/>
      <c r="L67" s="34"/>
      <c r="M67" s="34"/>
      <c r="N67" s="41">
        <f t="shared" si="7"/>
        <v>0</v>
      </c>
      <c r="P67" s="35" t="str">
        <f t="shared" si="0"/>
        <v/>
      </c>
      <c r="Q67" s="35" cm="1">
        <f t="array" ref="Q67">IF(I67="",_xlfn.LET(
    _xlpm.vals,_xlfn._xlws.FILTER($J$7:J66,$J$7:J66&lt;&gt;"",""),
    _xlpm.avgJ,IF(COUNTA(_xlpm.vals)=0,0,AVERAGE(_xlfn.TAKE(_xlpm.vals,-MIN(7,ROWS(_xlpm.vals))))),
    _xlpm.addship,IF(P67="",0,P67),
    IF(
        AND(I66="",I67=""),
        Q66-_xlpm.avgJ+_xlpm.addship,
        IF(
            I67="",
            I66-_xlpm.avgJ+_xlpm.addship,
            ""
        )
    )
),I67)</f>
        <v>623732</v>
      </c>
      <c r="R67" s="35" t="str">
        <f t="shared" si="1"/>
        <v/>
      </c>
      <c r="S67" s="35" cm="1">
        <f t="array" ref="S67">IF(K67="",_xlfn.LET(
    _xlpm.vals,_xlfn._xlws.FILTER($N$7:N66,$N$7:N66&lt;&gt;"",""),
    _xlpm.avgJ,IF(COUNTA(_xlpm.vals)=0,0,AVERAGE(_xlfn.TAKE(_xlpm.vals,-MIN(7,ROWS(_xlpm.vals))))),
    _xlpm.addship,IF(R67="",0,R67),
    IF(
        AND(K66="",K67=""),
        S66-_xlpm.avgJ+_xlpm.addship,
        IF(
            K67="",
            K66-_xlpm.avgJ+_xlpm.addship,
            ""
        )
    )
),K67)</f>
        <v>2655058</v>
      </c>
      <c r="T67" s="29" t="str">
        <f t="shared" si="2"/>
        <v>Petrol over capacity | Diesel over capacity</v>
      </c>
      <c r="AC67" s="5">
        <f t="shared" si="3"/>
        <v>16085</v>
      </c>
      <c r="AD67" s="5">
        <f t="shared" si="4"/>
        <v>325936</v>
      </c>
      <c r="AE67" s="5">
        <f t="shared" si="5"/>
        <v>72571</v>
      </c>
      <c r="AF67" s="5">
        <f t="shared" si="6"/>
        <v>1832778</v>
      </c>
    </row>
    <row r="68" spans="2:32" s="12" customFormat="1" ht="18" customHeight="1" x14ac:dyDescent="0.25">
      <c r="B68" s="29"/>
      <c r="F68" s="29"/>
      <c r="H68" s="25">
        <f t="shared" si="8"/>
        <v>46159</v>
      </c>
      <c r="I68" s="34"/>
      <c r="J68" s="34"/>
      <c r="K68" s="34"/>
      <c r="L68" s="34"/>
      <c r="M68" s="34"/>
      <c r="N68" s="41">
        <f t="shared" si="7"/>
        <v>0</v>
      </c>
      <c r="P68" s="35" t="str">
        <f t="shared" si="0"/>
        <v/>
      </c>
      <c r="Q68" s="35" cm="1">
        <f t="array" ref="Q68">IF(I68="",_xlfn.LET(
    _xlpm.vals,_xlfn._xlws.FILTER($J$7:J67,$J$7:J67&lt;&gt;"",""),
    _xlpm.avgJ,IF(COUNTA(_xlpm.vals)=0,0,AVERAGE(_xlfn.TAKE(_xlpm.vals,-MIN(7,ROWS(_xlpm.vals))))),
    _xlpm.addship,IF(P68="",0,P68),
    IF(
        AND(I67="",I68=""),
        Q67-_xlpm.avgJ+_xlpm.addship,
        IF(
            I68="",
            I67-_xlpm.avgJ+_xlpm.addship,
            ""
        )
    )
),I68)</f>
        <v>615532</v>
      </c>
      <c r="R68" s="35" t="str">
        <f t="shared" si="1"/>
        <v/>
      </c>
      <c r="S68" s="35" cm="1">
        <f t="array" ref="S68">IF(K68="",_xlfn.LET(
    _xlpm.vals,_xlfn._xlws.FILTER($N$7:N67,$N$7:N67&lt;&gt;"",""),
    _xlpm.avgJ,IF(COUNTA(_xlpm.vals)=0,0,AVERAGE(_xlfn.TAKE(_xlpm.vals,-MIN(7,ROWS(_xlpm.vals))))),
    _xlpm.addship,IF(R68="",0,R68),
    IF(
        AND(K67="",K68=""),
        S67-_xlpm.avgJ+_xlpm.addship,
        IF(
            K68="",
            K67-_xlpm.avgJ+_xlpm.addship,
            ""
        )
    )
),K68)</f>
        <v>2655058</v>
      </c>
      <c r="T68" s="29" t="str">
        <f t="shared" si="2"/>
        <v>Petrol over capacity | Diesel over capacity</v>
      </c>
      <c r="AC68" s="5">
        <f t="shared" si="3"/>
        <v>16085</v>
      </c>
      <c r="AD68" s="5">
        <f t="shared" si="4"/>
        <v>325936</v>
      </c>
      <c r="AE68" s="5">
        <f t="shared" si="5"/>
        <v>72571</v>
      </c>
      <c r="AF68" s="5">
        <f t="shared" si="6"/>
        <v>1832778</v>
      </c>
    </row>
    <row r="69" spans="2:32" s="12" customFormat="1" ht="18" customHeight="1" x14ac:dyDescent="0.25">
      <c r="B69" s="29"/>
      <c r="F69" s="29"/>
      <c r="H69" s="25">
        <f t="shared" si="8"/>
        <v>46160</v>
      </c>
      <c r="I69" s="34"/>
      <c r="J69" s="34"/>
      <c r="K69" s="34"/>
      <c r="L69" s="34"/>
      <c r="M69" s="34"/>
      <c r="N69" s="41">
        <f t="shared" si="7"/>
        <v>0</v>
      </c>
      <c r="P69" s="35" t="str">
        <f t="shared" si="0"/>
        <v/>
      </c>
      <c r="Q69" s="35" cm="1">
        <f t="array" ref="Q69">IF(I69="",_xlfn.LET(
    _xlpm.vals,_xlfn._xlws.FILTER($J$7:J68,$J$7:J68&lt;&gt;"",""),
    _xlpm.avgJ,IF(COUNTA(_xlpm.vals)=0,0,AVERAGE(_xlfn.TAKE(_xlpm.vals,-MIN(7,ROWS(_xlpm.vals))))),
    _xlpm.addship,IF(P69="",0,P69),
    IF(
        AND(I68="",I69=""),
        Q68-_xlpm.avgJ+_xlpm.addship,
        IF(
            I69="",
            I68-_xlpm.avgJ+_xlpm.addship,
            ""
        )
    )
),I69)</f>
        <v>607332</v>
      </c>
      <c r="R69" s="35" t="str">
        <f t="shared" si="1"/>
        <v/>
      </c>
      <c r="S69" s="35" cm="1">
        <f t="array" ref="S69">IF(K69="",_xlfn.LET(
    _xlpm.vals,_xlfn._xlws.FILTER($N$7:N68,$N$7:N68&lt;&gt;"",""),
    _xlpm.avgJ,IF(COUNTA(_xlpm.vals)=0,0,AVERAGE(_xlfn.TAKE(_xlpm.vals,-MIN(7,ROWS(_xlpm.vals))))),
    _xlpm.addship,IF(R69="",0,R69),
    IF(
        AND(K68="",K69=""),
        S68-_xlpm.avgJ+_xlpm.addship,
        IF(
            K69="",
            K68-_xlpm.avgJ+_xlpm.addship,
            ""
        )
    )
),K69)</f>
        <v>2655058</v>
      </c>
      <c r="T69" s="29" t="str">
        <f t="shared" si="2"/>
        <v>Petrol over capacity | Diesel over capacity</v>
      </c>
      <c r="AC69" s="5">
        <f t="shared" si="3"/>
        <v>16085</v>
      </c>
      <c r="AD69" s="5">
        <f t="shared" si="4"/>
        <v>325936</v>
      </c>
      <c r="AE69" s="5">
        <f t="shared" si="5"/>
        <v>72571</v>
      </c>
      <c r="AF69" s="5">
        <f t="shared" si="6"/>
        <v>1832778</v>
      </c>
    </row>
    <row r="70" spans="2:32" s="12" customFormat="1" ht="18" customHeight="1" x14ac:dyDescent="0.25">
      <c r="B70" s="29"/>
      <c r="F70" s="29"/>
      <c r="H70" s="25">
        <f t="shared" si="8"/>
        <v>46161</v>
      </c>
      <c r="I70" s="34"/>
      <c r="J70" s="34"/>
      <c r="K70" s="34"/>
      <c r="L70" s="34"/>
      <c r="M70" s="34"/>
      <c r="N70" s="41">
        <f t="shared" si="7"/>
        <v>0</v>
      </c>
      <c r="P70" s="35" t="str">
        <f t="shared" si="0"/>
        <v/>
      </c>
      <c r="Q70" s="35" cm="1">
        <f t="array" ref="Q70">IF(I70="",_xlfn.LET(
    _xlpm.vals,_xlfn._xlws.FILTER($J$7:J69,$J$7:J69&lt;&gt;"",""),
    _xlpm.avgJ,IF(COUNTA(_xlpm.vals)=0,0,AVERAGE(_xlfn.TAKE(_xlpm.vals,-MIN(7,ROWS(_xlpm.vals))))),
    _xlpm.addship,IF(P70="",0,P70),
    IF(
        AND(I69="",I70=""),
        Q69-_xlpm.avgJ+_xlpm.addship,
        IF(
            I70="",
            I69-_xlpm.avgJ+_xlpm.addship,
            ""
        )
    )
),I70)</f>
        <v>599132</v>
      </c>
      <c r="R70" s="35" t="str">
        <f t="shared" si="1"/>
        <v/>
      </c>
      <c r="S70" s="35" cm="1">
        <f t="array" ref="S70">IF(K70="",_xlfn.LET(
    _xlpm.vals,_xlfn._xlws.FILTER($N$7:N69,$N$7:N69&lt;&gt;"",""),
    _xlpm.avgJ,IF(COUNTA(_xlpm.vals)=0,0,AVERAGE(_xlfn.TAKE(_xlpm.vals,-MIN(7,ROWS(_xlpm.vals))))),
    _xlpm.addship,IF(R70="",0,R70),
    IF(
        AND(K69="",K70=""),
        S69-_xlpm.avgJ+_xlpm.addship,
        IF(
            K70="",
            K69-_xlpm.avgJ+_xlpm.addship,
            ""
        )
    )
),K70)</f>
        <v>2655058</v>
      </c>
      <c r="T70" s="29" t="str">
        <f t="shared" si="2"/>
        <v>Petrol over capacity | Diesel over capacity</v>
      </c>
      <c r="AC70" s="5">
        <f t="shared" si="3"/>
        <v>16085</v>
      </c>
      <c r="AD70" s="5">
        <f t="shared" si="4"/>
        <v>325936</v>
      </c>
      <c r="AE70" s="5">
        <f t="shared" si="5"/>
        <v>72571</v>
      </c>
      <c r="AF70" s="5">
        <f t="shared" si="6"/>
        <v>1832778</v>
      </c>
    </row>
    <row r="71" spans="2:32" s="12" customFormat="1" ht="18" customHeight="1" x14ac:dyDescent="0.25">
      <c r="B71" s="29"/>
      <c r="F71" s="29"/>
      <c r="H71" s="25">
        <f t="shared" si="8"/>
        <v>46162</v>
      </c>
      <c r="I71" s="34"/>
      <c r="J71" s="34"/>
      <c r="K71" s="34"/>
      <c r="L71" s="34"/>
      <c r="M71" s="34"/>
      <c r="N71" s="41">
        <f t="shared" si="7"/>
        <v>0</v>
      </c>
      <c r="P71" s="35" t="str">
        <f t="shared" ref="P71:P112" si="9">IF(I71="",IFERROR(_xlfn.XLOOKUP(H71,$C$10:$C$14,$D$10:$D$14,""),""),"")</f>
        <v/>
      </c>
      <c r="Q71" s="35" cm="1">
        <f t="array" ref="Q71">IF(I71="",_xlfn.LET(
    _xlpm.vals,_xlfn._xlws.FILTER($J$7:J70,$J$7:J70&lt;&gt;"",""),
    _xlpm.avgJ,IF(COUNTA(_xlpm.vals)=0,0,AVERAGE(_xlfn.TAKE(_xlpm.vals,-MIN(7,ROWS(_xlpm.vals))))),
    _xlpm.addship,IF(P71="",0,P71),
    IF(
        AND(I70="",I71=""),
        Q70-_xlpm.avgJ+_xlpm.addship,
        IF(
            I71="",
            I70-_xlpm.avgJ+_xlpm.addship,
            ""
        )
    )
),I71)</f>
        <v>590932</v>
      </c>
      <c r="R71" s="35" t="str">
        <f t="shared" ref="R71:R112" si="10">IF(K71="",IFERROR(_xlfn.XLOOKUP(H71,$C$10:$C$14,$E$10:$E$14,""),""),"")</f>
        <v/>
      </c>
      <c r="S71" s="35" cm="1">
        <f t="array" ref="S71">IF(K71="",_xlfn.LET(
    _xlpm.vals,_xlfn._xlws.FILTER($N$7:N70,$N$7:N70&lt;&gt;"",""),
    _xlpm.avgJ,IF(COUNTA(_xlpm.vals)=0,0,AVERAGE(_xlfn.TAKE(_xlpm.vals,-MIN(7,ROWS(_xlpm.vals))))),
    _xlpm.addship,IF(R71="",0,R71),
    IF(
        AND(K70="",K71=""),
        S70-_xlpm.avgJ+_xlpm.addship,
        IF(
            K71="",
            K70-_xlpm.avgJ+_xlpm.addship,
            ""
        )
    )
),K71)</f>
        <v>2655058</v>
      </c>
      <c r="T71" s="29" t="str">
        <f t="shared" ref="T71:T112" si="11">IF(AND(Q71="",S71=""),"",
_xlfn.LET(
_xlpm.msgs,
_xlfn.TEXTJOIN(" | ",TRUE,
IF(Q71&gt;$D$23,"Petrol over capacity",""),
IF(Q71&lt;$D$24,"Petrol stock out",""),
IF(S71&gt;$E$23,"Diesel over capacity",""),
IF(S71&lt;$E$24,"Diesel stock out","")
),
IF(_xlpm.msgs="","",_xlpm.msgs)
))</f>
        <v>Petrol over capacity | Diesel over capacity</v>
      </c>
      <c r="AC71" s="5">
        <f t="shared" ref="AC71:AC112" si="12">$D$24</f>
        <v>16085</v>
      </c>
      <c r="AD71" s="5">
        <f t="shared" ref="AD71:AD112" si="13">$D$23</f>
        <v>325936</v>
      </c>
      <c r="AE71" s="5">
        <f t="shared" ref="AE71:AE112" si="14">$E$24</f>
        <v>72571</v>
      </c>
      <c r="AF71" s="5">
        <f t="shared" ref="AF71:AF112" si="15">$E$23</f>
        <v>1832778</v>
      </c>
    </row>
    <row r="72" spans="2:32" s="12" customFormat="1" ht="18" customHeight="1" x14ac:dyDescent="0.25">
      <c r="B72" s="29"/>
      <c r="F72" s="29"/>
      <c r="H72" s="25">
        <f t="shared" si="8"/>
        <v>46163</v>
      </c>
      <c r="I72" s="34"/>
      <c r="J72" s="34"/>
      <c r="K72" s="34"/>
      <c r="L72" s="34"/>
      <c r="M72" s="34"/>
      <c r="N72" s="41">
        <f t="shared" ref="N72:N112" si="16">SUM(L72:M72)</f>
        <v>0</v>
      </c>
      <c r="P72" s="35" t="str">
        <f t="shared" si="9"/>
        <v/>
      </c>
      <c r="Q72" s="35" cm="1">
        <f t="array" ref="Q72">IF(I72="",_xlfn.LET(
    _xlpm.vals,_xlfn._xlws.FILTER($J$7:J71,$J$7:J71&lt;&gt;"",""),
    _xlpm.avgJ,IF(COUNTA(_xlpm.vals)=0,0,AVERAGE(_xlfn.TAKE(_xlpm.vals,-MIN(7,ROWS(_xlpm.vals))))),
    _xlpm.addship,IF(P72="",0,P72),
    IF(
        AND(I71="",I72=""),
        Q71-_xlpm.avgJ+_xlpm.addship,
        IF(
            I72="",
            I71-_xlpm.avgJ+_xlpm.addship,
            ""
        )
    )
),I72)</f>
        <v>582732</v>
      </c>
      <c r="R72" s="35" t="str">
        <f t="shared" si="10"/>
        <v/>
      </c>
      <c r="S72" s="35" cm="1">
        <f t="array" ref="S72">IF(K72="",_xlfn.LET(
    _xlpm.vals,_xlfn._xlws.FILTER($N$7:N71,$N$7:N71&lt;&gt;"",""),
    _xlpm.avgJ,IF(COUNTA(_xlpm.vals)=0,0,AVERAGE(_xlfn.TAKE(_xlpm.vals,-MIN(7,ROWS(_xlpm.vals))))),
    _xlpm.addship,IF(R72="",0,R72),
    IF(
        AND(K71="",K72=""),
        S71-_xlpm.avgJ+_xlpm.addship,
        IF(
            K72="",
            K71-_xlpm.avgJ+_xlpm.addship,
            ""
        )
    )
),K72)</f>
        <v>2655058</v>
      </c>
      <c r="T72" s="29" t="str">
        <f t="shared" si="11"/>
        <v>Petrol over capacity | Diesel over capacity</v>
      </c>
      <c r="AC72" s="5">
        <f t="shared" si="12"/>
        <v>16085</v>
      </c>
      <c r="AD72" s="5">
        <f t="shared" si="13"/>
        <v>325936</v>
      </c>
      <c r="AE72" s="5">
        <f t="shared" si="14"/>
        <v>72571</v>
      </c>
      <c r="AF72" s="5">
        <f t="shared" si="15"/>
        <v>1832778</v>
      </c>
    </row>
    <row r="73" spans="2:32" s="12" customFormat="1" ht="18" customHeight="1" x14ac:dyDescent="0.25">
      <c r="B73" s="29"/>
      <c r="F73" s="29"/>
      <c r="H73" s="25">
        <f t="shared" ref="H73:H112" si="17">H72+1</f>
        <v>46164</v>
      </c>
      <c r="I73" s="34"/>
      <c r="J73" s="34"/>
      <c r="K73" s="34"/>
      <c r="L73" s="34"/>
      <c r="M73" s="34"/>
      <c r="N73" s="41">
        <f t="shared" si="16"/>
        <v>0</v>
      </c>
      <c r="P73" s="35" t="str">
        <f t="shared" si="9"/>
        <v/>
      </c>
      <c r="Q73" s="35" cm="1">
        <f t="array" ref="Q73">IF(I73="",_xlfn.LET(
    _xlpm.vals,_xlfn._xlws.FILTER($J$7:J72,$J$7:J72&lt;&gt;"",""),
    _xlpm.avgJ,IF(COUNTA(_xlpm.vals)=0,0,AVERAGE(_xlfn.TAKE(_xlpm.vals,-MIN(7,ROWS(_xlpm.vals))))),
    _xlpm.addship,IF(P73="",0,P73),
    IF(
        AND(I72="",I73=""),
        Q72-_xlpm.avgJ+_xlpm.addship,
        IF(
            I73="",
            I72-_xlpm.avgJ+_xlpm.addship,
            ""
        )
    )
),I73)</f>
        <v>574532</v>
      </c>
      <c r="R73" s="35" t="str">
        <f t="shared" si="10"/>
        <v/>
      </c>
      <c r="S73" s="35" cm="1">
        <f t="array" ref="S73">IF(K73="",_xlfn.LET(
    _xlpm.vals,_xlfn._xlws.FILTER($N$7:N72,$N$7:N72&lt;&gt;"",""),
    _xlpm.avgJ,IF(COUNTA(_xlpm.vals)=0,0,AVERAGE(_xlfn.TAKE(_xlpm.vals,-MIN(7,ROWS(_xlpm.vals))))),
    _xlpm.addship,IF(R73="",0,R73),
    IF(
        AND(K72="",K73=""),
        S72-_xlpm.avgJ+_xlpm.addship,
        IF(
            K73="",
            K72-_xlpm.avgJ+_xlpm.addship,
            ""
        )
    )
),K73)</f>
        <v>2655058</v>
      </c>
      <c r="T73" s="29" t="str">
        <f t="shared" si="11"/>
        <v>Petrol over capacity | Diesel over capacity</v>
      </c>
      <c r="AC73" s="5">
        <f t="shared" si="12"/>
        <v>16085</v>
      </c>
      <c r="AD73" s="5">
        <f t="shared" si="13"/>
        <v>325936</v>
      </c>
      <c r="AE73" s="5">
        <f t="shared" si="14"/>
        <v>72571</v>
      </c>
      <c r="AF73" s="5">
        <f t="shared" si="15"/>
        <v>1832778</v>
      </c>
    </row>
    <row r="74" spans="2:32" s="12" customFormat="1" ht="18" customHeight="1" x14ac:dyDescent="0.25">
      <c r="B74" s="29"/>
      <c r="F74" s="29"/>
      <c r="H74" s="25">
        <f t="shared" si="17"/>
        <v>46165</v>
      </c>
      <c r="I74" s="34"/>
      <c r="J74" s="34"/>
      <c r="K74" s="34"/>
      <c r="L74" s="34"/>
      <c r="M74" s="34"/>
      <c r="N74" s="41">
        <f t="shared" si="16"/>
        <v>0</v>
      </c>
      <c r="P74" s="35" t="str">
        <f t="shared" si="9"/>
        <v/>
      </c>
      <c r="Q74" s="35" cm="1">
        <f t="array" ref="Q74">IF(I74="",_xlfn.LET(
    _xlpm.vals,_xlfn._xlws.FILTER($J$7:J73,$J$7:J73&lt;&gt;"",""),
    _xlpm.avgJ,IF(COUNTA(_xlpm.vals)=0,0,AVERAGE(_xlfn.TAKE(_xlpm.vals,-MIN(7,ROWS(_xlpm.vals))))),
    _xlpm.addship,IF(P74="",0,P74),
    IF(
        AND(I73="",I74=""),
        Q73-_xlpm.avgJ+_xlpm.addship,
        IF(
            I74="",
            I73-_xlpm.avgJ+_xlpm.addship,
            ""
        )
    )
),I74)</f>
        <v>566332</v>
      </c>
      <c r="R74" s="35" t="str">
        <f t="shared" si="10"/>
        <v/>
      </c>
      <c r="S74" s="35" cm="1">
        <f t="array" ref="S74">IF(K74="",_xlfn.LET(
    _xlpm.vals,_xlfn._xlws.FILTER($N$7:N73,$N$7:N73&lt;&gt;"",""),
    _xlpm.avgJ,IF(COUNTA(_xlpm.vals)=0,0,AVERAGE(_xlfn.TAKE(_xlpm.vals,-MIN(7,ROWS(_xlpm.vals))))),
    _xlpm.addship,IF(R74="",0,R74),
    IF(
        AND(K73="",K74=""),
        S73-_xlpm.avgJ+_xlpm.addship,
        IF(
            K74="",
            K73-_xlpm.avgJ+_xlpm.addship,
            ""
        )
    )
),K74)</f>
        <v>2655058</v>
      </c>
      <c r="T74" s="29" t="str">
        <f t="shared" si="11"/>
        <v>Petrol over capacity | Diesel over capacity</v>
      </c>
      <c r="AC74" s="5">
        <f t="shared" si="12"/>
        <v>16085</v>
      </c>
      <c r="AD74" s="5">
        <f t="shared" si="13"/>
        <v>325936</v>
      </c>
      <c r="AE74" s="5">
        <f t="shared" si="14"/>
        <v>72571</v>
      </c>
      <c r="AF74" s="5">
        <f t="shared" si="15"/>
        <v>1832778</v>
      </c>
    </row>
    <row r="75" spans="2:32" s="12" customFormat="1" ht="18" customHeight="1" x14ac:dyDescent="0.25">
      <c r="B75" s="29"/>
      <c r="F75" s="29"/>
      <c r="H75" s="25">
        <f t="shared" si="17"/>
        <v>46166</v>
      </c>
      <c r="I75" s="34"/>
      <c r="J75" s="34"/>
      <c r="K75" s="34"/>
      <c r="L75" s="34"/>
      <c r="M75" s="34"/>
      <c r="N75" s="41">
        <f t="shared" si="16"/>
        <v>0</v>
      </c>
      <c r="P75" s="35" t="str">
        <f t="shared" si="9"/>
        <v/>
      </c>
      <c r="Q75" s="35" cm="1">
        <f t="array" ref="Q75">IF(I75="",_xlfn.LET(
    _xlpm.vals,_xlfn._xlws.FILTER($J$7:J74,$J$7:J74&lt;&gt;"",""),
    _xlpm.avgJ,IF(COUNTA(_xlpm.vals)=0,0,AVERAGE(_xlfn.TAKE(_xlpm.vals,-MIN(7,ROWS(_xlpm.vals))))),
    _xlpm.addship,IF(P75="",0,P75),
    IF(
        AND(I74="",I75=""),
        Q74-_xlpm.avgJ+_xlpm.addship,
        IF(
            I75="",
            I74-_xlpm.avgJ+_xlpm.addship,
            ""
        )
    )
),I75)</f>
        <v>558132</v>
      </c>
      <c r="R75" s="35" t="str">
        <f t="shared" si="10"/>
        <v/>
      </c>
      <c r="S75" s="35" cm="1">
        <f t="array" ref="S75">IF(K75="",_xlfn.LET(
    _xlpm.vals,_xlfn._xlws.FILTER($N$7:N74,$N$7:N74&lt;&gt;"",""),
    _xlpm.avgJ,IF(COUNTA(_xlpm.vals)=0,0,AVERAGE(_xlfn.TAKE(_xlpm.vals,-MIN(7,ROWS(_xlpm.vals))))),
    _xlpm.addship,IF(R75="",0,R75),
    IF(
        AND(K74="",K75=""),
        S74-_xlpm.avgJ+_xlpm.addship,
        IF(
            K75="",
            K74-_xlpm.avgJ+_xlpm.addship,
            ""
        )
    )
),K75)</f>
        <v>2655058</v>
      </c>
      <c r="T75" s="29" t="str">
        <f t="shared" si="11"/>
        <v>Petrol over capacity | Diesel over capacity</v>
      </c>
      <c r="AC75" s="5">
        <f t="shared" si="12"/>
        <v>16085</v>
      </c>
      <c r="AD75" s="5">
        <f t="shared" si="13"/>
        <v>325936</v>
      </c>
      <c r="AE75" s="5">
        <f t="shared" si="14"/>
        <v>72571</v>
      </c>
      <c r="AF75" s="5">
        <f t="shared" si="15"/>
        <v>1832778</v>
      </c>
    </row>
    <row r="76" spans="2:32" s="12" customFormat="1" ht="18" customHeight="1" x14ac:dyDescent="0.25">
      <c r="B76" s="29"/>
      <c r="F76" s="29"/>
      <c r="H76" s="25">
        <f t="shared" si="17"/>
        <v>46167</v>
      </c>
      <c r="I76" s="34"/>
      <c r="J76" s="34"/>
      <c r="K76" s="34"/>
      <c r="L76" s="34"/>
      <c r="M76" s="34"/>
      <c r="N76" s="41">
        <f t="shared" si="16"/>
        <v>0</v>
      </c>
      <c r="P76" s="35" t="str">
        <f t="shared" si="9"/>
        <v/>
      </c>
      <c r="Q76" s="35" cm="1">
        <f t="array" ref="Q76">IF(I76="",_xlfn.LET(
    _xlpm.vals,_xlfn._xlws.FILTER($J$7:J75,$J$7:J75&lt;&gt;"",""),
    _xlpm.avgJ,IF(COUNTA(_xlpm.vals)=0,0,AVERAGE(_xlfn.TAKE(_xlpm.vals,-MIN(7,ROWS(_xlpm.vals))))),
    _xlpm.addship,IF(P76="",0,P76),
    IF(
        AND(I75="",I76=""),
        Q75-_xlpm.avgJ+_xlpm.addship,
        IF(
            I76="",
            I75-_xlpm.avgJ+_xlpm.addship,
            ""
        )
    )
),I76)</f>
        <v>549932</v>
      </c>
      <c r="R76" s="35" t="str">
        <f t="shared" si="10"/>
        <v/>
      </c>
      <c r="S76" s="35" cm="1">
        <f t="array" ref="S76">IF(K76="",_xlfn.LET(
    _xlpm.vals,_xlfn._xlws.FILTER($N$7:N75,$N$7:N75&lt;&gt;"",""),
    _xlpm.avgJ,IF(COUNTA(_xlpm.vals)=0,0,AVERAGE(_xlfn.TAKE(_xlpm.vals,-MIN(7,ROWS(_xlpm.vals))))),
    _xlpm.addship,IF(R76="",0,R76),
    IF(
        AND(K75="",K76=""),
        S75-_xlpm.avgJ+_xlpm.addship,
        IF(
            K76="",
            K75-_xlpm.avgJ+_xlpm.addship,
            ""
        )
    )
),K76)</f>
        <v>2655058</v>
      </c>
      <c r="T76" s="29" t="str">
        <f t="shared" si="11"/>
        <v>Petrol over capacity | Diesel over capacity</v>
      </c>
      <c r="AC76" s="5">
        <f t="shared" si="12"/>
        <v>16085</v>
      </c>
      <c r="AD76" s="5">
        <f t="shared" si="13"/>
        <v>325936</v>
      </c>
      <c r="AE76" s="5">
        <f t="shared" si="14"/>
        <v>72571</v>
      </c>
      <c r="AF76" s="5">
        <f t="shared" si="15"/>
        <v>1832778</v>
      </c>
    </row>
    <row r="77" spans="2:32" s="12" customFormat="1" ht="18" customHeight="1" x14ac:dyDescent="0.25">
      <c r="B77" s="29"/>
      <c r="F77" s="29"/>
      <c r="H77" s="25">
        <f t="shared" si="17"/>
        <v>46168</v>
      </c>
      <c r="I77" s="34"/>
      <c r="J77" s="34"/>
      <c r="K77" s="34"/>
      <c r="L77" s="34"/>
      <c r="M77" s="34"/>
      <c r="N77" s="41">
        <f t="shared" si="16"/>
        <v>0</v>
      </c>
      <c r="P77" s="35" t="str">
        <f t="shared" si="9"/>
        <v/>
      </c>
      <c r="Q77" s="35" cm="1">
        <f t="array" ref="Q77">IF(I77="",_xlfn.LET(
    _xlpm.vals,_xlfn._xlws.FILTER($J$7:J76,$J$7:J76&lt;&gt;"",""),
    _xlpm.avgJ,IF(COUNTA(_xlpm.vals)=0,0,AVERAGE(_xlfn.TAKE(_xlpm.vals,-MIN(7,ROWS(_xlpm.vals))))),
    _xlpm.addship,IF(P77="",0,P77),
    IF(
        AND(I76="",I77=""),
        Q76-_xlpm.avgJ+_xlpm.addship,
        IF(
            I77="",
            I76-_xlpm.avgJ+_xlpm.addship,
            ""
        )
    )
),I77)</f>
        <v>541732</v>
      </c>
      <c r="R77" s="35" t="str">
        <f t="shared" si="10"/>
        <v/>
      </c>
      <c r="S77" s="35" cm="1">
        <f t="array" ref="S77">IF(K77="",_xlfn.LET(
    _xlpm.vals,_xlfn._xlws.FILTER($N$7:N76,$N$7:N76&lt;&gt;"",""),
    _xlpm.avgJ,IF(COUNTA(_xlpm.vals)=0,0,AVERAGE(_xlfn.TAKE(_xlpm.vals,-MIN(7,ROWS(_xlpm.vals))))),
    _xlpm.addship,IF(R77="",0,R77),
    IF(
        AND(K76="",K77=""),
        S76-_xlpm.avgJ+_xlpm.addship,
        IF(
            K77="",
            K76-_xlpm.avgJ+_xlpm.addship,
            ""
        )
    )
),K77)</f>
        <v>2655058</v>
      </c>
      <c r="T77" s="29" t="str">
        <f t="shared" si="11"/>
        <v>Petrol over capacity | Diesel over capacity</v>
      </c>
      <c r="AC77" s="5">
        <f t="shared" si="12"/>
        <v>16085</v>
      </c>
      <c r="AD77" s="5">
        <f t="shared" si="13"/>
        <v>325936</v>
      </c>
      <c r="AE77" s="5">
        <f t="shared" si="14"/>
        <v>72571</v>
      </c>
      <c r="AF77" s="5">
        <f t="shared" si="15"/>
        <v>1832778</v>
      </c>
    </row>
    <row r="78" spans="2:32" s="12" customFormat="1" ht="18" customHeight="1" x14ac:dyDescent="0.25">
      <c r="B78" s="29"/>
      <c r="F78" s="29"/>
      <c r="H78" s="25">
        <f t="shared" si="17"/>
        <v>46169</v>
      </c>
      <c r="I78" s="34"/>
      <c r="J78" s="34"/>
      <c r="K78" s="34"/>
      <c r="L78" s="34"/>
      <c r="M78" s="34"/>
      <c r="N78" s="41">
        <f t="shared" si="16"/>
        <v>0</v>
      </c>
      <c r="P78" s="35" t="str">
        <f t="shared" si="9"/>
        <v/>
      </c>
      <c r="Q78" s="35" cm="1">
        <f t="array" ref="Q78">IF(I78="",_xlfn.LET(
    _xlpm.vals,_xlfn._xlws.FILTER($J$7:J77,$J$7:J77&lt;&gt;"",""),
    _xlpm.avgJ,IF(COUNTA(_xlpm.vals)=0,0,AVERAGE(_xlfn.TAKE(_xlpm.vals,-MIN(7,ROWS(_xlpm.vals))))),
    _xlpm.addship,IF(P78="",0,P78),
    IF(
        AND(I77="",I78=""),
        Q77-_xlpm.avgJ+_xlpm.addship,
        IF(
            I78="",
            I77-_xlpm.avgJ+_xlpm.addship,
            ""
        )
    )
),I78)</f>
        <v>533532</v>
      </c>
      <c r="R78" s="35" t="str">
        <f t="shared" si="10"/>
        <v/>
      </c>
      <c r="S78" s="35" cm="1">
        <f t="array" ref="S78">IF(K78="",_xlfn.LET(
    _xlpm.vals,_xlfn._xlws.FILTER($N$7:N77,$N$7:N77&lt;&gt;"",""),
    _xlpm.avgJ,IF(COUNTA(_xlpm.vals)=0,0,AVERAGE(_xlfn.TAKE(_xlpm.vals,-MIN(7,ROWS(_xlpm.vals))))),
    _xlpm.addship,IF(R78="",0,R78),
    IF(
        AND(K77="",K78=""),
        S77-_xlpm.avgJ+_xlpm.addship,
        IF(
            K78="",
            K77-_xlpm.avgJ+_xlpm.addship,
            ""
        )
    )
),K78)</f>
        <v>2655058</v>
      </c>
      <c r="T78" s="29" t="str">
        <f t="shared" si="11"/>
        <v>Petrol over capacity | Diesel over capacity</v>
      </c>
      <c r="AC78" s="5">
        <f t="shared" si="12"/>
        <v>16085</v>
      </c>
      <c r="AD78" s="5">
        <f t="shared" si="13"/>
        <v>325936</v>
      </c>
      <c r="AE78" s="5">
        <f t="shared" si="14"/>
        <v>72571</v>
      </c>
      <c r="AF78" s="5">
        <f t="shared" si="15"/>
        <v>1832778</v>
      </c>
    </row>
    <row r="79" spans="2:32" s="12" customFormat="1" ht="18" customHeight="1" x14ac:dyDescent="0.25">
      <c r="B79" s="29"/>
      <c r="F79" s="29"/>
      <c r="H79" s="25">
        <f t="shared" si="17"/>
        <v>46170</v>
      </c>
      <c r="I79" s="34"/>
      <c r="J79" s="34"/>
      <c r="K79" s="34"/>
      <c r="L79" s="34"/>
      <c r="M79" s="34"/>
      <c r="N79" s="41">
        <f t="shared" si="16"/>
        <v>0</v>
      </c>
      <c r="P79" s="35" t="str">
        <f t="shared" si="9"/>
        <v/>
      </c>
      <c r="Q79" s="35" cm="1">
        <f t="array" ref="Q79">IF(I79="",_xlfn.LET(
    _xlpm.vals,_xlfn._xlws.FILTER($J$7:J78,$J$7:J78&lt;&gt;"",""),
    _xlpm.avgJ,IF(COUNTA(_xlpm.vals)=0,0,AVERAGE(_xlfn.TAKE(_xlpm.vals,-MIN(7,ROWS(_xlpm.vals))))),
    _xlpm.addship,IF(P79="",0,P79),
    IF(
        AND(I78="",I79=""),
        Q78-_xlpm.avgJ+_xlpm.addship,
        IF(
            I79="",
            I78-_xlpm.avgJ+_xlpm.addship,
            ""
        )
    )
),I79)</f>
        <v>525332</v>
      </c>
      <c r="R79" s="35" t="str">
        <f t="shared" si="10"/>
        <v/>
      </c>
      <c r="S79" s="35" cm="1">
        <f t="array" ref="S79">IF(K79="",_xlfn.LET(
    _xlpm.vals,_xlfn._xlws.FILTER($N$7:N78,$N$7:N78&lt;&gt;"",""),
    _xlpm.avgJ,IF(COUNTA(_xlpm.vals)=0,0,AVERAGE(_xlfn.TAKE(_xlpm.vals,-MIN(7,ROWS(_xlpm.vals))))),
    _xlpm.addship,IF(R79="",0,R79),
    IF(
        AND(K78="",K79=""),
        S78-_xlpm.avgJ+_xlpm.addship,
        IF(
            K79="",
            K78-_xlpm.avgJ+_xlpm.addship,
            ""
        )
    )
),K79)</f>
        <v>2655058</v>
      </c>
      <c r="T79" s="29" t="str">
        <f t="shared" si="11"/>
        <v>Petrol over capacity | Diesel over capacity</v>
      </c>
      <c r="AC79" s="5">
        <f t="shared" si="12"/>
        <v>16085</v>
      </c>
      <c r="AD79" s="5">
        <f t="shared" si="13"/>
        <v>325936</v>
      </c>
      <c r="AE79" s="5">
        <f t="shared" si="14"/>
        <v>72571</v>
      </c>
      <c r="AF79" s="5">
        <f t="shared" si="15"/>
        <v>1832778</v>
      </c>
    </row>
    <row r="80" spans="2:32" s="12" customFormat="1" ht="18" customHeight="1" x14ac:dyDescent="0.25">
      <c r="B80" s="29"/>
      <c r="F80" s="29"/>
      <c r="H80" s="25">
        <f t="shared" si="17"/>
        <v>46171</v>
      </c>
      <c r="I80" s="34"/>
      <c r="J80" s="34"/>
      <c r="K80" s="34"/>
      <c r="L80" s="34"/>
      <c r="M80" s="34"/>
      <c r="N80" s="41">
        <f t="shared" si="16"/>
        <v>0</v>
      </c>
      <c r="P80" s="35" t="str">
        <f t="shared" si="9"/>
        <v/>
      </c>
      <c r="Q80" s="35" cm="1">
        <f t="array" ref="Q80">IF(I80="",_xlfn.LET(
    _xlpm.vals,_xlfn._xlws.FILTER($J$7:J79,$J$7:J79&lt;&gt;"",""),
    _xlpm.avgJ,IF(COUNTA(_xlpm.vals)=0,0,AVERAGE(_xlfn.TAKE(_xlpm.vals,-MIN(7,ROWS(_xlpm.vals))))),
    _xlpm.addship,IF(P80="",0,P80),
    IF(
        AND(I79="",I80=""),
        Q79-_xlpm.avgJ+_xlpm.addship,
        IF(
            I80="",
            I79-_xlpm.avgJ+_xlpm.addship,
            ""
        )
    )
),I80)</f>
        <v>517132</v>
      </c>
      <c r="R80" s="35" t="str">
        <f t="shared" si="10"/>
        <v/>
      </c>
      <c r="S80" s="35" cm="1">
        <f t="array" ref="S80">IF(K80="",_xlfn.LET(
    _xlpm.vals,_xlfn._xlws.FILTER($N$7:N79,$N$7:N79&lt;&gt;"",""),
    _xlpm.avgJ,IF(COUNTA(_xlpm.vals)=0,0,AVERAGE(_xlfn.TAKE(_xlpm.vals,-MIN(7,ROWS(_xlpm.vals))))),
    _xlpm.addship,IF(R80="",0,R80),
    IF(
        AND(K79="",K80=""),
        S79-_xlpm.avgJ+_xlpm.addship,
        IF(
            K80="",
            K79-_xlpm.avgJ+_xlpm.addship,
            ""
        )
    )
),K80)</f>
        <v>2655058</v>
      </c>
      <c r="T80" s="29" t="str">
        <f t="shared" si="11"/>
        <v>Petrol over capacity | Diesel over capacity</v>
      </c>
      <c r="AC80" s="5">
        <f t="shared" si="12"/>
        <v>16085</v>
      </c>
      <c r="AD80" s="5">
        <f t="shared" si="13"/>
        <v>325936</v>
      </c>
      <c r="AE80" s="5">
        <f t="shared" si="14"/>
        <v>72571</v>
      </c>
      <c r="AF80" s="5">
        <f t="shared" si="15"/>
        <v>1832778</v>
      </c>
    </row>
    <row r="81" spans="2:32" s="12" customFormat="1" ht="18" customHeight="1" x14ac:dyDescent="0.25">
      <c r="B81" s="29"/>
      <c r="F81" s="29"/>
      <c r="H81" s="25">
        <f t="shared" si="17"/>
        <v>46172</v>
      </c>
      <c r="I81" s="34"/>
      <c r="J81" s="34"/>
      <c r="K81" s="34"/>
      <c r="L81" s="34"/>
      <c r="M81" s="34"/>
      <c r="N81" s="41">
        <f t="shared" si="16"/>
        <v>0</v>
      </c>
      <c r="P81" s="35" t="str">
        <f t="shared" si="9"/>
        <v/>
      </c>
      <c r="Q81" s="35" cm="1">
        <f t="array" ref="Q81">IF(I81="",_xlfn.LET(
    _xlpm.vals,_xlfn._xlws.FILTER($J$7:J80,$J$7:J80&lt;&gt;"",""),
    _xlpm.avgJ,IF(COUNTA(_xlpm.vals)=0,0,AVERAGE(_xlfn.TAKE(_xlpm.vals,-MIN(7,ROWS(_xlpm.vals))))),
    _xlpm.addship,IF(P81="",0,P81),
    IF(
        AND(I80="",I81=""),
        Q80-_xlpm.avgJ+_xlpm.addship,
        IF(
            I81="",
            I80-_xlpm.avgJ+_xlpm.addship,
            ""
        )
    )
),I81)</f>
        <v>508932</v>
      </c>
      <c r="R81" s="35" t="str">
        <f t="shared" si="10"/>
        <v/>
      </c>
      <c r="S81" s="35" cm="1">
        <f t="array" ref="S81">IF(K81="",_xlfn.LET(
    _xlpm.vals,_xlfn._xlws.FILTER($N$7:N80,$N$7:N80&lt;&gt;"",""),
    _xlpm.avgJ,IF(COUNTA(_xlpm.vals)=0,0,AVERAGE(_xlfn.TAKE(_xlpm.vals,-MIN(7,ROWS(_xlpm.vals))))),
    _xlpm.addship,IF(R81="",0,R81),
    IF(
        AND(K80="",K81=""),
        S80-_xlpm.avgJ+_xlpm.addship,
        IF(
            K81="",
            K80-_xlpm.avgJ+_xlpm.addship,
            ""
        )
    )
),K81)</f>
        <v>2655058</v>
      </c>
      <c r="T81" s="29" t="str">
        <f t="shared" si="11"/>
        <v>Petrol over capacity | Diesel over capacity</v>
      </c>
      <c r="AC81" s="5">
        <f t="shared" si="12"/>
        <v>16085</v>
      </c>
      <c r="AD81" s="5">
        <f t="shared" si="13"/>
        <v>325936</v>
      </c>
      <c r="AE81" s="5">
        <f t="shared" si="14"/>
        <v>72571</v>
      </c>
      <c r="AF81" s="5">
        <f t="shared" si="15"/>
        <v>1832778</v>
      </c>
    </row>
    <row r="82" spans="2:32" s="12" customFormat="1" ht="18" customHeight="1" x14ac:dyDescent="0.25">
      <c r="B82" s="29"/>
      <c r="F82" s="29"/>
      <c r="H82" s="25">
        <f t="shared" si="17"/>
        <v>46173</v>
      </c>
      <c r="I82" s="34"/>
      <c r="J82" s="34"/>
      <c r="K82" s="34"/>
      <c r="L82" s="34"/>
      <c r="M82" s="34"/>
      <c r="N82" s="41">
        <f t="shared" si="16"/>
        <v>0</v>
      </c>
      <c r="P82" s="35" t="str">
        <f t="shared" si="9"/>
        <v/>
      </c>
      <c r="Q82" s="35" cm="1">
        <f t="array" ref="Q82">IF(I82="",_xlfn.LET(
    _xlpm.vals,_xlfn._xlws.FILTER($J$7:J81,$J$7:J81&lt;&gt;"",""),
    _xlpm.avgJ,IF(COUNTA(_xlpm.vals)=0,0,AVERAGE(_xlfn.TAKE(_xlpm.vals,-MIN(7,ROWS(_xlpm.vals))))),
    _xlpm.addship,IF(P82="",0,P82),
    IF(
        AND(I81="",I82=""),
        Q81-_xlpm.avgJ+_xlpm.addship,
        IF(
            I82="",
            I81-_xlpm.avgJ+_xlpm.addship,
            ""
        )
    )
),I82)</f>
        <v>500732</v>
      </c>
      <c r="R82" s="35" t="str">
        <f t="shared" si="10"/>
        <v/>
      </c>
      <c r="S82" s="35" cm="1">
        <f t="array" ref="S82">IF(K82="",_xlfn.LET(
    _xlpm.vals,_xlfn._xlws.FILTER($N$7:N81,$N$7:N81&lt;&gt;"",""),
    _xlpm.avgJ,IF(COUNTA(_xlpm.vals)=0,0,AVERAGE(_xlfn.TAKE(_xlpm.vals,-MIN(7,ROWS(_xlpm.vals))))),
    _xlpm.addship,IF(R82="",0,R82),
    IF(
        AND(K81="",K82=""),
        S81-_xlpm.avgJ+_xlpm.addship,
        IF(
            K82="",
            K81-_xlpm.avgJ+_xlpm.addship,
            ""
        )
    )
),K82)</f>
        <v>2655058</v>
      </c>
      <c r="T82" s="29" t="str">
        <f t="shared" si="11"/>
        <v>Petrol over capacity | Diesel over capacity</v>
      </c>
      <c r="AC82" s="5">
        <f t="shared" si="12"/>
        <v>16085</v>
      </c>
      <c r="AD82" s="5">
        <f t="shared" si="13"/>
        <v>325936</v>
      </c>
      <c r="AE82" s="5">
        <f t="shared" si="14"/>
        <v>72571</v>
      </c>
      <c r="AF82" s="5">
        <f t="shared" si="15"/>
        <v>1832778</v>
      </c>
    </row>
    <row r="83" spans="2:32" s="12" customFormat="1" ht="18" customHeight="1" x14ac:dyDescent="0.25">
      <c r="B83" s="29"/>
      <c r="F83" s="29"/>
      <c r="H83" s="25">
        <f t="shared" si="17"/>
        <v>46174</v>
      </c>
      <c r="I83" s="34"/>
      <c r="J83" s="34"/>
      <c r="K83" s="34"/>
      <c r="L83" s="34"/>
      <c r="M83" s="34"/>
      <c r="N83" s="41">
        <f t="shared" si="16"/>
        <v>0</v>
      </c>
      <c r="P83" s="35" t="str">
        <f t="shared" si="9"/>
        <v/>
      </c>
      <c r="Q83" s="35" cm="1">
        <f t="array" ref="Q83">IF(I83="",_xlfn.LET(
    _xlpm.vals,_xlfn._xlws.FILTER($J$7:J82,$J$7:J82&lt;&gt;"",""),
    _xlpm.avgJ,IF(COUNTA(_xlpm.vals)=0,0,AVERAGE(_xlfn.TAKE(_xlpm.vals,-MIN(7,ROWS(_xlpm.vals))))),
    _xlpm.addship,IF(P83="",0,P83),
    IF(
        AND(I82="",I83=""),
        Q82-_xlpm.avgJ+_xlpm.addship,
        IF(
            I83="",
            I82-_xlpm.avgJ+_xlpm.addship,
            ""
        )
    )
),I83)</f>
        <v>492532</v>
      </c>
      <c r="R83" s="35" t="str">
        <f t="shared" si="10"/>
        <v/>
      </c>
      <c r="S83" s="35" cm="1">
        <f t="array" ref="S83">IF(K83="",_xlfn.LET(
    _xlpm.vals,_xlfn._xlws.FILTER($N$7:N82,$N$7:N82&lt;&gt;"",""),
    _xlpm.avgJ,IF(COUNTA(_xlpm.vals)=0,0,AVERAGE(_xlfn.TAKE(_xlpm.vals,-MIN(7,ROWS(_xlpm.vals))))),
    _xlpm.addship,IF(R83="",0,R83),
    IF(
        AND(K82="",K83=""),
        S82-_xlpm.avgJ+_xlpm.addship,
        IF(
            K83="",
            K82-_xlpm.avgJ+_xlpm.addship,
            ""
        )
    )
),K83)</f>
        <v>2655058</v>
      </c>
      <c r="T83" s="29" t="str">
        <f t="shared" si="11"/>
        <v>Petrol over capacity | Diesel over capacity</v>
      </c>
      <c r="AC83" s="5">
        <f t="shared" si="12"/>
        <v>16085</v>
      </c>
      <c r="AD83" s="5">
        <f t="shared" si="13"/>
        <v>325936</v>
      </c>
      <c r="AE83" s="5">
        <f t="shared" si="14"/>
        <v>72571</v>
      </c>
      <c r="AF83" s="5">
        <f t="shared" si="15"/>
        <v>1832778</v>
      </c>
    </row>
    <row r="84" spans="2:32" s="12" customFormat="1" ht="18" customHeight="1" x14ac:dyDescent="0.25">
      <c r="B84" s="29"/>
      <c r="F84" s="29"/>
      <c r="H84" s="25">
        <f t="shared" si="17"/>
        <v>46175</v>
      </c>
      <c r="I84" s="34"/>
      <c r="J84" s="34"/>
      <c r="K84" s="34"/>
      <c r="L84" s="34"/>
      <c r="M84" s="34"/>
      <c r="N84" s="41">
        <f t="shared" si="16"/>
        <v>0</v>
      </c>
      <c r="P84" s="35" t="str">
        <f t="shared" si="9"/>
        <v/>
      </c>
      <c r="Q84" s="35" cm="1">
        <f t="array" ref="Q84">IF(I84="",_xlfn.LET(
    _xlpm.vals,_xlfn._xlws.FILTER($J$7:J83,$J$7:J83&lt;&gt;"",""),
    _xlpm.avgJ,IF(COUNTA(_xlpm.vals)=0,0,AVERAGE(_xlfn.TAKE(_xlpm.vals,-MIN(7,ROWS(_xlpm.vals))))),
    _xlpm.addship,IF(P84="",0,P84),
    IF(
        AND(I83="",I84=""),
        Q83-_xlpm.avgJ+_xlpm.addship,
        IF(
            I84="",
            I83-_xlpm.avgJ+_xlpm.addship,
            ""
        )
    )
),I84)</f>
        <v>484332</v>
      </c>
      <c r="R84" s="35" t="str">
        <f t="shared" si="10"/>
        <v/>
      </c>
      <c r="S84" s="35" cm="1">
        <f t="array" ref="S84">IF(K84="",_xlfn.LET(
    _xlpm.vals,_xlfn._xlws.FILTER($N$7:N83,$N$7:N83&lt;&gt;"",""),
    _xlpm.avgJ,IF(COUNTA(_xlpm.vals)=0,0,AVERAGE(_xlfn.TAKE(_xlpm.vals,-MIN(7,ROWS(_xlpm.vals))))),
    _xlpm.addship,IF(R84="",0,R84),
    IF(
        AND(K83="",K84=""),
        S83-_xlpm.avgJ+_xlpm.addship,
        IF(
            K84="",
            K83-_xlpm.avgJ+_xlpm.addship,
            ""
        )
    )
),K84)</f>
        <v>2655058</v>
      </c>
      <c r="T84" s="29" t="str">
        <f t="shared" si="11"/>
        <v>Petrol over capacity | Diesel over capacity</v>
      </c>
      <c r="AC84" s="5">
        <f t="shared" si="12"/>
        <v>16085</v>
      </c>
      <c r="AD84" s="5">
        <f t="shared" si="13"/>
        <v>325936</v>
      </c>
      <c r="AE84" s="5">
        <f t="shared" si="14"/>
        <v>72571</v>
      </c>
      <c r="AF84" s="5">
        <f t="shared" si="15"/>
        <v>1832778</v>
      </c>
    </row>
    <row r="85" spans="2:32" s="12" customFormat="1" ht="18" customHeight="1" x14ac:dyDescent="0.25">
      <c r="B85" s="29"/>
      <c r="F85" s="29"/>
      <c r="H85" s="25">
        <f t="shared" si="17"/>
        <v>46176</v>
      </c>
      <c r="I85" s="34"/>
      <c r="J85" s="34"/>
      <c r="K85" s="34"/>
      <c r="L85" s="34"/>
      <c r="M85" s="34"/>
      <c r="N85" s="41">
        <f t="shared" si="16"/>
        <v>0</v>
      </c>
      <c r="P85" s="35" t="str">
        <f t="shared" si="9"/>
        <v/>
      </c>
      <c r="Q85" s="35" cm="1">
        <f t="array" ref="Q85">IF(I85="",_xlfn.LET(
    _xlpm.vals,_xlfn._xlws.FILTER($J$7:J84,$J$7:J84&lt;&gt;"",""),
    _xlpm.avgJ,IF(COUNTA(_xlpm.vals)=0,0,AVERAGE(_xlfn.TAKE(_xlpm.vals,-MIN(7,ROWS(_xlpm.vals))))),
    _xlpm.addship,IF(P85="",0,P85),
    IF(
        AND(I84="",I85=""),
        Q84-_xlpm.avgJ+_xlpm.addship,
        IF(
            I85="",
            I84-_xlpm.avgJ+_xlpm.addship,
            ""
        )
    )
),I85)</f>
        <v>476132</v>
      </c>
      <c r="R85" s="35" t="str">
        <f t="shared" si="10"/>
        <v/>
      </c>
      <c r="S85" s="35" cm="1">
        <f t="array" ref="S85">IF(K85="",_xlfn.LET(
    _xlpm.vals,_xlfn._xlws.FILTER($N$7:N84,$N$7:N84&lt;&gt;"",""),
    _xlpm.avgJ,IF(COUNTA(_xlpm.vals)=0,0,AVERAGE(_xlfn.TAKE(_xlpm.vals,-MIN(7,ROWS(_xlpm.vals))))),
    _xlpm.addship,IF(R85="",0,R85),
    IF(
        AND(K84="",K85=""),
        S84-_xlpm.avgJ+_xlpm.addship,
        IF(
            K85="",
            K84-_xlpm.avgJ+_xlpm.addship,
            ""
        )
    )
),K85)</f>
        <v>2655058</v>
      </c>
      <c r="T85" s="29" t="str">
        <f t="shared" si="11"/>
        <v>Petrol over capacity | Diesel over capacity</v>
      </c>
      <c r="AC85" s="5">
        <f t="shared" si="12"/>
        <v>16085</v>
      </c>
      <c r="AD85" s="5">
        <f t="shared" si="13"/>
        <v>325936</v>
      </c>
      <c r="AE85" s="5">
        <f t="shared" si="14"/>
        <v>72571</v>
      </c>
      <c r="AF85" s="5">
        <f t="shared" si="15"/>
        <v>1832778</v>
      </c>
    </row>
    <row r="86" spans="2:32" s="12" customFormat="1" ht="18" customHeight="1" x14ac:dyDescent="0.25">
      <c r="B86" s="29"/>
      <c r="F86" s="29"/>
      <c r="H86" s="25">
        <f t="shared" si="17"/>
        <v>46177</v>
      </c>
      <c r="I86" s="34"/>
      <c r="J86" s="34"/>
      <c r="K86" s="34"/>
      <c r="L86" s="34"/>
      <c r="M86" s="34"/>
      <c r="N86" s="41">
        <f t="shared" si="16"/>
        <v>0</v>
      </c>
      <c r="P86" s="35" t="str">
        <f t="shared" si="9"/>
        <v/>
      </c>
      <c r="Q86" s="35" cm="1">
        <f t="array" ref="Q86">IF(I86="",_xlfn.LET(
    _xlpm.vals,_xlfn._xlws.FILTER($J$7:J85,$J$7:J85&lt;&gt;"",""),
    _xlpm.avgJ,IF(COUNTA(_xlpm.vals)=0,0,AVERAGE(_xlfn.TAKE(_xlpm.vals,-MIN(7,ROWS(_xlpm.vals))))),
    _xlpm.addship,IF(P86="",0,P86),
    IF(
        AND(I85="",I86=""),
        Q85-_xlpm.avgJ+_xlpm.addship,
        IF(
            I86="",
            I85-_xlpm.avgJ+_xlpm.addship,
            ""
        )
    )
),I86)</f>
        <v>467932</v>
      </c>
      <c r="R86" s="35" t="str">
        <f t="shared" si="10"/>
        <v/>
      </c>
      <c r="S86" s="35" cm="1">
        <f t="array" ref="S86">IF(K86="",_xlfn.LET(
    _xlpm.vals,_xlfn._xlws.FILTER($N$7:N85,$N$7:N85&lt;&gt;"",""),
    _xlpm.avgJ,IF(COUNTA(_xlpm.vals)=0,0,AVERAGE(_xlfn.TAKE(_xlpm.vals,-MIN(7,ROWS(_xlpm.vals))))),
    _xlpm.addship,IF(R86="",0,R86),
    IF(
        AND(K85="",K86=""),
        S85-_xlpm.avgJ+_xlpm.addship,
        IF(
            K86="",
            K85-_xlpm.avgJ+_xlpm.addship,
            ""
        )
    )
),K86)</f>
        <v>2655058</v>
      </c>
      <c r="T86" s="29" t="str">
        <f t="shared" si="11"/>
        <v>Petrol over capacity | Diesel over capacity</v>
      </c>
      <c r="AC86" s="5">
        <f t="shared" si="12"/>
        <v>16085</v>
      </c>
      <c r="AD86" s="5">
        <f t="shared" si="13"/>
        <v>325936</v>
      </c>
      <c r="AE86" s="5">
        <f t="shared" si="14"/>
        <v>72571</v>
      </c>
      <c r="AF86" s="5">
        <f t="shared" si="15"/>
        <v>1832778</v>
      </c>
    </row>
    <row r="87" spans="2:32" s="12" customFormat="1" ht="18" customHeight="1" x14ac:dyDescent="0.25">
      <c r="B87" s="29"/>
      <c r="F87" s="29"/>
      <c r="H87" s="25">
        <f t="shared" si="17"/>
        <v>46178</v>
      </c>
      <c r="I87" s="34"/>
      <c r="J87" s="34"/>
      <c r="K87" s="34"/>
      <c r="L87" s="34"/>
      <c r="M87" s="34"/>
      <c r="N87" s="41">
        <f t="shared" si="16"/>
        <v>0</v>
      </c>
      <c r="P87" s="35" t="str">
        <f t="shared" si="9"/>
        <v/>
      </c>
      <c r="Q87" s="35" cm="1">
        <f t="array" ref="Q87">IF(I87="",_xlfn.LET(
    _xlpm.vals,_xlfn._xlws.FILTER($J$7:J86,$J$7:J86&lt;&gt;"",""),
    _xlpm.avgJ,IF(COUNTA(_xlpm.vals)=0,0,AVERAGE(_xlfn.TAKE(_xlpm.vals,-MIN(7,ROWS(_xlpm.vals))))),
    _xlpm.addship,IF(P87="",0,P87),
    IF(
        AND(I86="",I87=""),
        Q86-_xlpm.avgJ+_xlpm.addship,
        IF(
            I87="",
            I86-_xlpm.avgJ+_xlpm.addship,
            ""
        )
    )
),I87)</f>
        <v>459732</v>
      </c>
      <c r="R87" s="35" t="str">
        <f t="shared" si="10"/>
        <v/>
      </c>
      <c r="S87" s="35" cm="1">
        <f t="array" ref="S87">IF(K87="",_xlfn.LET(
    _xlpm.vals,_xlfn._xlws.FILTER($N$7:N86,$N$7:N86&lt;&gt;"",""),
    _xlpm.avgJ,IF(COUNTA(_xlpm.vals)=0,0,AVERAGE(_xlfn.TAKE(_xlpm.vals,-MIN(7,ROWS(_xlpm.vals))))),
    _xlpm.addship,IF(R87="",0,R87),
    IF(
        AND(K86="",K87=""),
        S86-_xlpm.avgJ+_xlpm.addship,
        IF(
            K87="",
            K86-_xlpm.avgJ+_xlpm.addship,
            ""
        )
    )
),K87)</f>
        <v>2655058</v>
      </c>
      <c r="T87" s="29" t="str">
        <f t="shared" si="11"/>
        <v>Petrol over capacity | Diesel over capacity</v>
      </c>
      <c r="AC87" s="5">
        <f t="shared" si="12"/>
        <v>16085</v>
      </c>
      <c r="AD87" s="5">
        <f t="shared" si="13"/>
        <v>325936</v>
      </c>
      <c r="AE87" s="5">
        <f t="shared" si="14"/>
        <v>72571</v>
      </c>
      <c r="AF87" s="5">
        <f t="shared" si="15"/>
        <v>1832778</v>
      </c>
    </row>
    <row r="88" spans="2:32" s="12" customFormat="1" ht="18" customHeight="1" x14ac:dyDescent="0.25">
      <c r="B88" s="29"/>
      <c r="F88" s="29"/>
      <c r="H88" s="25">
        <f t="shared" si="17"/>
        <v>46179</v>
      </c>
      <c r="I88" s="34"/>
      <c r="J88" s="34"/>
      <c r="K88" s="34"/>
      <c r="L88" s="34"/>
      <c r="M88" s="34"/>
      <c r="N88" s="41">
        <f t="shared" si="16"/>
        <v>0</v>
      </c>
      <c r="P88" s="35" t="str">
        <f t="shared" si="9"/>
        <v/>
      </c>
      <c r="Q88" s="35" cm="1">
        <f t="array" ref="Q88">IF(I88="",_xlfn.LET(
    _xlpm.vals,_xlfn._xlws.FILTER($J$7:J87,$J$7:J87&lt;&gt;"",""),
    _xlpm.avgJ,IF(COUNTA(_xlpm.vals)=0,0,AVERAGE(_xlfn.TAKE(_xlpm.vals,-MIN(7,ROWS(_xlpm.vals))))),
    _xlpm.addship,IF(P88="",0,P88),
    IF(
        AND(I87="",I88=""),
        Q87-_xlpm.avgJ+_xlpm.addship,
        IF(
            I88="",
            I87-_xlpm.avgJ+_xlpm.addship,
            ""
        )
    )
),I88)</f>
        <v>451532</v>
      </c>
      <c r="R88" s="35" t="str">
        <f t="shared" si="10"/>
        <v/>
      </c>
      <c r="S88" s="35" cm="1">
        <f t="array" ref="S88">IF(K88="",_xlfn.LET(
    _xlpm.vals,_xlfn._xlws.FILTER($N$7:N87,$N$7:N87&lt;&gt;"",""),
    _xlpm.avgJ,IF(COUNTA(_xlpm.vals)=0,0,AVERAGE(_xlfn.TAKE(_xlpm.vals,-MIN(7,ROWS(_xlpm.vals))))),
    _xlpm.addship,IF(R88="",0,R88),
    IF(
        AND(K87="",K88=""),
        S87-_xlpm.avgJ+_xlpm.addship,
        IF(
            K88="",
            K87-_xlpm.avgJ+_xlpm.addship,
            ""
        )
    )
),K88)</f>
        <v>2655058</v>
      </c>
      <c r="T88" s="29" t="str">
        <f t="shared" si="11"/>
        <v>Petrol over capacity | Diesel over capacity</v>
      </c>
      <c r="AC88" s="5">
        <f t="shared" si="12"/>
        <v>16085</v>
      </c>
      <c r="AD88" s="5">
        <f t="shared" si="13"/>
        <v>325936</v>
      </c>
      <c r="AE88" s="5">
        <f t="shared" si="14"/>
        <v>72571</v>
      </c>
      <c r="AF88" s="5">
        <f t="shared" si="15"/>
        <v>1832778</v>
      </c>
    </row>
    <row r="89" spans="2:32" s="12" customFormat="1" ht="18" customHeight="1" x14ac:dyDescent="0.25">
      <c r="B89" s="29"/>
      <c r="F89" s="29"/>
      <c r="H89" s="25">
        <f t="shared" si="17"/>
        <v>46180</v>
      </c>
      <c r="I89" s="34"/>
      <c r="J89" s="34"/>
      <c r="K89" s="34"/>
      <c r="L89" s="34"/>
      <c r="M89" s="34"/>
      <c r="N89" s="41">
        <f t="shared" si="16"/>
        <v>0</v>
      </c>
      <c r="P89" s="35" t="str">
        <f t="shared" si="9"/>
        <v/>
      </c>
      <c r="Q89" s="35" cm="1">
        <f t="array" ref="Q89">IF(I89="",_xlfn.LET(
    _xlpm.vals,_xlfn._xlws.FILTER($J$7:J88,$J$7:J88&lt;&gt;"",""),
    _xlpm.avgJ,IF(COUNTA(_xlpm.vals)=0,0,AVERAGE(_xlfn.TAKE(_xlpm.vals,-MIN(7,ROWS(_xlpm.vals))))),
    _xlpm.addship,IF(P89="",0,P89),
    IF(
        AND(I88="",I89=""),
        Q88-_xlpm.avgJ+_xlpm.addship,
        IF(
            I89="",
            I88-_xlpm.avgJ+_xlpm.addship,
            ""
        )
    )
),I89)</f>
        <v>443332</v>
      </c>
      <c r="R89" s="35" t="str">
        <f t="shared" si="10"/>
        <v/>
      </c>
      <c r="S89" s="35" cm="1">
        <f t="array" ref="S89">IF(K89="",_xlfn.LET(
    _xlpm.vals,_xlfn._xlws.FILTER($N$7:N88,$N$7:N88&lt;&gt;"",""),
    _xlpm.avgJ,IF(COUNTA(_xlpm.vals)=0,0,AVERAGE(_xlfn.TAKE(_xlpm.vals,-MIN(7,ROWS(_xlpm.vals))))),
    _xlpm.addship,IF(R89="",0,R89),
    IF(
        AND(K88="",K89=""),
        S88-_xlpm.avgJ+_xlpm.addship,
        IF(
            K89="",
            K88-_xlpm.avgJ+_xlpm.addship,
            ""
        )
    )
),K89)</f>
        <v>2655058</v>
      </c>
      <c r="T89" s="29" t="str">
        <f t="shared" si="11"/>
        <v>Petrol over capacity | Diesel over capacity</v>
      </c>
      <c r="AC89" s="5">
        <f t="shared" si="12"/>
        <v>16085</v>
      </c>
      <c r="AD89" s="5">
        <f t="shared" si="13"/>
        <v>325936</v>
      </c>
      <c r="AE89" s="5">
        <f t="shared" si="14"/>
        <v>72571</v>
      </c>
      <c r="AF89" s="5">
        <f t="shared" si="15"/>
        <v>1832778</v>
      </c>
    </row>
    <row r="90" spans="2:32" s="12" customFormat="1" ht="18" customHeight="1" x14ac:dyDescent="0.25">
      <c r="B90" s="29"/>
      <c r="F90" s="29"/>
      <c r="H90" s="25">
        <f t="shared" si="17"/>
        <v>46181</v>
      </c>
      <c r="I90" s="34"/>
      <c r="J90" s="34"/>
      <c r="K90" s="34"/>
      <c r="L90" s="34"/>
      <c r="M90" s="34"/>
      <c r="N90" s="41">
        <f t="shared" si="16"/>
        <v>0</v>
      </c>
      <c r="P90" s="35" t="str">
        <f t="shared" si="9"/>
        <v/>
      </c>
      <c r="Q90" s="35" cm="1">
        <f t="array" ref="Q90">IF(I90="",_xlfn.LET(
    _xlpm.vals,_xlfn._xlws.FILTER($J$7:J89,$J$7:J89&lt;&gt;"",""),
    _xlpm.avgJ,IF(COUNTA(_xlpm.vals)=0,0,AVERAGE(_xlfn.TAKE(_xlpm.vals,-MIN(7,ROWS(_xlpm.vals))))),
    _xlpm.addship,IF(P90="",0,P90),
    IF(
        AND(I89="",I90=""),
        Q89-_xlpm.avgJ+_xlpm.addship,
        IF(
            I90="",
            I89-_xlpm.avgJ+_xlpm.addship,
            ""
        )
    )
),I90)</f>
        <v>435132</v>
      </c>
      <c r="R90" s="35" t="str">
        <f t="shared" si="10"/>
        <v/>
      </c>
      <c r="S90" s="35" cm="1">
        <f t="array" ref="S90">IF(K90="",_xlfn.LET(
    _xlpm.vals,_xlfn._xlws.FILTER($N$7:N89,$N$7:N89&lt;&gt;"",""),
    _xlpm.avgJ,IF(COUNTA(_xlpm.vals)=0,0,AVERAGE(_xlfn.TAKE(_xlpm.vals,-MIN(7,ROWS(_xlpm.vals))))),
    _xlpm.addship,IF(R90="",0,R90),
    IF(
        AND(K89="",K90=""),
        S89-_xlpm.avgJ+_xlpm.addship,
        IF(
            K90="",
            K89-_xlpm.avgJ+_xlpm.addship,
            ""
        )
    )
),K90)</f>
        <v>2655058</v>
      </c>
      <c r="T90" s="29" t="str">
        <f t="shared" si="11"/>
        <v>Petrol over capacity | Diesel over capacity</v>
      </c>
      <c r="AC90" s="5">
        <f t="shared" si="12"/>
        <v>16085</v>
      </c>
      <c r="AD90" s="5">
        <f t="shared" si="13"/>
        <v>325936</v>
      </c>
      <c r="AE90" s="5">
        <f t="shared" si="14"/>
        <v>72571</v>
      </c>
      <c r="AF90" s="5">
        <f t="shared" si="15"/>
        <v>1832778</v>
      </c>
    </row>
    <row r="91" spans="2:32" s="12" customFormat="1" ht="18" customHeight="1" x14ac:dyDescent="0.25">
      <c r="B91" s="29"/>
      <c r="F91" s="29"/>
      <c r="H91" s="25">
        <f t="shared" si="17"/>
        <v>46182</v>
      </c>
      <c r="I91" s="34"/>
      <c r="J91" s="34"/>
      <c r="K91" s="34"/>
      <c r="L91" s="34"/>
      <c r="M91" s="34"/>
      <c r="N91" s="41">
        <f t="shared" si="16"/>
        <v>0</v>
      </c>
      <c r="P91" s="35" t="str">
        <f t="shared" si="9"/>
        <v/>
      </c>
      <c r="Q91" s="35" cm="1">
        <f t="array" ref="Q91">IF(I91="",_xlfn.LET(
    _xlpm.vals,_xlfn._xlws.FILTER($J$7:J90,$J$7:J90&lt;&gt;"",""),
    _xlpm.avgJ,IF(COUNTA(_xlpm.vals)=0,0,AVERAGE(_xlfn.TAKE(_xlpm.vals,-MIN(7,ROWS(_xlpm.vals))))),
    _xlpm.addship,IF(P91="",0,P91),
    IF(
        AND(I90="",I91=""),
        Q90-_xlpm.avgJ+_xlpm.addship,
        IF(
            I91="",
            I90-_xlpm.avgJ+_xlpm.addship,
            ""
        )
    )
),I91)</f>
        <v>426932</v>
      </c>
      <c r="R91" s="35" t="str">
        <f t="shared" si="10"/>
        <v/>
      </c>
      <c r="S91" s="35" cm="1">
        <f t="array" ref="S91">IF(K91="",_xlfn.LET(
    _xlpm.vals,_xlfn._xlws.FILTER($N$7:N90,$N$7:N90&lt;&gt;"",""),
    _xlpm.avgJ,IF(COUNTA(_xlpm.vals)=0,0,AVERAGE(_xlfn.TAKE(_xlpm.vals,-MIN(7,ROWS(_xlpm.vals))))),
    _xlpm.addship,IF(R91="",0,R91),
    IF(
        AND(K90="",K91=""),
        S90-_xlpm.avgJ+_xlpm.addship,
        IF(
            K91="",
            K90-_xlpm.avgJ+_xlpm.addship,
            ""
        )
    )
),K91)</f>
        <v>2655058</v>
      </c>
      <c r="T91" s="29" t="str">
        <f t="shared" si="11"/>
        <v>Petrol over capacity | Diesel over capacity</v>
      </c>
      <c r="AC91" s="5">
        <f t="shared" si="12"/>
        <v>16085</v>
      </c>
      <c r="AD91" s="5">
        <f t="shared" si="13"/>
        <v>325936</v>
      </c>
      <c r="AE91" s="5">
        <f t="shared" si="14"/>
        <v>72571</v>
      </c>
      <c r="AF91" s="5">
        <f t="shared" si="15"/>
        <v>1832778</v>
      </c>
    </row>
    <row r="92" spans="2:32" s="12" customFormat="1" ht="18" customHeight="1" x14ac:dyDescent="0.25">
      <c r="B92" s="29"/>
      <c r="F92" s="29"/>
      <c r="H92" s="25">
        <f t="shared" si="17"/>
        <v>46183</v>
      </c>
      <c r="I92" s="34"/>
      <c r="J92" s="34"/>
      <c r="K92" s="34"/>
      <c r="L92" s="34"/>
      <c r="M92" s="34"/>
      <c r="N92" s="41">
        <f t="shared" si="16"/>
        <v>0</v>
      </c>
      <c r="P92" s="35" t="str">
        <f t="shared" si="9"/>
        <v/>
      </c>
      <c r="Q92" s="35" cm="1">
        <f t="array" ref="Q92">IF(I92="",_xlfn.LET(
    _xlpm.vals,_xlfn._xlws.FILTER($J$7:J91,$J$7:J91&lt;&gt;"",""),
    _xlpm.avgJ,IF(COUNTA(_xlpm.vals)=0,0,AVERAGE(_xlfn.TAKE(_xlpm.vals,-MIN(7,ROWS(_xlpm.vals))))),
    _xlpm.addship,IF(P92="",0,P92),
    IF(
        AND(I91="",I92=""),
        Q91-_xlpm.avgJ+_xlpm.addship,
        IF(
            I92="",
            I91-_xlpm.avgJ+_xlpm.addship,
            ""
        )
    )
),I92)</f>
        <v>418732</v>
      </c>
      <c r="R92" s="35" t="str">
        <f t="shared" si="10"/>
        <v/>
      </c>
      <c r="S92" s="35" cm="1">
        <f t="array" ref="S92">IF(K92="",_xlfn.LET(
    _xlpm.vals,_xlfn._xlws.FILTER($N$7:N91,$N$7:N91&lt;&gt;"",""),
    _xlpm.avgJ,IF(COUNTA(_xlpm.vals)=0,0,AVERAGE(_xlfn.TAKE(_xlpm.vals,-MIN(7,ROWS(_xlpm.vals))))),
    _xlpm.addship,IF(R92="",0,R92),
    IF(
        AND(K91="",K92=""),
        S91-_xlpm.avgJ+_xlpm.addship,
        IF(
            K92="",
            K91-_xlpm.avgJ+_xlpm.addship,
            ""
        )
    )
),K92)</f>
        <v>2655058</v>
      </c>
      <c r="T92" s="29" t="str">
        <f t="shared" si="11"/>
        <v>Petrol over capacity | Diesel over capacity</v>
      </c>
      <c r="AC92" s="5">
        <f t="shared" si="12"/>
        <v>16085</v>
      </c>
      <c r="AD92" s="5">
        <f t="shared" si="13"/>
        <v>325936</v>
      </c>
      <c r="AE92" s="5">
        <f t="shared" si="14"/>
        <v>72571</v>
      </c>
      <c r="AF92" s="5">
        <f t="shared" si="15"/>
        <v>1832778</v>
      </c>
    </row>
    <row r="93" spans="2:32" s="12" customFormat="1" ht="18" customHeight="1" x14ac:dyDescent="0.25">
      <c r="B93" s="29"/>
      <c r="F93" s="29"/>
      <c r="H93" s="25">
        <f t="shared" si="17"/>
        <v>46184</v>
      </c>
      <c r="I93" s="34"/>
      <c r="J93" s="34"/>
      <c r="K93" s="34"/>
      <c r="L93" s="34"/>
      <c r="M93" s="34"/>
      <c r="N93" s="41">
        <f t="shared" si="16"/>
        <v>0</v>
      </c>
      <c r="P93" s="35" t="str">
        <f t="shared" si="9"/>
        <v/>
      </c>
      <c r="Q93" s="35" cm="1">
        <f t="array" ref="Q93">IF(I93="",_xlfn.LET(
    _xlpm.vals,_xlfn._xlws.FILTER($J$7:J92,$J$7:J92&lt;&gt;"",""),
    _xlpm.avgJ,IF(COUNTA(_xlpm.vals)=0,0,AVERAGE(_xlfn.TAKE(_xlpm.vals,-MIN(7,ROWS(_xlpm.vals))))),
    _xlpm.addship,IF(P93="",0,P93),
    IF(
        AND(I92="",I93=""),
        Q92-_xlpm.avgJ+_xlpm.addship,
        IF(
            I93="",
            I92-_xlpm.avgJ+_xlpm.addship,
            ""
        )
    )
),I93)</f>
        <v>410532</v>
      </c>
      <c r="R93" s="35" t="str">
        <f t="shared" si="10"/>
        <v/>
      </c>
      <c r="S93" s="35" cm="1">
        <f t="array" ref="S93">IF(K93="",_xlfn.LET(
    _xlpm.vals,_xlfn._xlws.FILTER($N$7:N92,$N$7:N92&lt;&gt;"",""),
    _xlpm.avgJ,IF(COUNTA(_xlpm.vals)=0,0,AVERAGE(_xlfn.TAKE(_xlpm.vals,-MIN(7,ROWS(_xlpm.vals))))),
    _xlpm.addship,IF(R93="",0,R93),
    IF(
        AND(K92="",K93=""),
        S92-_xlpm.avgJ+_xlpm.addship,
        IF(
            K93="",
            K92-_xlpm.avgJ+_xlpm.addship,
            ""
        )
    )
),K93)</f>
        <v>2655058</v>
      </c>
      <c r="T93" s="29" t="str">
        <f t="shared" si="11"/>
        <v>Petrol over capacity | Diesel over capacity</v>
      </c>
      <c r="AC93" s="5">
        <f t="shared" si="12"/>
        <v>16085</v>
      </c>
      <c r="AD93" s="5">
        <f t="shared" si="13"/>
        <v>325936</v>
      </c>
      <c r="AE93" s="5">
        <f t="shared" si="14"/>
        <v>72571</v>
      </c>
      <c r="AF93" s="5">
        <f t="shared" si="15"/>
        <v>1832778</v>
      </c>
    </row>
    <row r="94" spans="2:32" s="12" customFormat="1" ht="18" customHeight="1" x14ac:dyDescent="0.25">
      <c r="B94" s="29"/>
      <c r="F94" s="29"/>
      <c r="H94" s="25">
        <f t="shared" si="17"/>
        <v>46185</v>
      </c>
      <c r="I94" s="34"/>
      <c r="J94" s="34"/>
      <c r="K94" s="34"/>
      <c r="L94" s="34"/>
      <c r="M94" s="34"/>
      <c r="N94" s="41">
        <f t="shared" si="16"/>
        <v>0</v>
      </c>
      <c r="P94" s="35" t="str">
        <f t="shared" si="9"/>
        <v/>
      </c>
      <c r="Q94" s="35" cm="1">
        <f t="array" ref="Q94">IF(I94="",_xlfn.LET(
    _xlpm.vals,_xlfn._xlws.FILTER($J$7:J93,$J$7:J93&lt;&gt;"",""),
    _xlpm.avgJ,IF(COUNTA(_xlpm.vals)=0,0,AVERAGE(_xlfn.TAKE(_xlpm.vals,-MIN(7,ROWS(_xlpm.vals))))),
    _xlpm.addship,IF(P94="",0,P94),
    IF(
        AND(I93="",I94=""),
        Q93-_xlpm.avgJ+_xlpm.addship,
        IF(
            I94="",
            I93-_xlpm.avgJ+_xlpm.addship,
            ""
        )
    )
),I94)</f>
        <v>402332</v>
      </c>
      <c r="R94" s="35" t="str">
        <f t="shared" si="10"/>
        <v/>
      </c>
      <c r="S94" s="35" cm="1">
        <f t="array" ref="S94">IF(K94="",_xlfn.LET(
    _xlpm.vals,_xlfn._xlws.FILTER($N$7:N93,$N$7:N93&lt;&gt;"",""),
    _xlpm.avgJ,IF(COUNTA(_xlpm.vals)=0,0,AVERAGE(_xlfn.TAKE(_xlpm.vals,-MIN(7,ROWS(_xlpm.vals))))),
    _xlpm.addship,IF(R94="",0,R94),
    IF(
        AND(K93="",K94=""),
        S93-_xlpm.avgJ+_xlpm.addship,
        IF(
            K94="",
            K93-_xlpm.avgJ+_xlpm.addship,
            ""
        )
    )
),K94)</f>
        <v>2655058</v>
      </c>
      <c r="T94" s="29" t="str">
        <f t="shared" si="11"/>
        <v>Petrol over capacity | Diesel over capacity</v>
      </c>
      <c r="AC94" s="5">
        <f t="shared" si="12"/>
        <v>16085</v>
      </c>
      <c r="AD94" s="5">
        <f t="shared" si="13"/>
        <v>325936</v>
      </c>
      <c r="AE94" s="5">
        <f t="shared" si="14"/>
        <v>72571</v>
      </c>
      <c r="AF94" s="5">
        <f t="shared" si="15"/>
        <v>1832778</v>
      </c>
    </row>
    <row r="95" spans="2:32" s="12" customFormat="1" ht="18" customHeight="1" x14ac:dyDescent="0.25">
      <c r="B95" s="29"/>
      <c r="F95" s="29"/>
      <c r="H95" s="25">
        <f t="shared" si="17"/>
        <v>46186</v>
      </c>
      <c r="I95" s="34"/>
      <c r="J95" s="34"/>
      <c r="K95" s="34"/>
      <c r="L95" s="34"/>
      <c r="M95" s="34"/>
      <c r="N95" s="41">
        <f t="shared" si="16"/>
        <v>0</v>
      </c>
      <c r="P95" s="35" t="str">
        <f t="shared" si="9"/>
        <v/>
      </c>
      <c r="Q95" s="35" cm="1">
        <f t="array" ref="Q95">IF(I95="",_xlfn.LET(
    _xlpm.vals,_xlfn._xlws.FILTER($J$7:J94,$J$7:J94&lt;&gt;"",""),
    _xlpm.avgJ,IF(COUNTA(_xlpm.vals)=0,0,AVERAGE(_xlfn.TAKE(_xlpm.vals,-MIN(7,ROWS(_xlpm.vals))))),
    _xlpm.addship,IF(P95="",0,P95),
    IF(
        AND(I94="",I95=""),
        Q94-_xlpm.avgJ+_xlpm.addship,
        IF(
            I95="",
            I94-_xlpm.avgJ+_xlpm.addship,
            ""
        )
    )
),I95)</f>
        <v>394132</v>
      </c>
      <c r="R95" s="35" t="str">
        <f t="shared" si="10"/>
        <v/>
      </c>
      <c r="S95" s="35" cm="1">
        <f t="array" ref="S95">IF(K95="",_xlfn.LET(
    _xlpm.vals,_xlfn._xlws.FILTER($N$7:N94,$N$7:N94&lt;&gt;"",""),
    _xlpm.avgJ,IF(COUNTA(_xlpm.vals)=0,0,AVERAGE(_xlfn.TAKE(_xlpm.vals,-MIN(7,ROWS(_xlpm.vals))))),
    _xlpm.addship,IF(R95="",0,R95),
    IF(
        AND(K94="",K95=""),
        S94-_xlpm.avgJ+_xlpm.addship,
        IF(
            K95="",
            K94-_xlpm.avgJ+_xlpm.addship,
            ""
        )
    )
),K95)</f>
        <v>2655058</v>
      </c>
      <c r="T95" s="29" t="str">
        <f t="shared" si="11"/>
        <v>Petrol over capacity | Diesel over capacity</v>
      </c>
      <c r="AC95" s="5">
        <f t="shared" si="12"/>
        <v>16085</v>
      </c>
      <c r="AD95" s="5">
        <f t="shared" si="13"/>
        <v>325936</v>
      </c>
      <c r="AE95" s="5">
        <f t="shared" si="14"/>
        <v>72571</v>
      </c>
      <c r="AF95" s="5">
        <f t="shared" si="15"/>
        <v>1832778</v>
      </c>
    </row>
    <row r="96" spans="2:32" s="12" customFormat="1" ht="18" customHeight="1" x14ac:dyDescent="0.25">
      <c r="B96" s="29"/>
      <c r="F96" s="29"/>
      <c r="H96" s="25">
        <f t="shared" si="17"/>
        <v>46187</v>
      </c>
      <c r="I96" s="34"/>
      <c r="J96" s="34"/>
      <c r="K96" s="34"/>
      <c r="L96" s="34"/>
      <c r="M96" s="34"/>
      <c r="N96" s="41">
        <f t="shared" si="16"/>
        <v>0</v>
      </c>
      <c r="P96" s="35" t="str">
        <f t="shared" si="9"/>
        <v/>
      </c>
      <c r="Q96" s="35" cm="1">
        <f t="array" ref="Q96">IF(I96="",_xlfn.LET(
    _xlpm.vals,_xlfn._xlws.FILTER($J$7:J95,$J$7:J95&lt;&gt;"",""),
    _xlpm.avgJ,IF(COUNTA(_xlpm.vals)=0,0,AVERAGE(_xlfn.TAKE(_xlpm.vals,-MIN(7,ROWS(_xlpm.vals))))),
    _xlpm.addship,IF(P96="",0,P96),
    IF(
        AND(I95="",I96=""),
        Q95-_xlpm.avgJ+_xlpm.addship,
        IF(
            I96="",
            I95-_xlpm.avgJ+_xlpm.addship,
            ""
        )
    )
),I96)</f>
        <v>385932</v>
      </c>
      <c r="R96" s="35" t="str">
        <f t="shared" si="10"/>
        <v/>
      </c>
      <c r="S96" s="35" cm="1">
        <f t="array" ref="S96">IF(K96="",_xlfn.LET(
    _xlpm.vals,_xlfn._xlws.FILTER($N$7:N95,$N$7:N95&lt;&gt;"",""),
    _xlpm.avgJ,IF(COUNTA(_xlpm.vals)=0,0,AVERAGE(_xlfn.TAKE(_xlpm.vals,-MIN(7,ROWS(_xlpm.vals))))),
    _xlpm.addship,IF(R96="",0,R96),
    IF(
        AND(K95="",K96=""),
        S95-_xlpm.avgJ+_xlpm.addship,
        IF(
            K96="",
            K95-_xlpm.avgJ+_xlpm.addship,
            ""
        )
    )
),K96)</f>
        <v>2655058</v>
      </c>
      <c r="T96" s="29" t="str">
        <f t="shared" si="11"/>
        <v>Petrol over capacity | Diesel over capacity</v>
      </c>
      <c r="AC96" s="5">
        <f t="shared" si="12"/>
        <v>16085</v>
      </c>
      <c r="AD96" s="5">
        <f t="shared" si="13"/>
        <v>325936</v>
      </c>
      <c r="AE96" s="5">
        <f t="shared" si="14"/>
        <v>72571</v>
      </c>
      <c r="AF96" s="5">
        <f t="shared" si="15"/>
        <v>1832778</v>
      </c>
    </row>
    <row r="97" spans="2:32" s="12" customFormat="1" ht="18" customHeight="1" x14ac:dyDescent="0.25">
      <c r="B97" s="29"/>
      <c r="F97" s="29"/>
      <c r="H97" s="25">
        <f t="shared" si="17"/>
        <v>46188</v>
      </c>
      <c r="I97" s="34"/>
      <c r="J97" s="34"/>
      <c r="K97" s="34"/>
      <c r="L97" s="34"/>
      <c r="M97" s="34"/>
      <c r="N97" s="41">
        <f t="shared" si="16"/>
        <v>0</v>
      </c>
      <c r="P97" s="35" t="str">
        <f t="shared" si="9"/>
        <v/>
      </c>
      <c r="Q97" s="35" cm="1">
        <f t="array" ref="Q97">IF(I97="",_xlfn.LET(
    _xlpm.vals,_xlfn._xlws.FILTER($J$7:J96,$J$7:J96&lt;&gt;"",""),
    _xlpm.avgJ,IF(COUNTA(_xlpm.vals)=0,0,AVERAGE(_xlfn.TAKE(_xlpm.vals,-MIN(7,ROWS(_xlpm.vals))))),
    _xlpm.addship,IF(P97="",0,P97),
    IF(
        AND(I96="",I97=""),
        Q96-_xlpm.avgJ+_xlpm.addship,
        IF(
            I97="",
            I96-_xlpm.avgJ+_xlpm.addship,
            ""
        )
    )
),I97)</f>
        <v>377732</v>
      </c>
      <c r="R97" s="35" t="str">
        <f t="shared" si="10"/>
        <v/>
      </c>
      <c r="S97" s="35" cm="1">
        <f t="array" ref="S97">IF(K97="",_xlfn.LET(
    _xlpm.vals,_xlfn._xlws.FILTER($N$7:N96,$N$7:N96&lt;&gt;"",""),
    _xlpm.avgJ,IF(COUNTA(_xlpm.vals)=0,0,AVERAGE(_xlfn.TAKE(_xlpm.vals,-MIN(7,ROWS(_xlpm.vals))))),
    _xlpm.addship,IF(R97="",0,R97),
    IF(
        AND(K96="",K97=""),
        S96-_xlpm.avgJ+_xlpm.addship,
        IF(
            K97="",
            K96-_xlpm.avgJ+_xlpm.addship,
            ""
        )
    )
),K97)</f>
        <v>2655058</v>
      </c>
      <c r="T97" s="29" t="str">
        <f t="shared" si="11"/>
        <v>Petrol over capacity | Diesel over capacity</v>
      </c>
      <c r="AC97" s="5">
        <f t="shared" si="12"/>
        <v>16085</v>
      </c>
      <c r="AD97" s="5">
        <f t="shared" si="13"/>
        <v>325936</v>
      </c>
      <c r="AE97" s="5">
        <f t="shared" si="14"/>
        <v>72571</v>
      </c>
      <c r="AF97" s="5">
        <f t="shared" si="15"/>
        <v>1832778</v>
      </c>
    </row>
    <row r="98" spans="2:32" s="12" customFormat="1" ht="18" customHeight="1" x14ac:dyDescent="0.25">
      <c r="B98" s="29"/>
      <c r="F98" s="29"/>
      <c r="H98" s="25">
        <f t="shared" si="17"/>
        <v>46189</v>
      </c>
      <c r="I98" s="34"/>
      <c r="J98" s="34"/>
      <c r="K98" s="34"/>
      <c r="L98" s="34"/>
      <c r="M98" s="34"/>
      <c r="N98" s="41">
        <f t="shared" si="16"/>
        <v>0</v>
      </c>
      <c r="P98" s="35" t="str">
        <f t="shared" si="9"/>
        <v/>
      </c>
      <c r="Q98" s="35" cm="1">
        <f t="array" ref="Q98">IF(I98="",_xlfn.LET(
    _xlpm.vals,_xlfn._xlws.FILTER($J$7:J97,$J$7:J97&lt;&gt;"",""),
    _xlpm.avgJ,IF(COUNTA(_xlpm.vals)=0,0,AVERAGE(_xlfn.TAKE(_xlpm.vals,-MIN(7,ROWS(_xlpm.vals))))),
    _xlpm.addship,IF(P98="",0,P98),
    IF(
        AND(I97="",I98=""),
        Q97-_xlpm.avgJ+_xlpm.addship,
        IF(
            I98="",
            I97-_xlpm.avgJ+_xlpm.addship,
            ""
        )
    )
),I98)</f>
        <v>369532</v>
      </c>
      <c r="R98" s="35" t="str">
        <f t="shared" si="10"/>
        <v/>
      </c>
      <c r="S98" s="35" cm="1">
        <f t="array" ref="S98">IF(K98="",_xlfn.LET(
    _xlpm.vals,_xlfn._xlws.FILTER($N$7:N97,$N$7:N97&lt;&gt;"",""),
    _xlpm.avgJ,IF(COUNTA(_xlpm.vals)=0,0,AVERAGE(_xlfn.TAKE(_xlpm.vals,-MIN(7,ROWS(_xlpm.vals))))),
    _xlpm.addship,IF(R98="",0,R98),
    IF(
        AND(K97="",K98=""),
        S97-_xlpm.avgJ+_xlpm.addship,
        IF(
            K98="",
            K97-_xlpm.avgJ+_xlpm.addship,
            ""
        )
    )
),K98)</f>
        <v>2655058</v>
      </c>
      <c r="T98" s="29" t="str">
        <f t="shared" si="11"/>
        <v>Petrol over capacity | Diesel over capacity</v>
      </c>
      <c r="AC98" s="5">
        <f t="shared" si="12"/>
        <v>16085</v>
      </c>
      <c r="AD98" s="5">
        <f t="shared" si="13"/>
        <v>325936</v>
      </c>
      <c r="AE98" s="5">
        <f t="shared" si="14"/>
        <v>72571</v>
      </c>
      <c r="AF98" s="5">
        <f t="shared" si="15"/>
        <v>1832778</v>
      </c>
    </row>
    <row r="99" spans="2:32" s="12" customFormat="1" ht="18" customHeight="1" x14ac:dyDescent="0.25">
      <c r="B99" s="29"/>
      <c r="F99" s="29"/>
      <c r="H99" s="25">
        <f t="shared" si="17"/>
        <v>46190</v>
      </c>
      <c r="I99" s="34"/>
      <c r="J99" s="34"/>
      <c r="K99" s="34"/>
      <c r="L99" s="34"/>
      <c r="M99" s="34"/>
      <c r="N99" s="41">
        <f t="shared" si="16"/>
        <v>0</v>
      </c>
      <c r="P99" s="35" t="str">
        <f t="shared" si="9"/>
        <v/>
      </c>
      <c r="Q99" s="35" cm="1">
        <f t="array" ref="Q99">IF(I99="",_xlfn.LET(
    _xlpm.vals,_xlfn._xlws.FILTER($J$7:J98,$J$7:J98&lt;&gt;"",""),
    _xlpm.avgJ,IF(COUNTA(_xlpm.vals)=0,0,AVERAGE(_xlfn.TAKE(_xlpm.vals,-MIN(7,ROWS(_xlpm.vals))))),
    _xlpm.addship,IF(P99="",0,P99),
    IF(
        AND(I98="",I99=""),
        Q98-_xlpm.avgJ+_xlpm.addship,
        IF(
            I99="",
            I98-_xlpm.avgJ+_xlpm.addship,
            ""
        )
    )
),I99)</f>
        <v>361332</v>
      </c>
      <c r="R99" s="35" t="str">
        <f t="shared" si="10"/>
        <v/>
      </c>
      <c r="S99" s="35" cm="1">
        <f t="array" ref="S99">IF(K99="",_xlfn.LET(
    _xlpm.vals,_xlfn._xlws.FILTER($N$7:N98,$N$7:N98&lt;&gt;"",""),
    _xlpm.avgJ,IF(COUNTA(_xlpm.vals)=0,0,AVERAGE(_xlfn.TAKE(_xlpm.vals,-MIN(7,ROWS(_xlpm.vals))))),
    _xlpm.addship,IF(R99="",0,R99),
    IF(
        AND(K98="",K99=""),
        S98-_xlpm.avgJ+_xlpm.addship,
        IF(
            K99="",
            K98-_xlpm.avgJ+_xlpm.addship,
            ""
        )
    )
),K99)</f>
        <v>2655058</v>
      </c>
      <c r="T99" s="29" t="str">
        <f t="shared" si="11"/>
        <v>Petrol over capacity | Diesel over capacity</v>
      </c>
      <c r="AC99" s="5">
        <f t="shared" si="12"/>
        <v>16085</v>
      </c>
      <c r="AD99" s="5">
        <f t="shared" si="13"/>
        <v>325936</v>
      </c>
      <c r="AE99" s="5">
        <f t="shared" si="14"/>
        <v>72571</v>
      </c>
      <c r="AF99" s="5">
        <f t="shared" si="15"/>
        <v>1832778</v>
      </c>
    </row>
    <row r="100" spans="2:32" s="12" customFormat="1" ht="18" customHeight="1" x14ac:dyDescent="0.25">
      <c r="B100" s="29"/>
      <c r="F100" s="29"/>
      <c r="H100" s="25">
        <f t="shared" si="17"/>
        <v>46191</v>
      </c>
      <c r="I100" s="34"/>
      <c r="J100" s="34"/>
      <c r="K100" s="34"/>
      <c r="L100" s="34"/>
      <c r="M100" s="34"/>
      <c r="N100" s="41">
        <f t="shared" si="16"/>
        <v>0</v>
      </c>
      <c r="P100" s="35" t="str">
        <f t="shared" si="9"/>
        <v/>
      </c>
      <c r="Q100" s="35" cm="1">
        <f t="array" ref="Q100">IF(I100="",_xlfn.LET(
    _xlpm.vals,_xlfn._xlws.FILTER($J$7:J99,$J$7:J99&lt;&gt;"",""),
    _xlpm.avgJ,IF(COUNTA(_xlpm.vals)=0,0,AVERAGE(_xlfn.TAKE(_xlpm.vals,-MIN(7,ROWS(_xlpm.vals))))),
    _xlpm.addship,IF(P100="",0,P100),
    IF(
        AND(I99="",I100=""),
        Q99-_xlpm.avgJ+_xlpm.addship,
        IF(
            I100="",
            I99-_xlpm.avgJ+_xlpm.addship,
            ""
        )
    )
),I100)</f>
        <v>353132</v>
      </c>
      <c r="R100" s="35" t="str">
        <f t="shared" si="10"/>
        <v/>
      </c>
      <c r="S100" s="35" cm="1">
        <f t="array" ref="S100">IF(K100="",_xlfn.LET(
    _xlpm.vals,_xlfn._xlws.FILTER($N$7:N99,$N$7:N99&lt;&gt;"",""),
    _xlpm.avgJ,IF(COUNTA(_xlpm.vals)=0,0,AVERAGE(_xlfn.TAKE(_xlpm.vals,-MIN(7,ROWS(_xlpm.vals))))),
    _xlpm.addship,IF(R100="",0,R100),
    IF(
        AND(K99="",K100=""),
        S99-_xlpm.avgJ+_xlpm.addship,
        IF(
            K100="",
            K99-_xlpm.avgJ+_xlpm.addship,
            ""
        )
    )
),K100)</f>
        <v>2655058</v>
      </c>
      <c r="T100" s="29" t="str">
        <f t="shared" si="11"/>
        <v>Petrol over capacity | Diesel over capacity</v>
      </c>
      <c r="AC100" s="5">
        <f t="shared" si="12"/>
        <v>16085</v>
      </c>
      <c r="AD100" s="5">
        <f t="shared" si="13"/>
        <v>325936</v>
      </c>
      <c r="AE100" s="5">
        <f t="shared" si="14"/>
        <v>72571</v>
      </c>
      <c r="AF100" s="5">
        <f t="shared" si="15"/>
        <v>1832778</v>
      </c>
    </row>
    <row r="101" spans="2:32" s="12" customFormat="1" ht="18" customHeight="1" x14ac:dyDescent="0.25">
      <c r="B101" s="29"/>
      <c r="F101" s="29"/>
      <c r="H101" s="25">
        <f t="shared" si="17"/>
        <v>46192</v>
      </c>
      <c r="I101" s="34"/>
      <c r="J101" s="34"/>
      <c r="K101" s="34"/>
      <c r="L101" s="34"/>
      <c r="M101" s="34"/>
      <c r="N101" s="41">
        <f t="shared" si="16"/>
        <v>0</v>
      </c>
      <c r="P101" s="35" t="str">
        <f t="shared" si="9"/>
        <v/>
      </c>
      <c r="Q101" s="35" cm="1">
        <f t="array" ref="Q101">IF(I101="",_xlfn.LET(
    _xlpm.vals,_xlfn._xlws.FILTER($J$7:J100,$J$7:J100&lt;&gt;"",""),
    _xlpm.avgJ,IF(COUNTA(_xlpm.vals)=0,0,AVERAGE(_xlfn.TAKE(_xlpm.vals,-MIN(7,ROWS(_xlpm.vals))))),
    _xlpm.addship,IF(P101="",0,P101),
    IF(
        AND(I100="",I101=""),
        Q100-_xlpm.avgJ+_xlpm.addship,
        IF(
            I101="",
            I100-_xlpm.avgJ+_xlpm.addship,
            ""
        )
    )
),I101)</f>
        <v>344932</v>
      </c>
      <c r="R101" s="35" t="str">
        <f t="shared" si="10"/>
        <v/>
      </c>
      <c r="S101" s="35" cm="1">
        <f t="array" ref="S101">IF(K101="",_xlfn.LET(
    _xlpm.vals,_xlfn._xlws.FILTER($N$7:N100,$N$7:N100&lt;&gt;"",""),
    _xlpm.avgJ,IF(COUNTA(_xlpm.vals)=0,0,AVERAGE(_xlfn.TAKE(_xlpm.vals,-MIN(7,ROWS(_xlpm.vals))))),
    _xlpm.addship,IF(R101="",0,R101),
    IF(
        AND(K100="",K101=""),
        S100-_xlpm.avgJ+_xlpm.addship,
        IF(
            K101="",
            K100-_xlpm.avgJ+_xlpm.addship,
            ""
        )
    )
),K101)</f>
        <v>2655058</v>
      </c>
      <c r="T101" s="29" t="str">
        <f t="shared" si="11"/>
        <v>Petrol over capacity | Diesel over capacity</v>
      </c>
      <c r="AC101" s="5">
        <f t="shared" si="12"/>
        <v>16085</v>
      </c>
      <c r="AD101" s="5">
        <f t="shared" si="13"/>
        <v>325936</v>
      </c>
      <c r="AE101" s="5">
        <f t="shared" si="14"/>
        <v>72571</v>
      </c>
      <c r="AF101" s="5">
        <f t="shared" si="15"/>
        <v>1832778</v>
      </c>
    </row>
    <row r="102" spans="2:32" s="12" customFormat="1" ht="18" customHeight="1" x14ac:dyDescent="0.25">
      <c r="B102" s="29"/>
      <c r="F102" s="29"/>
      <c r="H102" s="25">
        <f t="shared" si="17"/>
        <v>46193</v>
      </c>
      <c r="I102" s="34"/>
      <c r="J102" s="34"/>
      <c r="K102" s="34"/>
      <c r="L102" s="34"/>
      <c r="M102" s="34"/>
      <c r="N102" s="41">
        <f t="shared" si="16"/>
        <v>0</v>
      </c>
      <c r="P102" s="35" t="str">
        <f t="shared" si="9"/>
        <v/>
      </c>
      <c r="Q102" s="35" cm="1">
        <f t="array" ref="Q102">IF(I102="",_xlfn.LET(
    _xlpm.vals,_xlfn._xlws.FILTER($J$7:J101,$J$7:J101&lt;&gt;"",""),
    _xlpm.avgJ,IF(COUNTA(_xlpm.vals)=0,0,AVERAGE(_xlfn.TAKE(_xlpm.vals,-MIN(7,ROWS(_xlpm.vals))))),
    _xlpm.addship,IF(P102="",0,P102),
    IF(
        AND(I101="",I102=""),
        Q101-_xlpm.avgJ+_xlpm.addship,
        IF(
            I102="",
            I101-_xlpm.avgJ+_xlpm.addship,
            ""
        )
    )
),I102)</f>
        <v>336732</v>
      </c>
      <c r="R102" s="35" t="str">
        <f t="shared" si="10"/>
        <v/>
      </c>
      <c r="S102" s="35" cm="1">
        <f t="array" ref="S102">IF(K102="",_xlfn.LET(
    _xlpm.vals,_xlfn._xlws.FILTER($N$7:N101,$N$7:N101&lt;&gt;"",""),
    _xlpm.avgJ,IF(COUNTA(_xlpm.vals)=0,0,AVERAGE(_xlfn.TAKE(_xlpm.vals,-MIN(7,ROWS(_xlpm.vals))))),
    _xlpm.addship,IF(R102="",0,R102),
    IF(
        AND(K101="",K102=""),
        S101-_xlpm.avgJ+_xlpm.addship,
        IF(
            K102="",
            K101-_xlpm.avgJ+_xlpm.addship,
            ""
        )
    )
),K102)</f>
        <v>2655058</v>
      </c>
      <c r="T102" s="29" t="str">
        <f t="shared" si="11"/>
        <v>Petrol over capacity | Diesel over capacity</v>
      </c>
      <c r="AC102" s="5">
        <f t="shared" si="12"/>
        <v>16085</v>
      </c>
      <c r="AD102" s="5">
        <f t="shared" si="13"/>
        <v>325936</v>
      </c>
      <c r="AE102" s="5">
        <f t="shared" si="14"/>
        <v>72571</v>
      </c>
      <c r="AF102" s="5">
        <f t="shared" si="15"/>
        <v>1832778</v>
      </c>
    </row>
    <row r="103" spans="2:32" s="12" customFormat="1" ht="18" customHeight="1" x14ac:dyDescent="0.25">
      <c r="B103" s="29"/>
      <c r="F103" s="29"/>
      <c r="H103" s="25">
        <f t="shared" si="17"/>
        <v>46194</v>
      </c>
      <c r="I103" s="34"/>
      <c r="J103" s="34"/>
      <c r="K103" s="34"/>
      <c r="L103" s="34"/>
      <c r="M103" s="34"/>
      <c r="N103" s="41">
        <f t="shared" si="16"/>
        <v>0</v>
      </c>
      <c r="P103" s="35" t="str">
        <f t="shared" si="9"/>
        <v/>
      </c>
      <c r="Q103" s="35" cm="1">
        <f t="array" ref="Q103">IF(I103="",_xlfn.LET(
    _xlpm.vals,_xlfn._xlws.FILTER($J$7:J102,$J$7:J102&lt;&gt;"",""),
    _xlpm.avgJ,IF(COUNTA(_xlpm.vals)=0,0,AVERAGE(_xlfn.TAKE(_xlpm.vals,-MIN(7,ROWS(_xlpm.vals))))),
    _xlpm.addship,IF(P103="",0,P103),
    IF(
        AND(I102="",I103=""),
        Q102-_xlpm.avgJ+_xlpm.addship,
        IF(
            I103="",
            I102-_xlpm.avgJ+_xlpm.addship,
            ""
        )
    )
),I103)</f>
        <v>328532</v>
      </c>
      <c r="R103" s="35" t="str">
        <f t="shared" si="10"/>
        <v/>
      </c>
      <c r="S103" s="35" cm="1">
        <f t="array" ref="S103">IF(K103="",_xlfn.LET(
    _xlpm.vals,_xlfn._xlws.FILTER($N$7:N102,$N$7:N102&lt;&gt;"",""),
    _xlpm.avgJ,IF(COUNTA(_xlpm.vals)=0,0,AVERAGE(_xlfn.TAKE(_xlpm.vals,-MIN(7,ROWS(_xlpm.vals))))),
    _xlpm.addship,IF(R103="",0,R103),
    IF(
        AND(K102="",K103=""),
        S102-_xlpm.avgJ+_xlpm.addship,
        IF(
            K103="",
            K102-_xlpm.avgJ+_xlpm.addship,
            ""
        )
    )
),K103)</f>
        <v>2655058</v>
      </c>
      <c r="T103" s="29" t="str">
        <f t="shared" si="11"/>
        <v>Petrol over capacity | Diesel over capacity</v>
      </c>
      <c r="AC103" s="5">
        <f t="shared" si="12"/>
        <v>16085</v>
      </c>
      <c r="AD103" s="5">
        <f t="shared" si="13"/>
        <v>325936</v>
      </c>
      <c r="AE103" s="5">
        <f t="shared" si="14"/>
        <v>72571</v>
      </c>
      <c r="AF103" s="5">
        <f t="shared" si="15"/>
        <v>1832778</v>
      </c>
    </row>
    <row r="104" spans="2:32" s="12" customFormat="1" ht="18" customHeight="1" x14ac:dyDescent="0.25">
      <c r="B104" s="29"/>
      <c r="F104" s="29"/>
      <c r="H104" s="25">
        <f t="shared" si="17"/>
        <v>46195</v>
      </c>
      <c r="I104" s="34"/>
      <c r="J104" s="34"/>
      <c r="K104" s="34"/>
      <c r="L104" s="34"/>
      <c r="M104" s="34"/>
      <c r="N104" s="41">
        <f t="shared" si="16"/>
        <v>0</v>
      </c>
      <c r="P104" s="35" t="str">
        <f t="shared" si="9"/>
        <v/>
      </c>
      <c r="Q104" s="35" cm="1">
        <f t="array" ref="Q104">IF(I104="",_xlfn.LET(
    _xlpm.vals,_xlfn._xlws.FILTER($J$7:J103,$J$7:J103&lt;&gt;"",""),
    _xlpm.avgJ,IF(COUNTA(_xlpm.vals)=0,0,AVERAGE(_xlfn.TAKE(_xlpm.vals,-MIN(7,ROWS(_xlpm.vals))))),
    _xlpm.addship,IF(P104="",0,P104),
    IF(
        AND(I103="",I104=""),
        Q103-_xlpm.avgJ+_xlpm.addship,
        IF(
            I104="",
            I103-_xlpm.avgJ+_xlpm.addship,
            ""
        )
    )
),I104)</f>
        <v>320332</v>
      </c>
      <c r="R104" s="35" t="str">
        <f t="shared" si="10"/>
        <v/>
      </c>
      <c r="S104" s="35" cm="1">
        <f t="array" ref="S104">IF(K104="",_xlfn.LET(
    _xlpm.vals,_xlfn._xlws.FILTER($N$7:N103,$N$7:N103&lt;&gt;"",""),
    _xlpm.avgJ,IF(COUNTA(_xlpm.vals)=0,0,AVERAGE(_xlfn.TAKE(_xlpm.vals,-MIN(7,ROWS(_xlpm.vals))))),
    _xlpm.addship,IF(R104="",0,R104),
    IF(
        AND(K103="",K104=""),
        S103-_xlpm.avgJ+_xlpm.addship,
        IF(
            K104="",
            K103-_xlpm.avgJ+_xlpm.addship,
            ""
        )
    )
),K104)</f>
        <v>2655058</v>
      </c>
      <c r="T104" s="29" t="str">
        <f t="shared" si="11"/>
        <v>Diesel over capacity</v>
      </c>
      <c r="AC104" s="5">
        <f t="shared" si="12"/>
        <v>16085</v>
      </c>
      <c r="AD104" s="5">
        <f t="shared" si="13"/>
        <v>325936</v>
      </c>
      <c r="AE104" s="5">
        <f t="shared" si="14"/>
        <v>72571</v>
      </c>
      <c r="AF104" s="5">
        <f t="shared" si="15"/>
        <v>1832778</v>
      </c>
    </row>
    <row r="105" spans="2:32" s="12" customFormat="1" ht="18" customHeight="1" x14ac:dyDescent="0.25">
      <c r="B105" s="29"/>
      <c r="F105" s="29"/>
      <c r="H105" s="25">
        <f t="shared" si="17"/>
        <v>46196</v>
      </c>
      <c r="I105" s="34"/>
      <c r="J105" s="34"/>
      <c r="K105" s="34"/>
      <c r="L105" s="34"/>
      <c r="M105" s="34"/>
      <c r="N105" s="41">
        <f t="shared" si="16"/>
        <v>0</v>
      </c>
      <c r="P105" s="35" t="str">
        <f t="shared" si="9"/>
        <v/>
      </c>
      <c r="Q105" s="35" cm="1">
        <f t="array" ref="Q105">IF(I105="",_xlfn.LET(
    _xlpm.vals,_xlfn._xlws.FILTER($J$7:J104,$J$7:J104&lt;&gt;"",""),
    _xlpm.avgJ,IF(COUNTA(_xlpm.vals)=0,0,AVERAGE(_xlfn.TAKE(_xlpm.vals,-MIN(7,ROWS(_xlpm.vals))))),
    _xlpm.addship,IF(P105="",0,P105),
    IF(
        AND(I104="",I105=""),
        Q104-_xlpm.avgJ+_xlpm.addship,
        IF(
            I105="",
            I104-_xlpm.avgJ+_xlpm.addship,
            ""
        )
    )
),I105)</f>
        <v>312132</v>
      </c>
      <c r="R105" s="35" t="str">
        <f t="shared" si="10"/>
        <v/>
      </c>
      <c r="S105" s="35" cm="1">
        <f t="array" ref="S105">IF(K105="",_xlfn.LET(
    _xlpm.vals,_xlfn._xlws.FILTER($N$7:N104,$N$7:N104&lt;&gt;"",""),
    _xlpm.avgJ,IF(COUNTA(_xlpm.vals)=0,0,AVERAGE(_xlfn.TAKE(_xlpm.vals,-MIN(7,ROWS(_xlpm.vals))))),
    _xlpm.addship,IF(R105="",0,R105),
    IF(
        AND(K104="",K105=""),
        S104-_xlpm.avgJ+_xlpm.addship,
        IF(
            K105="",
            K104-_xlpm.avgJ+_xlpm.addship,
            ""
        )
    )
),K105)</f>
        <v>2655058</v>
      </c>
      <c r="T105" s="29" t="str">
        <f t="shared" si="11"/>
        <v>Diesel over capacity</v>
      </c>
      <c r="AC105" s="5">
        <f t="shared" si="12"/>
        <v>16085</v>
      </c>
      <c r="AD105" s="5">
        <f t="shared" si="13"/>
        <v>325936</v>
      </c>
      <c r="AE105" s="5">
        <f t="shared" si="14"/>
        <v>72571</v>
      </c>
      <c r="AF105" s="5">
        <f t="shared" si="15"/>
        <v>1832778</v>
      </c>
    </row>
    <row r="106" spans="2:32" s="12" customFormat="1" ht="18" customHeight="1" x14ac:dyDescent="0.25">
      <c r="B106" s="29"/>
      <c r="F106" s="29"/>
      <c r="H106" s="25">
        <f t="shared" si="17"/>
        <v>46197</v>
      </c>
      <c r="I106" s="34"/>
      <c r="J106" s="34"/>
      <c r="K106" s="34"/>
      <c r="L106" s="34"/>
      <c r="M106" s="34"/>
      <c r="N106" s="41">
        <f t="shared" si="16"/>
        <v>0</v>
      </c>
      <c r="P106" s="35" t="str">
        <f t="shared" si="9"/>
        <v/>
      </c>
      <c r="Q106" s="35" cm="1">
        <f t="array" ref="Q106">IF(I106="",_xlfn.LET(
    _xlpm.vals,_xlfn._xlws.FILTER($J$7:J105,$J$7:J105&lt;&gt;"",""),
    _xlpm.avgJ,IF(COUNTA(_xlpm.vals)=0,0,AVERAGE(_xlfn.TAKE(_xlpm.vals,-MIN(7,ROWS(_xlpm.vals))))),
    _xlpm.addship,IF(P106="",0,P106),
    IF(
        AND(I105="",I106=""),
        Q105-_xlpm.avgJ+_xlpm.addship,
        IF(
            I106="",
            I105-_xlpm.avgJ+_xlpm.addship,
            ""
        )
    )
),I106)</f>
        <v>303932</v>
      </c>
      <c r="R106" s="35" t="str">
        <f t="shared" si="10"/>
        <v/>
      </c>
      <c r="S106" s="35" cm="1">
        <f t="array" ref="S106">IF(K106="",_xlfn.LET(
    _xlpm.vals,_xlfn._xlws.FILTER($N$7:N105,$N$7:N105&lt;&gt;"",""),
    _xlpm.avgJ,IF(COUNTA(_xlpm.vals)=0,0,AVERAGE(_xlfn.TAKE(_xlpm.vals,-MIN(7,ROWS(_xlpm.vals))))),
    _xlpm.addship,IF(R106="",0,R106),
    IF(
        AND(K105="",K106=""),
        S105-_xlpm.avgJ+_xlpm.addship,
        IF(
            K106="",
            K105-_xlpm.avgJ+_xlpm.addship,
            ""
        )
    )
),K106)</f>
        <v>2655058</v>
      </c>
      <c r="T106" s="29" t="str">
        <f t="shared" si="11"/>
        <v>Diesel over capacity</v>
      </c>
      <c r="AC106" s="5">
        <f t="shared" si="12"/>
        <v>16085</v>
      </c>
      <c r="AD106" s="5">
        <f t="shared" si="13"/>
        <v>325936</v>
      </c>
      <c r="AE106" s="5">
        <f t="shared" si="14"/>
        <v>72571</v>
      </c>
      <c r="AF106" s="5">
        <f t="shared" si="15"/>
        <v>1832778</v>
      </c>
    </row>
    <row r="107" spans="2:32" s="12" customFormat="1" ht="18" customHeight="1" x14ac:dyDescent="0.25">
      <c r="B107" s="29"/>
      <c r="F107" s="29"/>
      <c r="H107" s="25">
        <f t="shared" si="17"/>
        <v>46198</v>
      </c>
      <c r="I107" s="34"/>
      <c r="J107" s="34"/>
      <c r="K107" s="34"/>
      <c r="L107" s="34"/>
      <c r="M107" s="34"/>
      <c r="N107" s="41">
        <f t="shared" si="16"/>
        <v>0</v>
      </c>
      <c r="P107" s="35" t="str">
        <f t="shared" si="9"/>
        <v/>
      </c>
      <c r="Q107" s="35" cm="1">
        <f t="array" ref="Q107">IF(I107="",_xlfn.LET(
    _xlpm.vals,_xlfn._xlws.FILTER($J$7:J106,$J$7:J106&lt;&gt;"",""),
    _xlpm.avgJ,IF(COUNTA(_xlpm.vals)=0,0,AVERAGE(_xlfn.TAKE(_xlpm.vals,-MIN(7,ROWS(_xlpm.vals))))),
    _xlpm.addship,IF(P107="",0,P107),
    IF(
        AND(I106="",I107=""),
        Q106-_xlpm.avgJ+_xlpm.addship,
        IF(
            I107="",
            I106-_xlpm.avgJ+_xlpm.addship,
            ""
        )
    )
),I107)</f>
        <v>295732</v>
      </c>
      <c r="R107" s="35" t="str">
        <f t="shared" si="10"/>
        <v/>
      </c>
      <c r="S107" s="35" cm="1">
        <f t="array" ref="S107">IF(K107="",_xlfn.LET(
    _xlpm.vals,_xlfn._xlws.FILTER($N$7:N106,$N$7:N106&lt;&gt;"",""),
    _xlpm.avgJ,IF(COUNTA(_xlpm.vals)=0,0,AVERAGE(_xlfn.TAKE(_xlpm.vals,-MIN(7,ROWS(_xlpm.vals))))),
    _xlpm.addship,IF(R107="",0,R107),
    IF(
        AND(K106="",K107=""),
        S106-_xlpm.avgJ+_xlpm.addship,
        IF(
            K107="",
            K106-_xlpm.avgJ+_xlpm.addship,
            ""
        )
    )
),K107)</f>
        <v>2655058</v>
      </c>
      <c r="T107" s="29" t="str">
        <f t="shared" si="11"/>
        <v>Diesel over capacity</v>
      </c>
      <c r="AC107" s="5">
        <f t="shared" si="12"/>
        <v>16085</v>
      </c>
      <c r="AD107" s="5">
        <f t="shared" si="13"/>
        <v>325936</v>
      </c>
      <c r="AE107" s="5">
        <f t="shared" si="14"/>
        <v>72571</v>
      </c>
      <c r="AF107" s="5">
        <f t="shared" si="15"/>
        <v>1832778</v>
      </c>
    </row>
    <row r="108" spans="2:32" s="12" customFormat="1" ht="18" customHeight="1" x14ac:dyDescent="0.25">
      <c r="B108" s="29"/>
      <c r="F108" s="29"/>
      <c r="H108" s="25">
        <f t="shared" si="17"/>
        <v>46199</v>
      </c>
      <c r="I108" s="34"/>
      <c r="J108" s="34"/>
      <c r="K108" s="34"/>
      <c r="L108" s="34"/>
      <c r="M108" s="34"/>
      <c r="N108" s="41">
        <f t="shared" si="16"/>
        <v>0</v>
      </c>
      <c r="P108" s="35" t="str">
        <f t="shared" si="9"/>
        <v/>
      </c>
      <c r="Q108" s="35" cm="1">
        <f t="array" ref="Q108">IF(I108="",_xlfn.LET(
    _xlpm.vals,_xlfn._xlws.FILTER($J$7:J107,$J$7:J107&lt;&gt;"",""),
    _xlpm.avgJ,IF(COUNTA(_xlpm.vals)=0,0,AVERAGE(_xlfn.TAKE(_xlpm.vals,-MIN(7,ROWS(_xlpm.vals))))),
    _xlpm.addship,IF(P108="",0,P108),
    IF(
        AND(I107="",I108=""),
        Q107-_xlpm.avgJ+_xlpm.addship,
        IF(
            I108="",
            I107-_xlpm.avgJ+_xlpm.addship,
            ""
        )
    )
),I108)</f>
        <v>287532</v>
      </c>
      <c r="R108" s="35" t="str">
        <f t="shared" si="10"/>
        <v/>
      </c>
      <c r="S108" s="35" cm="1">
        <f t="array" ref="S108">IF(K108="",_xlfn.LET(
    _xlpm.vals,_xlfn._xlws.FILTER($N$7:N107,$N$7:N107&lt;&gt;"",""),
    _xlpm.avgJ,IF(COUNTA(_xlpm.vals)=0,0,AVERAGE(_xlfn.TAKE(_xlpm.vals,-MIN(7,ROWS(_xlpm.vals))))),
    _xlpm.addship,IF(R108="",0,R108),
    IF(
        AND(K107="",K108=""),
        S107-_xlpm.avgJ+_xlpm.addship,
        IF(
            K108="",
            K107-_xlpm.avgJ+_xlpm.addship,
            ""
        )
    )
),K108)</f>
        <v>2655058</v>
      </c>
      <c r="T108" s="29" t="str">
        <f t="shared" si="11"/>
        <v>Diesel over capacity</v>
      </c>
      <c r="AC108" s="5">
        <f t="shared" si="12"/>
        <v>16085</v>
      </c>
      <c r="AD108" s="5">
        <f t="shared" si="13"/>
        <v>325936</v>
      </c>
      <c r="AE108" s="5">
        <f t="shared" si="14"/>
        <v>72571</v>
      </c>
      <c r="AF108" s="5">
        <f t="shared" si="15"/>
        <v>1832778</v>
      </c>
    </row>
    <row r="109" spans="2:32" s="12" customFormat="1" ht="18" customHeight="1" x14ac:dyDescent="0.25">
      <c r="B109" s="29"/>
      <c r="F109" s="29"/>
      <c r="H109" s="25">
        <f t="shared" si="17"/>
        <v>46200</v>
      </c>
      <c r="I109" s="34"/>
      <c r="J109" s="34"/>
      <c r="K109" s="34"/>
      <c r="L109" s="34"/>
      <c r="M109" s="34"/>
      <c r="N109" s="41">
        <f t="shared" si="16"/>
        <v>0</v>
      </c>
      <c r="P109" s="35" t="str">
        <f t="shared" si="9"/>
        <v/>
      </c>
      <c r="Q109" s="35" cm="1">
        <f t="array" ref="Q109">IF(I109="",_xlfn.LET(
    _xlpm.vals,_xlfn._xlws.FILTER($J$7:J108,$J$7:J108&lt;&gt;"",""),
    _xlpm.avgJ,IF(COUNTA(_xlpm.vals)=0,0,AVERAGE(_xlfn.TAKE(_xlpm.vals,-MIN(7,ROWS(_xlpm.vals))))),
    _xlpm.addship,IF(P109="",0,P109),
    IF(
        AND(I108="",I109=""),
        Q108-_xlpm.avgJ+_xlpm.addship,
        IF(
            I109="",
            I108-_xlpm.avgJ+_xlpm.addship,
            ""
        )
    )
),I109)</f>
        <v>279332</v>
      </c>
      <c r="R109" s="35" t="str">
        <f t="shared" si="10"/>
        <v/>
      </c>
      <c r="S109" s="35" cm="1">
        <f t="array" ref="S109">IF(K109="",_xlfn.LET(
    _xlpm.vals,_xlfn._xlws.FILTER($N$7:N108,$N$7:N108&lt;&gt;"",""),
    _xlpm.avgJ,IF(COUNTA(_xlpm.vals)=0,0,AVERAGE(_xlfn.TAKE(_xlpm.vals,-MIN(7,ROWS(_xlpm.vals))))),
    _xlpm.addship,IF(R109="",0,R109),
    IF(
        AND(K108="",K109=""),
        S108-_xlpm.avgJ+_xlpm.addship,
        IF(
            K109="",
            K108-_xlpm.avgJ+_xlpm.addship,
            ""
        )
    )
),K109)</f>
        <v>2655058</v>
      </c>
      <c r="T109" s="29" t="str">
        <f t="shared" si="11"/>
        <v>Diesel over capacity</v>
      </c>
      <c r="AC109" s="5">
        <f t="shared" si="12"/>
        <v>16085</v>
      </c>
      <c r="AD109" s="5">
        <f t="shared" si="13"/>
        <v>325936</v>
      </c>
      <c r="AE109" s="5">
        <f t="shared" si="14"/>
        <v>72571</v>
      </c>
      <c r="AF109" s="5">
        <f t="shared" si="15"/>
        <v>1832778</v>
      </c>
    </row>
    <row r="110" spans="2:32" s="12" customFormat="1" ht="18" customHeight="1" x14ac:dyDescent="0.25">
      <c r="B110" s="29"/>
      <c r="F110" s="29"/>
      <c r="H110" s="25">
        <f t="shared" si="17"/>
        <v>46201</v>
      </c>
      <c r="I110" s="34"/>
      <c r="J110" s="34"/>
      <c r="K110" s="34"/>
      <c r="L110" s="34"/>
      <c r="M110" s="34"/>
      <c r="N110" s="41">
        <f t="shared" si="16"/>
        <v>0</v>
      </c>
      <c r="P110" s="35" t="str">
        <f t="shared" si="9"/>
        <v/>
      </c>
      <c r="Q110" s="35" cm="1">
        <f t="array" ref="Q110">IF(I110="",_xlfn.LET(
    _xlpm.vals,_xlfn._xlws.FILTER($J$7:J109,$J$7:J109&lt;&gt;"",""),
    _xlpm.avgJ,IF(COUNTA(_xlpm.vals)=0,0,AVERAGE(_xlfn.TAKE(_xlpm.vals,-MIN(7,ROWS(_xlpm.vals))))),
    _xlpm.addship,IF(P110="",0,P110),
    IF(
        AND(I109="",I110=""),
        Q109-_xlpm.avgJ+_xlpm.addship,
        IF(
            I110="",
            I109-_xlpm.avgJ+_xlpm.addship,
            ""
        )
    )
),I110)</f>
        <v>271132</v>
      </c>
      <c r="R110" s="35" t="str">
        <f t="shared" si="10"/>
        <v/>
      </c>
      <c r="S110" s="35" cm="1">
        <f t="array" ref="S110">IF(K110="",_xlfn.LET(
    _xlpm.vals,_xlfn._xlws.FILTER($N$7:N109,$N$7:N109&lt;&gt;"",""),
    _xlpm.avgJ,IF(COUNTA(_xlpm.vals)=0,0,AVERAGE(_xlfn.TAKE(_xlpm.vals,-MIN(7,ROWS(_xlpm.vals))))),
    _xlpm.addship,IF(R110="",0,R110),
    IF(
        AND(K109="",K110=""),
        S109-_xlpm.avgJ+_xlpm.addship,
        IF(
            K110="",
            K109-_xlpm.avgJ+_xlpm.addship,
            ""
        )
    )
),K110)</f>
        <v>2655058</v>
      </c>
      <c r="T110" s="29" t="str">
        <f t="shared" si="11"/>
        <v>Diesel over capacity</v>
      </c>
      <c r="AC110" s="5">
        <f t="shared" si="12"/>
        <v>16085</v>
      </c>
      <c r="AD110" s="5">
        <f t="shared" si="13"/>
        <v>325936</v>
      </c>
      <c r="AE110" s="5">
        <f t="shared" si="14"/>
        <v>72571</v>
      </c>
      <c r="AF110" s="5">
        <f t="shared" si="15"/>
        <v>1832778</v>
      </c>
    </row>
    <row r="111" spans="2:32" s="12" customFormat="1" ht="18" customHeight="1" x14ac:dyDescent="0.25">
      <c r="B111" s="29"/>
      <c r="F111" s="29"/>
      <c r="H111" s="25">
        <f t="shared" si="17"/>
        <v>46202</v>
      </c>
      <c r="I111" s="34"/>
      <c r="J111" s="34"/>
      <c r="K111" s="34"/>
      <c r="L111" s="34"/>
      <c r="M111" s="34"/>
      <c r="N111" s="41">
        <f t="shared" si="16"/>
        <v>0</v>
      </c>
      <c r="P111" s="35" t="str">
        <f t="shared" si="9"/>
        <v/>
      </c>
      <c r="Q111" s="35" cm="1">
        <f t="array" ref="Q111">IF(I111="",_xlfn.LET(
    _xlpm.vals,_xlfn._xlws.FILTER($J$7:J110,$J$7:J110&lt;&gt;"",""),
    _xlpm.avgJ,IF(COUNTA(_xlpm.vals)=0,0,AVERAGE(_xlfn.TAKE(_xlpm.vals,-MIN(7,ROWS(_xlpm.vals))))),
    _xlpm.addship,IF(P111="",0,P111),
    IF(
        AND(I110="",I111=""),
        Q110-_xlpm.avgJ+_xlpm.addship,
        IF(
            I111="",
            I110-_xlpm.avgJ+_xlpm.addship,
            ""
        )
    )
),I111)</f>
        <v>262932</v>
      </c>
      <c r="R111" s="35" t="str">
        <f t="shared" si="10"/>
        <v/>
      </c>
      <c r="S111" s="35" cm="1">
        <f t="array" ref="S111">IF(K111="",_xlfn.LET(
    _xlpm.vals,_xlfn._xlws.FILTER($N$7:N110,$N$7:N110&lt;&gt;"",""),
    _xlpm.avgJ,IF(COUNTA(_xlpm.vals)=0,0,AVERAGE(_xlfn.TAKE(_xlpm.vals,-MIN(7,ROWS(_xlpm.vals))))),
    _xlpm.addship,IF(R111="",0,R111),
    IF(
        AND(K110="",K111=""),
        S110-_xlpm.avgJ+_xlpm.addship,
        IF(
            K111="",
            K110-_xlpm.avgJ+_xlpm.addship,
            ""
        )
    )
),K111)</f>
        <v>2655058</v>
      </c>
      <c r="T111" s="29" t="str">
        <f t="shared" si="11"/>
        <v>Diesel over capacity</v>
      </c>
      <c r="AC111" s="5">
        <f t="shared" si="12"/>
        <v>16085</v>
      </c>
      <c r="AD111" s="5">
        <f t="shared" si="13"/>
        <v>325936</v>
      </c>
      <c r="AE111" s="5">
        <f t="shared" si="14"/>
        <v>72571</v>
      </c>
      <c r="AF111" s="5">
        <f t="shared" si="15"/>
        <v>1832778</v>
      </c>
    </row>
    <row r="112" spans="2:32" s="12" customFormat="1" ht="18" customHeight="1" x14ac:dyDescent="0.25">
      <c r="B112" s="29"/>
      <c r="F112" s="29"/>
      <c r="H112" s="25">
        <f t="shared" si="17"/>
        <v>46203</v>
      </c>
      <c r="I112" s="34"/>
      <c r="J112" s="34"/>
      <c r="K112" s="34"/>
      <c r="L112" s="34"/>
      <c r="M112" s="34"/>
      <c r="N112" s="41">
        <f t="shared" si="16"/>
        <v>0</v>
      </c>
      <c r="P112" s="35" t="str">
        <f t="shared" si="9"/>
        <v/>
      </c>
      <c r="Q112" s="35" cm="1">
        <f t="array" ref="Q112">IF(I112="",_xlfn.LET(
    _xlpm.vals,_xlfn._xlws.FILTER($J$7:J111,$J$7:J111&lt;&gt;"",""),
    _xlpm.avgJ,IF(COUNTA(_xlpm.vals)=0,0,AVERAGE(_xlfn.TAKE(_xlpm.vals,-MIN(7,ROWS(_xlpm.vals))))),
    _xlpm.addship,IF(P112="",0,P112),
    IF(
        AND(I111="",I112=""),
        Q111-_xlpm.avgJ+_xlpm.addship,
        IF(
            I112="",
            I111-_xlpm.avgJ+_xlpm.addship,
            ""
        )
    )
),I112)</f>
        <v>254732</v>
      </c>
      <c r="R112" s="35" t="str">
        <f t="shared" si="10"/>
        <v/>
      </c>
      <c r="S112" s="35" cm="1">
        <f t="array" ref="S112">IF(K112="",_xlfn.LET(
    _xlpm.vals,_xlfn._xlws.FILTER($N$7:N111,$N$7:N111&lt;&gt;"",""),
    _xlpm.avgJ,IF(COUNTA(_xlpm.vals)=0,0,AVERAGE(_xlfn.TAKE(_xlpm.vals,-MIN(7,ROWS(_xlpm.vals))))),
    _xlpm.addship,IF(R112="",0,R112),
    IF(
        AND(K111="",K112=""),
        S111-_xlpm.avgJ+_xlpm.addship,
        IF(
            K112="",
            K111-_xlpm.avgJ+_xlpm.addship,
            ""
        )
    )
),K112)</f>
        <v>2655058</v>
      </c>
      <c r="T112" s="29" t="str">
        <f t="shared" si="11"/>
        <v>Diesel over capacity</v>
      </c>
      <c r="AC112" s="5">
        <f t="shared" si="12"/>
        <v>16085</v>
      </c>
      <c r="AD112" s="5">
        <f t="shared" si="13"/>
        <v>325936</v>
      </c>
      <c r="AE112" s="5">
        <f t="shared" si="14"/>
        <v>72571</v>
      </c>
      <c r="AF112" s="5">
        <f t="shared" si="15"/>
        <v>1832778</v>
      </c>
    </row>
  </sheetData>
  <mergeCells count="7">
    <mergeCell ref="B1:AD1"/>
    <mergeCell ref="D3:E3"/>
    <mergeCell ref="I4:J4"/>
    <mergeCell ref="K4:N4"/>
    <mergeCell ref="P4:Q4"/>
    <mergeCell ref="R4:S4"/>
    <mergeCell ref="D21:E21"/>
  </mergeCells>
  <conditionalFormatting sqref="Q7:Q112">
    <cfRule type="expression" dxfId="3" priority="1">
      <formula>AND(Q7&gt;$D$23,Q7&lt;&gt;"")</formula>
    </cfRule>
    <cfRule type="expression" dxfId="2" priority="2">
      <formula>AND(Q7&lt;$D$24,Q7&lt;&gt;"")</formula>
    </cfRule>
  </conditionalFormatting>
  <conditionalFormatting sqref="S7:S112">
    <cfRule type="expression" dxfId="1" priority="3">
      <formula>AND(S7&gt;$E$23,S7&lt;&gt;"")</formula>
    </cfRule>
    <cfRule type="expression" dxfId="0" priority="4">
      <formula>AND(S7&lt;$E$24,S7&lt;&gt;"")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Tongatapu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Sellies</dc:creator>
  <cp:lastModifiedBy>Marc Sellies</cp:lastModifiedBy>
  <dcterms:created xsi:type="dcterms:W3CDTF">2026-04-07T20:09:36Z</dcterms:created>
  <dcterms:modified xsi:type="dcterms:W3CDTF">2026-04-07T20:14:19Z</dcterms:modified>
</cp:coreProperties>
</file>