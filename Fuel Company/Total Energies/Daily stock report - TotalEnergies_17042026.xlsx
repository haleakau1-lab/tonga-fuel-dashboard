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main.glb.corp.local\RM-SUV$\Home\SUV\9\J0451419\Documents\"/>
    </mc:Choice>
  </mc:AlternateContent>
  <xr:revisionPtr revIDLastSave="0" documentId="13_ncr:1_{C2119D08-C300-4C53-A9F0-3AA42EDD402C}" xr6:coauthVersionLast="47" xr6:coauthVersionMax="47" xr10:uidLastSave="{00000000-0000-0000-0000-000000000000}"/>
  <bookViews>
    <workbookView xWindow="-120" yWindow="-120" windowWidth="29040" windowHeight="15720" xr2:uid="{2C9DEDCB-EE9C-4711-8D32-581671FE96F6}"/>
  </bookViews>
  <sheets>
    <sheet name="Daily Stoc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2" l="1"/>
  <c r="L21" i="2"/>
  <c r="D22" i="2"/>
  <c r="L19" i="2"/>
  <c r="M5" i="2" l="1"/>
  <c r="M4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AE110" i="2"/>
  <c r="AC110" i="2"/>
  <c r="AB110" i="2"/>
  <c r="AE109" i="2"/>
  <c r="AC109" i="2"/>
  <c r="AB109" i="2"/>
  <c r="AE108" i="2"/>
  <c r="AC108" i="2"/>
  <c r="AB108" i="2"/>
  <c r="AE107" i="2"/>
  <c r="AC107" i="2"/>
  <c r="AB107" i="2"/>
  <c r="AE106" i="2"/>
  <c r="AC106" i="2"/>
  <c r="AB106" i="2"/>
  <c r="AE105" i="2"/>
  <c r="AC105" i="2"/>
  <c r="AB105" i="2"/>
  <c r="AE104" i="2"/>
  <c r="AC104" i="2"/>
  <c r="AB104" i="2"/>
  <c r="AE103" i="2"/>
  <c r="AC103" i="2"/>
  <c r="AB103" i="2"/>
  <c r="AE102" i="2"/>
  <c r="AC102" i="2"/>
  <c r="AB102" i="2"/>
  <c r="AE101" i="2"/>
  <c r="AC101" i="2"/>
  <c r="AB101" i="2"/>
  <c r="AE100" i="2"/>
  <c r="AC100" i="2"/>
  <c r="AB100" i="2"/>
  <c r="AE99" i="2"/>
  <c r="AC99" i="2"/>
  <c r="AB99" i="2"/>
  <c r="AE98" i="2"/>
  <c r="AC98" i="2"/>
  <c r="AB98" i="2"/>
  <c r="AE97" i="2"/>
  <c r="AC97" i="2"/>
  <c r="AB97" i="2"/>
  <c r="AE96" i="2"/>
  <c r="AC96" i="2"/>
  <c r="AB96" i="2"/>
  <c r="AE95" i="2"/>
  <c r="AC95" i="2"/>
  <c r="AB95" i="2"/>
  <c r="AE94" i="2"/>
  <c r="AC94" i="2"/>
  <c r="AB94" i="2"/>
  <c r="AE93" i="2"/>
  <c r="AC93" i="2"/>
  <c r="AB93" i="2"/>
  <c r="AE92" i="2"/>
  <c r="AC92" i="2"/>
  <c r="AB92" i="2"/>
  <c r="AE91" i="2"/>
  <c r="AC91" i="2"/>
  <c r="AB91" i="2"/>
  <c r="AE90" i="2"/>
  <c r="AC90" i="2"/>
  <c r="AB90" i="2"/>
  <c r="AE89" i="2"/>
  <c r="AC89" i="2"/>
  <c r="AB89" i="2"/>
  <c r="AE88" i="2"/>
  <c r="AC88" i="2"/>
  <c r="AB88" i="2"/>
  <c r="AE87" i="2"/>
  <c r="AC87" i="2"/>
  <c r="AB87" i="2"/>
  <c r="AE86" i="2"/>
  <c r="AC86" i="2"/>
  <c r="AB86" i="2"/>
  <c r="AE85" i="2"/>
  <c r="AC85" i="2"/>
  <c r="AB85" i="2"/>
  <c r="AE84" i="2"/>
  <c r="AC84" i="2"/>
  <c r="AB84" i="2"/>
  <c r="AE83" i="2"/>
  <c r="AC83" i="2"/>
  <c r="AB83" i="2"/>
  <c r="AE82" i="2"/>
  <c r="AC82" i="2"/>
  <c r="AB82" i="2"/>
  <c r="AE81" i="2"/>
  <c r="AC81" i="2"/>
  <c r="AB81" i="2"/>
  <c r="AE80" i="2"/>
  <c r="AC80" i="2"/>
  <c r="AB80" i="2"/>
  <c r="AE79" i="2"/>
  <c r="AC79" i="2"/>
  <c r="AB79" i="2"/>
  <c r="AE78" i="2"/>
  <c r="AC78" i="2"/>
  <c r="AB78" i="2"/>
  <c r="AE77" i="2"/>
  <c r="AC77" i="2"/>
  <c r="AB77" i="2"/>
  <c r="AE76" i="2"/>
  <c r="AC76" i="2"/>
  <c r="AB76" i="2"/>
  <c r="AE75" i="2"/>
  <c r="AC75" i="2"/>
  <c r="AB75" i="2"/>
  <c r="AE74" i="2"/>
  <c r="AC74" i="2"/>
  <c r="AB74" i="2"/>
  <c r="AE73" i="2"/>
  <c r="AC73" i="2"/>
  <c r="AB73" i="2"/>
  <c r="AE72" i="2"/>
  <c r="AC72" i="2"/>
  <c r="AB72" i="2"/>
  <c r="AE71" i="2"/>
  <c r="AC71" i="2"/>
  <c r="AB71" i="2"/>
  <c r="AE70" i="2"/>
  <c r="AC70" i="2"/>
  <c r="AB70" i="2"/>
  <c r="AE69" i="2"/>
  <c r="AC69" i="2"/>
  <c r="AB69" i="2"/>
  <c r="AE68" i="2"/>
  <c r="AC68" i="2"/>
  <c r="AB68" i="2"/>
  <c r="AE67" i="2"/>
  <c r="AC67" i="2"/>
  <c r="AB67" i="2"/>
  <c r="AE66" i="2"/>
  <c r="AC66" i="2"/>
  <c r="AB66" i="2"/>
  <c r="AE65" i="2"/>
  <c r="AC65" i="2"/>
  <c r="AB65" i="2"/>
  <c r="AE64" i="2"/>
  <c r="AC64" i="2"/>
  <c r="AB64" i="2"/>
  <c r="AE63" i="2"/>
  <c r="AC63" i="2"/>
  <c r="AB63" i="2"/>
  <c r="AE62" i="2"/>
  <c r="AC62" i="2"/>
  <c r="AB62" i="2"/>
  <c r="AE61" i="2"/>
  <c r="AC61" i="2"/>
  <c r="AB61" i="2"/>
  <c r="AE60" i="2"/>
  <c r="AC60" i="2"/>
  <c r="AB60" i="2"/>
  <c r="AE59" i="2"/>
  <c r="AC59" i="2"/>
  <c r="AB59" i="2"/>
  <c r="AE58" i="2"/>
  <c r="AC58" i="2"/>
  <c r="AB58" i="2"/>
  <c r="AE57" i="2"/>
  <c r="AC57" i="2"/>
  <c r="AB57" i="2"/>
  <c r="AE56" i="2"/>
  <c r="AC56" i="2"/>
  <c r="AB56" i="2"/>
  <c r="AE55" i="2"/>
  <c r="AC55" i="2"/>
  <c r="AB55" i="2"/>
  <c r="AE54" i="2"/>
  <c r="AC54" i="2"/>
  <c r="AB54" i="2"/>
  <c r="AE53" i="2"/>
  <c r="AC53" i="2"/>
  <c r="AB53" i="2"/>
  <c r="AE52" i="2"/>
  <c r="AC52" i="2"/>
  <c r="AB52" i="2"/>
  <c r="AE51" i="2"/>
  <c r="AC51" i="2"/>
  <c r="AB51" i="2"/>
  <c r="AE50" i="2"/>
  <c r="AC50" i="2"/>
  <c r="AB50" i="2"/>
  <c r="AE49" i="2"/>
  <c r="AC49" i="2"/>
  <c r="AB49" i="2"/>
  <c r="AE48" i="2"/>
  <c r="AC48" i="2"/>
  <c r="AB48" i="2"/>
  <c r="AE47" i="2"/>
  <c r="AC47" i="2"/>
  <c r="AB47" i="2"/>
  <c r="AE46" i="2"/>
  <c r="AC46" i="2"/>
  <c r="AB46" i="2"/>
  <c r="AE45" i="2"/>
  <c r="AC45" i="2"/>
  <c r="AB45" i="2"/>
  <c r="AE44" i="2"/>
  <c r="AC44" i="2"/>
  <c r="AB44" i="2"/>
  <c r="AE43" i="2"/>
  <c r="AC43" i="2"/>
  <c r="AB43" i="2"/>
  <c r="AE42" i="2"/>
  <c r="AC42" i="2"/>
  <c r="AB42" i="2"/>
  <c r="AE41" i="2"/>
  <c r="AC41" i="2"/>
  <c r="AB41" i="2"/>
  <c r="AE40" i="2"/>
  <c r="AC40" i="2"/>
  <c r="AB40" i="2"/>
  <c r="AE39" i="2"/>
  <c r="AC39" i="2"/>
  <c r="AB39" i="2"/>
  <c r="AE38" i="2"/>
  <c r="AC38" i="2"/>
  <c r="AB38" i="2"/>
  <c r="AE37" i="2"/>
  <c r="AC37" i="2"/>
  <c r="AB37" i="2"/>
  <c r="AE36" i="2"/>
  <c r="AC36" i="2"/>
  <c r="AB36" i="2"/>
  <c r="AE35" i="2"/>
  <c r="AC35" i="2"/>
  <c r="AB35" i="2"/>
  <c r="AE34" i="2"/>
  <c r="AC34" i="2"/>
  <c r="AB34" i="2"/>
  <c r="AE33" i="2"/>
  <c r="AC33" i="2"/>
  <c r="AB33" i="2"/>
  <c r="AE32" i="2"/>
  <c r="AC32" i="2"/>
  <c r="AB32" i="2"/>
  <c r="AE31" i="2"/>
  <c r="AC31" i="2"/>
  <c r="AB31" i="2"/>
  <c r="AE30" i="2"/>
  <c r="AC30" i="2"/>
  <c r="AB30" i="2"/>
  <c r="AE29" i="2"/>
  <c r="AC29" i="2"/>
  <c r="AB29" i="2"/>
  <c r="AE28" i="2"/>
  <c r="AC28" i="2"/>
  <c r="AB28" i="2"/>
  <c r="AE27" i="2"/>
  <c r="AC27" i="2"/>
  <c r="AB27" i="2"/>
  <c r="AE26" i="2"/>
  <c r="AC26" i="2"/>
  <c r="AB26" i="2"/>
  <c r="AE25" i="2"/>
  <c r="AC25" i="2"/>
  <c r="AB25" i="2"/>
  <c r="AE24" i="2"/>
  <c r="AC24" i="2"/>
  <c r="AB24" i="2"/>
  <c r="AE23" i="2"/>
  <c r="AC23" i="2"/>
  <c r="AB23" i="2"/>
  <c r="AE22" i="2"/>
  <c r="AC22" i="2"/>
  <c r="AB22" i="2"/>
  <c r="AE21" i="2"/>
  <c r="AC21" i="2"/>
  <c r="AB21" i="2"/>
  <c r="AE20" i="2"/>
  <c r="AC20" i="2"/>
  <c r="AB20" i="2"/>
  <c r="AE19" i="2"/>
  <c r="AC19" i="2"/>
  <c r="AB19" i="2"/>
  <c r="AE18" i="2"/>
  <c r="AC18" i="2"/>
  <c r="AB18" i="2"/>
  <c r="AE17" i="2"/>
  <c r="AC17" i="2"/>
  <c r="AB17" i="2"/>
  <c r="AE16" i="2"/>
  <c r="AC16" i="2"/>
  <c r="AB16" i="2"/>
  <c r="AE15" i="2"/>
  <c r="AC15" i="2"/>
  <c r="AB15" i="2"/>
  <c r="AE14" i="2"/>
  <c r="AC14" i="2"/>
  <c r="AB14" i="2"/>
  <c r="AE13" i="2"/>
  <c r="AC13" i="2"/>
  <c r="AB13" i="2"/>
  <c r="AE12" i="2"/>
  <c r="AC12" i="2"/>
  <c r="AB12" i="2"/>
  <c r="AE11" i="2"/>
  <c r="AC11" i="2"/>
  <c r="AB11" i="2"/>
  <c r="AE10" i="2"/>
  <c r="AC10" i="2"/>
  <c r="AB10" i="2"/>
  <c r="AE9" i="2"/>
  <c r="AC9" i="2"/>
  <c r="AB9" i="2"/>
  <c r="AE8" i="2"/>
  <c r="AC8" i="2"/>
  <c r="AB8" i="2"/>
  <c r="AE7" i="2"/>
  <c r="AC7" i="2"/>
  <c r="AB7" i="2"/>
  <c r="AE6" i="2"/>
  <c r="AC6" i="2"/>
  <c r="AB6" i="2"/>
  <c r="AE5" i="2"/>
  <c r="AC5" i="2"/>
  <c r="AB5" i="2"/>
  <c r="AD110" i="2"/>
  <c r="Q5" i="2"/>
  <c r="O5" i="2"/>
  <c r="P5" i="2" s="1" a="1"/>
  <c r="P5" i="2" s="1"/>
  <c r="R5" i="2" l="1" a="1"/>
  <c r="R5" i="2" s="1"/>
  <c r="S5" i="2" s="1"/>
  <c r="AD102" i="2"/>
  <c r="AD79" i="2"/>
  <c r="AD84" i="2"/>
  <c r="AD70" i="2"/>
  <c r="AD93" i="2"/>
  <c r="AD12" i="2"/>
  <c r="AD7" i="2"/>
  <c r="AD48" i="2"/>
  <c r="AD57" i="2"/>
  <c r="AD34" i="2"/>
  <c r="AD52" i="2"/>
  <c r="AD30" i="2"/>
  <c r="AD97" i="2"/>
  <c r="AD75" i="2"/>
  <c r="AD25" i="2"/>
  <c r="AD16" i="2"/>
  <c r="AD21" i="2"/>
  <c r="AD88" i="2"/>
  <c r="AD66" i="2"/>
  <c r="AD61" i="2"/>
  <c r="AD43" i="2"/>
  <c r="AD39" i="2"/>
  <c r="AD106" i="2"/>
  <c r="AD8" i="2"/>
  <c r="AD26" i="2"/>
  <c r="AD44" i="2"/>
  <c r="AD53" i="2"/>
  <c r="AD62" i="2"/>
  <c r="AD71" i="2"/>
  <c r="AD80" i="2"/>
  <c r="AD89" i="2"/>
  <c r="AD98" i="2"/>
  <c r="AD107" i="2"/>
  <c r="AD13" i="2"/>
  <c r="AD22" i="2"/>
  <c r="AD31" i="2"/>
  <c r="AD40" i="2"/>
  <c r="AD49" i="2"/>
  <c r="AD58" i="2"/>
  <c r="AD67" i="2"/>
  <c r="AD76" i="2"/>
  <c r="AD85" i="2"/>
  <c r="AD94" i="2"/>
  <c r="AD103" i="2"/>
  <c r="AD9" i="2"/>
  <c r="AD18" i="2"/>
  <c r="AD27" i="2"/>
  <c r="AD36" i="2"/>
  <c r="AD45" i="2"/>
  <c r="AD54" i="2"/>
  <c r="AD63" i="2"/>
  <c r="AD72" i="2"/>
  <c r="AD81" i="2"/>
  <c r="AD90" i="2"/>
  <c r="AD99" i="2"/>
  <c r="AD108" i="2"/>
  <c r="AD5" i="2"/>
  <c r="AD14" i="2"/>
  <c r="AD23" i="2"/>
  <c r="AD32" i="2"/>
  <c r="AD41" i="2"/>
  <c r="AD50" i="2"/>
  <c r="AD59" i="2"/>
  <c r="AD68" i="2"/>
  <c r="AD77" i="2"/>
  <c r="AD86" i="2"/>
  <c r="AD95" i="2"/>
  <c r="AD104" i="2"/>
  <c r="AD10" i="2"/>
  <c r="AD19" i="2"/>
  <c r="AD28" i="2"/>
  <c r="AD37" i="2"/>
  <c r="AD46" i="2"/>
  <c r="AD55" i="2"/>
  <c r="AD64" i="2"/>
  <c r="AD73" i="2"/>
  <c r="AD82" i="2"/>
  <c r="AD91" i="2"/>
  <c r="AD100" i="2"/>
  <c r="AD109" i="2"/>
  <c r="AD17" i="2"/>
  <c r="AD35" i="2"/>
  <c r="AD6" i="2"/>
  <c r="AD15" i="2"/>
  <c r="AD24" i="2"/>
  <c r="AD33" i="2"/>
  <c r="AD42" i="2"/>
  <c r="AD51" i="2"/>
  <c r="AD60" i="2"/>
  <c r="AD69" i="2"/>
  <c r="AD78" i="2"/>
  <c r="AD87" i="2"/>
  <c r="AD96" i="2"/>
  <c r="AD105" i="2"/>
  <c r="AD11" i="2"/>
  <c r="AD20" i="2"/>
  <c r="AD29" i="2"/>
  <c r="AD38" i="2"/>
  <c r="AD47" i="2"/>
  <c r="AD56" i="2"/>
  <c r="AD65" i="2"/>
  <c r="AD74" i="2"/>
  <c r="AD83" i="2"/>
  <c r="AD92" i="2"/>
  <c r="AD101" i="2"/>
  <c r="G6" i="2" l="1"/>
  <c r="C23" i="2"/>
  <c r="D23" i="2"/>
  <c r="Q6" i="2" l="1"/>
  <c r="R6" i="2" s="1" a="1"/>
  <c r="R6" i="2" s="1"/>
  <c r="O6" i="2"/>
  <c r="P6" i="2" s="1" a="1"/>
  <c r="P6" i="2" s="1"/>
  <c r="G7" i="2"/>
  <c r="G8" i="2" l="1"/>
  <c r="G9" i="2" s="1"/>
  <c r="Q7" i="2"/>
  <c r="R7" i="2" s="1" a="1"/>
  <c r="R7" i="2" s="1"/>
  <c r="O7" i="2"/>
  <c r="P7" i="2" s="1" a="1"/>
  <c r="P7" i="2" s="1"/>
  <c r="S6" i="2"/>
  <c r="G10" i="2" l="1"/>
  <c r="Q9" i="2"/>
  <c r="O9" i="2"/>
  <c r="Q8" i="2"/>
  <c r="R8" i="2" s="1" a="1"/>
  <c r="R8" i="2" s="1"/>
  <c r="O8" i="2"/>
  <c r="P8" i="2" s="1" a="1"/>
  <c r="P8" i="2" s="1"/>
  <c r="S7" i="2"/>
  <c r="R9" i="2" l="1" a="1"/>
  <c r="R9" i="2" s="1"/>
  <c r="P9" i="2" a="1"/>
  <c r="P9" i="2" s="1"/>
  <c r="S8" i="2"/>
  <c r="Q10" i="2"/>
  <c r="O10" i="2"/>
  <c r="G11" i="2"/>
  <c r="R10" i="2" l="1" a="1"/>
  <c r="R10" i="2" s="1"/>
  <c r="S9" i="2"/>
  <c r="P10" i="2" a="1"/>
  <c r="P10" i="2" s="1"/>
  <c r="G12" i="2"/>
  <c r="Q11" i="2"/>
  <c r="O11" i="2"/>
  <c r="R11" i="2" l="1" a="1"/>
  <c r="R11" i="2" s="1"/>
  <c r="S10" i="2"/>
  <c r="P11" i="2" a="1"/>
  <c r="P11" i="2" s="1"/>
  <c r="G13" i="2"/>
  <c r="O12" i="2"/>
  <c r="Q12" i="2"/>
  <c r="R12" i="2" l="1" a="1"/>
  <c r="R12" i="2" s="1"/>
  <c r="S11" i="2"/>
  <c r="P12" i="2" a="1"/>
  <c r="P12" i="2" s="1"/>
  <c r="O13" i="2"/>
  <c r="Q13" i="2"/>
  <c r="G14" i="2"/>
  <c r="R13" i="2" l="1" a="1"/>
  <c r="R13" i="2" s="1"/>
  <c r="S12" i="2"/>
  <c r="P13" i="2" a="1"/>
  <c r="P13" i="2" s="1"/>
  <c r="G15" i="2"/>
  <c r="O14" i="2"/>
  <c r="Q14" i="2"/>
  <c r="R14" i="2" l="1" a="1"/>
  <c r="R14" i="2" s="1"/>
  <c r="S13" i="2"/>
  <c r="P14" i="2" a="1"/>
  <c r="P14" i="2" s="1"/>
  <c r="G16" i="2"/>
  <c r="Q15" i="2"/>
  <c r="O15" i="2"/>
  <c r="R15" i="2" l="1" a="1"/>
  <c r="R15" i="2" s="1"/>
  <c r="S14" i="2"/>
  <c r="P15" i="2" a="1"/>
  <c r="P15" i="2" s="1"/>
  <c r="G17" i="2"/>
  <c r="Q16" i="2"/>
  <c r="O16" i="2"/>
  <c r="R16" i="2" l="1" a="1"/>
  <c r="R16" i="2" s="1"/>
  <c r="S15" i="2"/>
  <c r="P16" i="2" a="1"/>
  <c r="P16" i="2" s="1"/>
  <c r="G18" i="2"/>
  <c r="O17" i="2"/>
  <c r="Q17" i="2"/>
  <c r="R17" i="2" l="1" a="1"/>
  <c r="R17" i="2" s="1"/>
  <c r="S16" i="2"/>
  <c r="P17" i="2" a="1"/>
  <c r="P17" i="2" s="1"/>
  <c r="G19" i="2"/>
  <c r="Q18" i="2"/>
  <c r="O18" i="2"/>
  <c r="R18" i="2" l="1" a="1"/>
  <c r="R18" i="2" s="1"/>
  <c r="S17" i="2"/>
  <c r="P18" i="2" a="1"/>
  <c r="P18" i="2" s="1"/>
  <c r="G20" i="2"/>
  <c r="Q19" i="2"/>
  <c r="R19" i="2" s="1" a="1"/>
  <c r="R19" i="2" s="1"/>
  <c r="O19" i="2"/>
  <c r="P19" i="2" s="1" a="1"/>
  <c r="P19" i="2" s="1"/>
  <c r="S18" i="2" l="1"/>
  <c r="G21" i="2"/>
  <c r="Q20" i="2"/>
  <c r="R20" i="2" s="1" a="1"/>
  <c r="R20" i="2" s="1"/>
  <c r="O20" i="2"/>
  <c r="P20" i="2" s="1" a="1"/>
  <c r="P20" i="2" s="1"/>
  <c r="S19" i="2"/>
  <c r="G22" i="2" l="1"/>
  <c r="O21" i="2"/>
  <c r="P21" i="2" s="1" a="1"/>
  <c r="P21" i="2" s="1"/>
  <c r="Q21" i="2"/>
  <c r="R21" i="2" s="1" a="1"/>
  <c r="R21" i="2" s="1"/>
  <c r="S20" i="2"/>
  <c r="O22" i="2" l="1"/>
  <c r="P22" i="2" s="1" a="1"/>
  <c r="P22" i="2" s="1"/>
  <c r="G23" i="2"/>
  <c r="Q22" i="2"/>
  <c r="R22" i="2" s="1" a="1"/>
  <c r="R22" i="2" s="1"/>
  <c r="S21" i="2"/>
  <c r="O23" i="2" l="1"/>
  <c r="P23" i="2" s="1" a="1"/>
  <c r="P23" i="2" s="1"/>
  <c r="G24" i="2"/>
  <c r="Q23" i="2"/>
  <c r="R23" i="2" s="1" a="1"/>
  <c r="R23" i="2" s="1"/>
  <c r="S22" i="2"/>
  <c r="G25" i="2" l="1"/>
  <c r="O24" i="2"/>
  <c r="P24" i="2" s="1" a="1"/>
  <c r="P24" i="2" s="1"/>
  <c r="Q24" i="2"/>
  <c r="R24" i="2" s="1" a="1"/>
  <c r="R24" i="2" s="1"/>
  <c r="S23" i="2"/>
  <c r="G26" i="2" l="1"/>
  <c r="O25" i="2"/>
  <c r="P25" i="2" s="1" a="1"/>
  <c r="P25" i="2" s="1"/>
  <c r="Q25" i="2"/>
  <c r="R25" i="2" s="1" a="1"/>
  <c r="R25" i="2" s="1"/>
  <c r="S24" i="2"/>
  <c r="Q26" i="2" l="1"/>
  <c r="R26" i="2" s="1" a="1"/>
  <c r="R26" i="2" s="1"/>
  <c r="O26" i="2"/>
  <c r="P26" i="2" s="1" a="1"/>
  <c r="P26" i="2" s="1"/>
  <c r="G27" i="2"/>
  <c r="S25" i="2"/>
  <c r="O27" i="2" l="1"/>
  <c r="P27" i="2" s="1" a="1"/>
  <c r="P27" i="2" s="1"/>
  <c r="G28" i="2"/>
  <c r="Q27" i="2"/>
  <c r="R27" i="2" s="1" a="1"/>
  <c r="R27" i="2" s="1"/>
  <c r="S26" i="2"/>
  <c r="G29" i="2" l="1"/>
  <c r="Q28" i="2"/>
  <c r="R28" i="2" s="1" a="1"/>
  <c r="R28" i="2" s="1"/>
  <c r="O28" i="2"/>
  <c r="P28" i="2" s="1" a="1"/>
  <c r="P28" i="2" s="1"/>
  <c r="S27" i="2"/>
  <c r="Q29" i="2" l="1"/>
  <c r="R29" i="2" s="1" a="1"/>
  <c r="R29" i="2" s="1"/>
  <c r="G30" i="2"/>
  <c r="O29" i="2"/>
  <c r="P29" i="2" s="1" a="1"/>
  <c r="P29" i="2" s="1"/>
  <c r="S28" i="2"/>
  <c r="G31" i="2" l="1"/>
  <c r="O30" i="2"/>
  <c r="P30" i="2" s="1" a="1"/>
  <c r="P30" i="2" s="1"/>
  <c r="Q30" i="2"/>
  <c r="R30" i="2" s="1" a="1"/>
  <c r="R30" i="2" s="1"/>
  <c r="S29" i="2"/>
  <c r="G32" i="2" l="1"/>
  <c r="Q31" i="2"/>
  <c r="R31" i="2" s="1" a="1"/>
  <c r="R31" i="2" s="1"/>
  <c r="O31" i="2"/>
  <c r="P31" i="2" s="1" a="1"/>
  <c r="P31" i="2" s="1"/>
  <c r="S30" i="2"/>
  <c r="Q32" i="2" l="1"/>
  <c r="R32" i="2" s="1" a="1"/>
  <c r="R32" i="2" s="1"/>
  <c r="O32" i="2"/>
  <c r="P32" i="2" s="1" a="1"/>
  <c r="P32" i="2" s="1"/>
  <c r="G33" i="2"/>
  <c r="S31" i="2"/>
  <c r="O33" i="2" l="1"/>
  <c r="P33" i="2" s="1" a="1"/>
  <c r="P33" i="2" s="1"/>
  <c r="Q33" i="2"/>
  <c r="R33" i="2" s="1" a="1"/>
  <c r="R33" i="2" s="1"/>
  <c r="G34" i="2"/>
  <c r="S32" i="2"/>
  <c r="O34" i="2" l="1"/>
  <c r="P34" i="2" s="1" a="1"/>
  <c r="P34" i="2" s="1"/>
  <c r="G35" i="2"/>
  <c r="Q34" i="2"/>
  <c r="R34" i="2" s="1" a="1"/>
  <c r="R34" i="2" s="1"/>
  <c r="S33" i="2"/>
  <c r="Q35" i="2" l="1"/>
  <c r="R35" i="2" s="1" a="1"/>
  <c r="R35" i="2" s="1"/>
  <c r="O35" i="2"/>
  <c r="P35" i="2" s="1" a="1"/>
  <c r="P35" i="2" s="1"/>
  <c r="G36" i="2"/>
  <c r="S34" i="2"/>
  <c r="O36" i="2" l="1"/>
  <c r="P36" i="2" s="1" a="1"/>
  <c r="P36" i="2" s="1"/>
  <c r="Q36" i="2"/>
  <c r="R36" i="2" s="1" a="1"/>
  <c r="R36" i="2" s="1"/>
  <c r="G37" i="2"/>
  <c r="S35" i="2"/>
  <c r="O37" i="2" l="1"/>
  <c r="P37" i="2" s="1" a="1"/>
  <c r="P37" i="2" s="1"/>
  <c r="Q37" i="2"/>
  <c r="R37" i="2" s="1" a="1"/>
  <c r="R37" i="2" s="1"/>
  <c r="G38" i="2"/>
  <c r="S36" i="2"/>
  <c r="Q38" i="2" l="1"/>
  <c r="R38" i="2" s="1" a="1"/>
  <c r="R38" i="2" s="1"/>
  <c r="O38" i="2"/>
  <c r="P38" i="2" s="1" a="1"/>
  <c r="P38" i="2" s="1"/>
  <c r="G39" i="2"/>
  <c r="S37" i="2"/>
  <c r="O39" i="2" l="1"/>
  <c r="P39" i="2" s="1" a="1"/>
  <c r="P39" i="2" s="1"/>
  <c r="Q39" i="2"/>
  <c r="R39" i="2" s="1" a="1"/>
  <c r="R39" i="2" s="1"/>
  <c r="G40" i="2"/>
  <c r="S38" i="2"/>
  <c r="G41" i="2" l="1"/>
  <c r="Q40" i="2"/>
  <c r="R40" i="2" s="1" a="1"/>
  <c r="R40" i="2" s="1"/>
  <c r="O40" i="2"/>
  <c r="P40" i="2" s="1" a="1"/>
  <c r="P40" i="2" s="1"/>
  <c r="S39" i="2"/>
  <c r="Q41" i="2" l="1"/>
  <c r="R41" i="2" s="1" a="1"/>
  <c r="R41" i="2" s="1"/>
  <c r="O41" i="2"/>
  <c r="P41" i="2" s="1" a="1"/>
  <c r="P41" i="2" s="1"/>
  <c r="G42" i="2"/>
  <c r="S40" i="2"/>
  <c r="Q42" i="2" l="1"/>
  <c r="R42" i="2" s="1" a="1"/>
  <c r="R42" i="2" s="1"/>
  <c r="G43" i="2"/>
  <c r="O42" i="2"/>
  <c r="P42" i="2" s="1" a="1"/>
  <c r="P42" i="2" s="1"/>
  <c r="S41" i="2"/>
  <c r="O43" i="2" l="1"/>
  <c r="P43" i="2" s="1" a="1"/>
  <c r="P43" i="2" s="1"/>
  <c r="Q43" i="2"/>
  <c r="R43" i="2" s="1" a="1"/>
  <c r="R43" i="2" s="1"/>
  <c r="G44" i="2"/>
  <c r="S42" i="2"/>
  <c r="Q44" i="2" l="1"/>
  <c r="R44" i="2" s="1" a="1"/>
  <c r="R44" i="2" s="1"/>
  <c r="O44" i="2"/>
  <c r="P44" i="2" s="1" a="1"/>
  <c r="P44" i="2" s="1"/>
  <c r="G45" i="2"/>
  <c r="S43" i="2"/>
  <c r="G46" i="2" l="1"/>
  <c r="Q45" i="2"/>
  <c r="R45" i="2" s="1" a="1"/>
  <c r="R45" i="2" s="1"/>
  <c r="O45" i="2"/>
  <c r="P45" i="2" s="1" a="1"/>
  <c r="P45" i="2" s="1"/>
  <c r="S44" i="2"/>
  <c r="Q46" i="2" l="1"/>
  <c r="R46" i="2" s="1" a="1"/>
  <c r="R46" i="2" s="1"/>
  <c r="O46" i="2"/>
  <c r="P46" i="2" s="1" a="1"/>
  <c r="P46" i="2" s="1"/>
  <c r="G47" i="2"/>
  <c r="S45" i="2"/>
  <c r="Q47" i="2" l="1"/>
  <c r="R47" i="2" s="1" a="1"/>
  <c r="R47" i="2" s="1"/>
  <c r="G48" i="2"/>
  <c r="O47" i="2"/>
  <c r="P47" i="2" s="1" a="1"/>
  <c r="P47" i="2" s="1"/>
  <c r="S46" i="2"/>
  <c r="Q48" i="2" l="1"/>
  <c r="R48" i="2" s="1" a="1"/>
  <c r="R48" i="2" s="1"/>
  <c r="O48" i="2"/>
  <c r="P48" i="2" s="1" a="1"/>
  <c r="P48" i="2" s="1"/>
  <c r="G49" i="2"/>
  <c r="S47" i="2"/>
  <c r="Q49" i="2" l="1"/>
  <c r="R49" i="2" s="1" a="1"/>
  <c r="R49" i="2" s="1"/>
  <c r="O49" i="2"/>
  <c r="P49" i="2" s="1" a="1"/>
  <c r="P49" i="2" s="1"/>
  <c r="G50" i="2"/>
  <c r="S48" i="2"/>
  <c r="Q50" i="2" l="1"/>
  <c r="R50" i="2" s="1" a="1"/>
  <c r="R50" i="2" s="1"/>
  <c r="O50" i="2"/>
  <c r="P50" i="2" s="1" a="1"/>
  <c r="P50" i="2" s="1"/>
  <c r="G51" i="2"/>
  <c r="S49" i="2"/>
  <c r="O51" i="2" l="1"/>
  <c r="P51" i="2" s="1" a="1"/>
  <c r="P51" i="2" s="1"/>
  <c r="Q51" i="2"/>
  <c r="R51" i="2" s="1" a="1"/>
  <c r="R51" i="2" s="1"/>
  <c r="G52" i="2"/>
  <c r="S50" i="2"/>
  <c r="O52" i="2" l="1"/>
  <c r="P52" i="2" s="1" a="1"/>
  <c r="P52" i="2" s="1"/>
  <c r="Q52" i="2"/>
  <c r="R52" i="2" s="1" a="1"/>
  <c r="R52" i="2" s="1"/>
  <c r="G53" i="2"/>
  <c r="S51" i="2"/>
  <c r="Q53" i="2" l="1"/>
  <c r="R53" i="2" s="1" a="1"/>
  <c r="R53" i="2" s="1"/>
  <c r="O53" i="2"/>
  <c r="P53" i="2" s="1" a="1"/>
  <c r="P53" i="2" s="1"/>
  <c r="G54" i="2"/>
  <c r="S52" i="2"/>
  <c r="O54" i="2" l="1"/>
  <c r="P54" i="2" s="1" a="1"/>
  <c r="P54" i="2" s="1"/>
  <c r="G55" i="2"/>
  <c r="Q54" i="2"/>
  <c r="R54" i="2" s="1" a="1"/>
  <c r="R54" i="2" s="1"/>
  <c r="S53" i="2"/>
  <c r="G56" i="2" l="1"/>
  <c r="O55" i="2"/>
  <c r="P55" i="2" s="1" a="1"/>
  <c r="P55" i="2" s="1"/>
  <c r="Q55" i="2"/>
  <c r="R55" i="2" s="1" a="1"/>
  <c r="R55" i="2" s="1"/>
  <c r="S54" i="2"/>
  <c r="O56" i="2" l="1"/>
  <c r="P56" i="2" s="1" a="1"/>
  <c r="P56" i="2" s="1"/>
  <c r="Q56" i="2"/>
  <c r="R56" i="2" s="1" a="1"/>
  <c r="R56" i="2" s="1"/>
  <c r="G57" i="2"/>
  <c r="S55" i="2"/>
  <c r="Q57" i="2" l="1"/>
  <c r="R57" i="2" s="1" a="1"/>
  <c r="R57" i="2" s="1"/>
  <c r="G58" i="2"/>
  <c r="O57" i="2"/>
  <c r="P57" i="2" s="1" a="1"/>
  <c r="P57" i="2" s="1"/>
  <c r="S56" i="2"/>
  <c r="Q58" i="2" l="1"/>
  <c r="R58" i="2" s="1" a="1"/>
  <c r="R58" i="2" s="1"/>
  <c r="G59" i="2"/>
  <c r="O58" i="2"/>
  <c r="P58" i="2" s="1" a="1"/>
  <c r="P58" i="2" s="1"/>
  <c r="S57" i="2"/>
  <c r="Q59" i="2" l="1"/>
  <c r="R59" i="2" s="1" a="1"/>
  <c r="R59" i="2" s="1"/>
  <c r="G60" i="2"/>
  <c r="O59" i="2"/>
  <c r="P59" i="2" s="1" a="1"/>
  <c r="P59" i="2" s="1"/>
  <c r="S58" i="2"/>
  <c r="Q60" i="2" l="1"/>
  <c r="R60" i="2" s="1" a="1"/>
  <c r="R60" i="2" s="1"/>
  <c r="O60" i="2"/>
  <c r="P60" i="2" s="1" a="1"/>
  <c r="P60" i="2" s="1"/>
  <c r="G61" i="2"/>
  <c r="S59" i="2"/>
  <c r="O61" i="2" l="1"/>
  <c r="P61" i="2" s="1" a="1"/>
  <c r="P61" i="2" s="1"/>
  <c r="Q61" i="2"/>
  <c r="R61" i="2" s="1" a="1"/>
  <c r="R61" i="2" s="1"/>
  <c r="G62" i="2"/>
  <c r="S60" i="2"/>
  <c r="Q62" i="2" l="1"/>
  <c r="R62" i="2" s="1" a="1"/>
  <c r="R62" i="2" s="1"/>
  <c r="O62" i="2"/>
  <c r="P62" i="2" s="1" a="1"/>
  <c r="P62" i="2" s="1"/>
  <c r="G63" i="2"/>
  <c r="S61" i="2"/>
  <c r="O63" i="2" l="1"/>
  <c r="P63" i="2" s="1" a="1"/>
  <c r="P63" i="2" s="1"/>
  <c r="G64" i="2"/>
  <c r="Q63" i="2"/>
  <c r="R63" i="2" s="1" a="1"/>
  <c r="R63" i="2" s="1"/>
  <c r="S62" i="2"/>
  <c r="O64" i="2" l="1"/>
  <c r="P64" i="2" s="1" a="1"/>
  <c r="P64" i="2" s="1"/>
  <c r="G65" i="2"/>
  <c r="Q64" i="2"/>
  <c r="R64" i="2" s="1" a="1"/>
  <c r="R64" i="2" s="1"/>
  <c r="S63" i="2"/>
  <c r="O65" i="2" l="1"/>
  <c r="P65" i="2" s="1" a="1"/>
  <c r="P65" i="2" s="1"/>
  <c r="G66" i="2"/>
  <c r="Q65" i="2"/>
  <c r="R65" i="2" s="1" a="1"/>
  <c r="R65" i="2" s="1"/>
  <c r="S64" i="2"/>
  <c r="O66" i="2" l="1"/>
  <c r="P66" i="2" s="1" a="1"/>
  <c r="P66" i="2" s="1"/>
  <c r="G67" i="2"/>
  <c r="Q66" i="2"/>
  <c r="R66" i="2" s="1" a="1"/>
  <c r="R66" i="2" s="1"/>
  <c r="S65" i="2"/>
  <c r="Q67" i="2" l="1"/>
  <c r="R67" i="2" s="1" a="1"/>
  <c r="R67" i="2" s="1"/>
  <c r="G68" i="2"/>
  <c r="O67" i="2"/>
  <c r="P67" i="2" s="1" a="1"/>
  <c r="P67" i="2" s="1"/>
  <c r="S66" i="2"/>
  <c r="Q68" i="2" l="1"/>
  <c r="R68" i="2" s="1" a="1"/>
  <c r="R68" i="2" s="1"/>
  <c r="G69" i="2"/>
  <c r="O68" i="2"/>
  <c r="P68" i="2" s="1" a="1"/>
  <c r="P68" i="2" s="1"/>
  <c r="S67" i="2"/>
  <c r="Q69" i="2" l="1"/>
  <c r="R69" i="2" s="1" a="1"/>
  <c r="R69" i="2" s="1"/>
  <c r="G70" i="2"/>
  <c r="O69" i="2"/>
  <c r="P69" i="2" s="1" a="1"/>
  <c r="P69" i="2" s="1"/>
  <c r="S68" i="2"/>
  <c r="G71" i="2" l="1"/>
  <c r="O70" i="2"/>
  <c r="P70" i="2" s="1" a="1"/>
  <c r="P70" i="2" s="1"/>
  <c r="Q70" i="2"/>
  <c r="R70" i="2" s="1" a="1"/>
  <c r="R70" i="2" s="1"/>
  <c r="S69" i="2"/>
  <c r="Q71" i="2" l="1"/>
  <c r="R71" i="2" s="1" a="1"/>
  <c r="R71" i="2" s="1"/>
  <c r="G72" i="2"/>
  <c r="O71" i="2"/>
  <c r="P71" i="2" s="1" a="1"/>
  <c r="P71" i="2" s="1"/>
  <c r="S70" i="2"/>
  <c r="Q72" i="2" l="1"/>
  <c r="R72" i="2" s="1" a="1"/>
  <c r="R72" i="2" s="1"/>
  <c r="G73" i="2"/>
  <c r="O72" i="2"/>
  <c r="P72" i="2" s="1" a="1"/>
  <c r="P72" i="2" s="1"/>
  <c r="S71" i="2"/>
  <c r="Q73" i="2" l="1"/>
  <c r="R73" i="2" s="1" a="1"/>
  <c r="R73" i="2" s="1"/>
  <c r="O73" i="2"/>
  <c r="P73" i="2" s="1" a="1"/>
  <c r="P73" i="2" s="1"/>
  <c r="G74" i="2"/>
  <c r="S72" i="2"/>
  <c r="Q74" i="2" l="1"/>
  <c r="R74" i="2" s="1" a="1"/>
  <c r="R74" i="2" s="1"/>
  <c r="O74" i="2"/>
  <c r="P74" i="2" s="1" a="1"/>
  <c r="P74" i="2" s="1"/>
  <c r="G75" i="2"/>
  <c r="S73" i="2"/>
  <c r="Q75" i="2" l="1"/>
  <c r="R75" i="2" s="1" a="1"/>
  <c r="R75" i="2" s="1"/>
  <c r="O75" i="2"/>
  <c r="P75" i="2" s="1" a="1"/>
  <c r="P75" i="2" s="1"/>
  <c r="G76" i="2"/>
  <c r="S74" i="2"/>
  <c r="Q76" i="2" l="1"/>
  <c r="R76" i="2" s="1" a="1"/>
  <c r="R76" i="2" s="1"/>
  <c r="G77" i="2"/>
  <c r="O76" i="2"/>
  <c r="P76" i="2" s="1" a="1"/>
  <c r="P76" i="2" s="1"/>
  <c r="S75" i="2"/>
  <c r="Q77" i="2" l="1"/>
  <c r="R77" i="2" s="1" a="1"/>
  <c r="R77" i="2" s="1"/>
  <c r="G78" i="2"/>
  <c r="O77" i="2"/>
  <c r="P77" i="2" s="1" a="1"/>
  <c r="P77" i="2" s="1"/>
  <c r="S76" i="2"/>
  <c r="O78" i="2" l="1"/>
  <c r="P78" i="2" s="1" a="1"/>
  <c r="P78" i="2" s="1"/>
  <c r="G79" i="2"/>
  <c r="Q78" i="2"/>
  <c r="R78" i="2" s="1" a="1"/>
  <c r="R78" i="2" s="1"/>
  <c r="S77" i="2"/>
  <c r="O79" i="2" l="1"/>
  <c r="P79" i="2" s="1" a="1"/>
  <c r="P79" i="2" s="1"/>
  <c r="G80" i="2"/>
  <c r="Q79" i="2"/>
  <c r="R79" i="2" s="1" a="1"/>
  <c r="R79" i="2" s="1"/>
  <c r="S78" i="2"/>
  <c r="Q80" i="2" l="1"/>
  <c r="R80" i="2" s="1" a="1"/>
  <c r="R80" i="2" s="1"/>
  <c r="G81" i="2"/>
  <c r="O80" i="2"/>
  <c r="P80" i="2" s="1" a="1"/>
  <c r="P80" i="2" s="1"/>
  <c r="S79" i="2"/>
  <c r="Q81" i="2" l="1"/>
  <c r="R81" i="2" s="1" a="1"/>
  <c r="R81" i="2" s="1"/>
  <c r="O81" i="2"/>
  <c r="P81" i="2" s="1" a="1"/>
  <c r="P81" i="2" s="1"/>
  <c r="G82" i="2"/>
  <c r="S80" i="2"/>
  <c r="O82" i="2" l="1"/>
  <c r="P82" i="2" s="1" a="1"/>
  <c r="P82" i="2" s="1"/>
  <c r="Q82" i="2"/>
  <c r="R82" i="2" s="1" a="1"/>
  <c r="R82" i="2" s="1"/>
  <c r="G83" i="2"/>
  <c r="S81" i="2"/>
  <c r="O83" i="2" l="1"/>
  <c r="P83" i="2" s="1" a="1"/>
  <c r="P83" i="2" s="1"/>
  <c r="Q83" i="2"/>
  <c r="R83" i="2" s="1" a="1"/>
  <c r="R83" i="2" s="1"/>
  <c r="G84" i="2"/>
  <c r="S82" i="2"/>
  <c r="O84" i="2" l="1"/>
  <c r="P84" i="2" s="1" a="1"/>
  <c r="P84" i="2" s="1"/>
  <c r="Q84" i="2"/>
  <c r="R84" i="2" s="1" a="1"/>
  <c r="R84" i="2" s="1"/>
  <c r="G85" i="2"/>
  <c r="S83" i="2"/>
  <c r="O85" i="2" l="1"/>
  <c r="P85" i="2" s="1" a="1"/>
  <c r="P85" i="2" s="1"/>
  <c r="Q85" i="2"/>
  <c r="R85" i="2" s="1" a="1"/>
  <c r="R85" i="2" s="1"/>
  <c r="G86" i="2"/>
  <c r="S84" i="2"/>
  <c r="G87" i="2" l="1"/>
  <c r="Q86" i="2"/>
  <c r="R86" i="2" s="1" a="1"/>
  <c r="R86" i="2" s="1"/>
  <c r="O86" i="2"/>
  <c r="P86" i="2" s="1" a="1"/>
  <c r="P86" i="2" s="1"/>
  <c r="S85" i="2"/>
  <c r="O87" i="2" l="1"/>
  <c r="P87" i="2" s="1" a="1"/>
  <c r="P87" i="2" s="1"/>
  <c r="G88" i="2"/>
  <c r="Q87" i="2"/>
  <c r="R87" i="2" s="1" a="1"/>
  <c r="R87" i="2" s="1"/>
  <c r="S86" i="2"/>
  <c r="O88" i="2" l="1"/>
  <c r="P88" i="2" s="1" a="1"/>
  <c r="P88" i="2" s="1"/>
  <c r="G89" i="2"/>
  <c r="Q88" i="2"/>
  <c r="R88" i="2" s="1" a="1"/>
  <c r="R88" i="2" s="1"/>
  <c r="S87" i="2"/>
  <c r="Q89" i="2" l="1"/>
  <c r="R89" i="2" s="1" a="1"/>
  <c r="R89" i="2" s="1"/>
  <c r="O89" i="2"/>
  <c r="P89" i="2" s="1" a="1"/>
  <c r="P89" i="2" s="1"/>
  <c r="G90" i="2"/>
  <c r="S88" i="2"/>
  <c r="Q90" i="2" l="1"/>
  <c r="R90" i="2" s="1" a="1"/>
  <c r="R90" i="2" s="1"/>
  <c r="O90" i="2"/>
  <c r="P90" i="2" s="1" a="1"/>
  <c r="P90" i="2" s="1"/>
  <c r="G91" i="2"/>
  <c r="S89" i="2"/>
  <c r="G92" i="2" l="1"/>
  <c r="O91" i="2"/>
  <c r="P91" i="2" s="1" a="1"/>
  <c r="P91" i="2" s="1"/>
  <c r="Q91" i="2"/>
  <c r="R91" i="2" s="1" a="1"/>
  <c r="R91" i="2" s="1"/>
  <c r="S90" i="2"/>
  <c r="O92" i="2" l="1"/>
  <c r="P92" i="2" s="1" a="1"/>
  <c r="P92" i="2" s="1"/>
  <c r="G93" i="2"/>
  <c r="Q92" i="2"/>
  <c r="R92" i="2" s="1" a="1"/>
  <c r="R92" i="2" s="1"/>
  <c r="S91" i="2"/>
  <c r="Q93" i="2" l="1"/>
  <c r="R93" i="2" s="1" a="1"/>
  <c r="R93" i="2" s="1"/>
  <c r="O93" i="2"/>
  <c r="P93" i="2" s="1" a="1"/>
  <c r="P93" i="2" s="1"/>
  <c r="G94" i="2"/>
  <c r="S92" i="2"/>
  <c r="G95" i="2" l="1"/>
  <c r="O94" i="2"/>
  <c r="P94" i="2" s="1" a="1"/>
  <c r="P94" i="2" s="1"/>
  <c r="Q94" i="2"/>
  <c r="R94" i="2" s="1" a="1"/>
  <c r="R94" i="2" s="1"/>
  <c r="S93" i="2"/>
  <c r="G96" i="2" l="1"/>
  <c r="Q95" i="2"/>
  <c r="R95" i="2" s="1" a="1"/>
  <c r="R95" i="2" s="1"/>
  <c r="O95" i="2"/>
  <c r="P95" i="2" s="1" a="1"/>
  <c r="P95" i="2" s="1"/>
  <c r="S94" i="2"/>
  <c r="Q96" i="2" l="1"/>
  <c r="R96" i="2" s="1" a="1"/>
  <c r="R96" i="2" s="1"/>
  <c r="O96" i="2"/>
  <c r="P96" i="2" s="1" a="1"/>
  <c r="P96" i="2" s="1"/>
  <c r="G97" i="2"/>
  <c r="S95" i="2"/>
  <c r="Q97" i="2" l="1"/>
  <c r="R97" i="2" s="1" a="1"/>
  <c r="R97" i="2" s="1"/>
  <c r="G98" i="2"/>
  <c r="O97" i="2"/>
  <c r="P97" i="2" s="1" a="1"/>
  <c r="P97" i="2" s="1"/>
  <c r="S96" i="2"/>
  <c r="G99" i="2" l="1"/>
  <c r="O98" i="2"/>
  <c r="P98" i="2" s="1" a="1"/>
  <c r="P98" i="2" s="1"/>
  <c r="Q98" i="2"/>
  <c r="R98" i="2" s="1" a="1"/>
  <c r="R98" i="2" s="1"/>
  <c r="S97" i="2"/>
  <c r="Q99" i="2" l="1"/>
  <c r="R99" i="2" s="1" a="1"/>
  <c r="R99" i="2" s="1"/>
  <c r="O99" i="2"/>
  <c r="P99" i="2" s="1" a="1"/>
  <c r="P99" i="2" s="1"/>
  <c r="G100" i="2"/>
  <c r="S98" i="2"/>
  <c r="Q100" i="2" l="1"/>
  <c r="R100" i="2" s="1" a="1"/>
  <c r="R100" i="2" s="1"/>
  <c r="O100" i="2"/>
  <c r="P100" i="2" s="1" a="1"/>
  <c r="P100" i="2" s="1"/>
  <c r="G101" i="2"/>
  <c r="S99" i="2"/>
  <c r="O101" i="2" l="1"/>
  <c r="P101" i="2" s="1" a="1"/>
  <c r="P101" i="2" s="1"/>
  <c r="Q101" i="2"/>
  <c r="R101" i="2" s="1" a="1"/>
  <c r="R101" i="2" s="1"/>
  <c r="G102" i="2"/>
  <c r="S100" i="2"/>
  <c r="G103" i="2" l="1"/>
  <c r="Q102" i="2"/>
  <c r="R102" i="2" s="1" a="1"/>
  <c r="R102" i="2" s="1"/>
  <c r="O102" i="2"/>
  <c r="P102" i="2" s="1" a="1"/>
  <c r="P102" i="2" s="1"/>
  <c r="S101" i="2"/>
  <c r="Q103" i="2" l="1"/>
  <c r="R103" i="2" s="1" a="1"/>
  <c r="R103" i="2" s="1"/>
  <c r="G104" i="2"/>
  <c r="O103" i="2"/>
  <c r="P103" i="2" s="1" a="1"/>
  <c r="P103" i="2" s="1"/>
  <c r="S102" i="2"/>
  <c r="G105" i="2" l="1"/>
  <c r="Q104" i="2"/>
  <c r="R104" i="2" s="1" a="1"/>
  <c r="R104" i="2" s="1"/>
  <c r="O104" i="2"/>
  <c r="P104" i="2" s="1" a="1"/>
  <c r="P104" i="2" s="1"/>
  <c r="S103" i="2"/>
  <c r="Q105" i="2" l="1"/>
  <c r="R105" i="2" s="1" a="1"/>
  <c r="R105" i="2" s="1"/>
  <c r="G106" i="2"/>
  <c r="O105" i="2"/>
  <c r="P105" i="2" s="1" a="1"/>
  <c r="P105" i="2" s="1"/>
  <c r="S104" i="2"/>
  <c r="O106" i="2" l="1"/>
  <c r="P106" i="2" s="1" a="1"/>
  <c r="P106" i="2" s="1"/>
  <c r="G107" i="2"/>
  <c r="Q106" i="2"/>
  <c r="R106" i="2" s="1" a="1"/>
  <c r="R106" i="2" s="1"/>
  <c r="S105" i="2"/>
  <c r="Q107" i="2" l="1"/>
  <c r="R107" i="2" s="1" a="1"/>
  <c r="R107" i="2" s="1"/>
  <c r="O107" i="2"/>
  <c r="P107" i="2" s="1" a="1"/>
  <c r="P107" i="2" s="1"/>
  <c r="G108" i="2"/>
  <c r="S106" i="2"/>
  <c r="Q108" i="2" l="1"/>
  <c r="R108" i="2" s="1" a="1"/>
  <c r="R108" i="2" s="1"/>
  <c r="O108" i="2"/>
  <c r="P108" i="2" s="1" a="1"/>
  <c r="P108" i="2" s="1"/>
  <c r="G109" i="2"/>
  <c r="S107" i="2"/>
  <c r="Q109" i="2" l="1"/>
  <c r="R109" i="2" s="1" a="1"/>
  <c r="R109" i="2" s="1"/>
  <c r="G110" i="2"/>
  <c r="O109" i="2"/>
  <c r="P109" i="2" s="1" a="1"/>
  <c r="P109" i="2" s="1"/>
  <c r="S108" i="2"/>
  <c r="O110" i="2" l="1"/>
  <c r="P110" i="2" s="1" a="1"/>
  <c r="P110" i="2" s="1"/>
  <c r="Q110" i="2"/>
  <c r="R110" i="2" s="1" a="1"/>
  <c r="R110" i="2" s="1"/>
  <c r="S109" i="2"/>
  <c r="S110" i="2" l="1"/>
  <c r="D15" i="2" s="1" a="1"/>
  <c r="D1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<sst xmlns="http://schemas.openxmlformats.org/spreadsheetml/2006/main" count="46" uniqueCount="30">
  <si>
    <t>Tongatapu</t>
  </si>
  <si>
    <t>Petrol</t>
  </si>
  <si>
    <t>Diesel</t>
  </si>
  <si>
    <t>(litres)</t>
  </si>
  <si>
    <t>Unpumpable tank capacity</t>
  </si>
  <si>
    <t>Pumpable tank capacity</t>
  </si>
  <si>
    <t>Safe fill capacity</t>
  </si>
  <si>
    <t>Daily stock report for TotalEnergies</t>
  </si>
  <si>
    <t>Closing Stock</t>
  </si>
  <si>
    <t>Offtake</t>
  </si>
  <si>
    <t>Petrol (litres)</t>
  </si>
  <si>
    <t>Diesel (litres)</t>
  </si>
  <si>
    <t>ACTUAL</t>
  </si>
  <si>
    <t>Terminal Info</t>
  </si>
  <si>
    <t>FORECAST</t>
  </si>
  <si>
    <t>Date</t>
  </si>
  <si>
    <t>Next resupply 1</t>
  </si>
  <si>
    <t>Next resupply 2</t>
  </si>
  <si>
    <t>Next resupply 3</t>
  </si>
  <si>
    <t>Next resupply 4</t>
  </si>
  <si>
    <t>Next resupply 5</t>
  </si>
  <si>
    <t>Forecast delivery</t>
  </si>
  <si>
    <t>Update as required</t>
  </si>
  <si>
    <t>ENTER DATA INTO GREEN CELLS</t>
  </si>
  <si>
    <t>Min</t>
  </si>
  <si>
    <t>Max</t>
  </si>
  <si>
    <t>Example</t>
  </si>
  <si>
    <t>Offtake - Tonga Power</t>
  </si>
  <si>
    <t>Offtake - Remainder</t>
  </si>
  <si>
    <t>Offtake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</si>
</sst>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ddd\ dd\ mmm\ \'yy"/>
    <numFmt numFmtId="166" formatCode="ddd\ dd\ mmm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indexed="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3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164" fontId="0" fillId="0" borderId="4" xfId="0" applyNumberForma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 applyProtection="1">
      <alignment horizontal="right" vertical="center"/>
      <protection locked="0"/>
    </xf>
    <xf numFmtId="164" fontId="0" fillId="4" borderId="9" xfId="0" applyNumberFormat="1" applyFill="1" applyBorder="1" applyAlignment="1">
      <alignment horizontal="right" vertical="center"/>
    </xf>
    <xf numFmtId="164" fontId="0" fillId="4" borderId="10" xfId="0" applyNumberForma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right" vertical="center"/>
    </xf>
    <xf numFmtId="164" fontId="2" fillId="4" borderId="11" xfId="0" applyNumberFormat="1" applyFont="1" applyFill="1" applyBorder="1" applyAlignment="1">
      <alignment horizontal="left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right" vertical="center"/>
    </xf>
    <xf numFmtId="164" fontId="0" fillId="4" borderId="13" xfId="0" applyNumberFormat="1" applyFill="1" applyBorder="1" applyAlignment="1">
      <alignment horizontal="left" vertical="center"/>
    </xf>
    <xf numFmtId="164" fontId="0" fillId="4" borderId="12" xfId="0" applyNumberFormat="1" applyFill="1" applyBorder="1" applyAlignment="1">
      <alignment horizontal="left" vertical="center"/>
    </xf>
    <xf numFmtId="164" fontId="0" fillId="4" borderId="14" xfId="0" applyNumberFormat="1" applyFill="1" applyBorder="1" applyAlignment="1">
      <alignment horizontal="left" vertical="center"/>
    </xf>
    <xf numFmtId="164" fontId="0" fillId="4" borderId="15" xfId="0" applyNumberFormat="1" applyFill="1" applyBorder="1" applyAlignment="1">
      <alignment horizontal="right" vertical="center"/>
    </xf>
    <xf numFmtId="164" fontId="2" fillId="4" borderId="16" xfId="0" applyNumberFormat="1" applyFont="1" applyFill="1" applyBorder="1" applyAlignment="1">
      <alignment horizontal="left" vertical="center"/>
    </xf>
    <xf numFmtId="164" fontId="2" fillId="4" borderId="0" xfId="0" applyNumberFormat="1" applyFont="1" applyFill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5" fillId="2" borderId="17" xfId="0" applyNumberFormat="1" applyFont="1" applyFill="1" applyBorder="1" applyAlignment="1">
      <alignment horizontal="center" vertical="center" wrapText="1"/>
    </xf>
    <xf numFmtId="164" fontId="5" fillId="2" borderId="18" xfId="0" applyNumberFormat="1" applyFont="1" applyFill="1" applyBorder="1" applyAlignment="1">
      <alignment horizontal="center" vertical="center" wrapText="1"/>
    </xf>
    <xf numFmtId="165" fontId="0" fillId="3" borderId="4" xfId="0" applyNumberFormat="1" applyFill="1" applyBorder="1" applyAlignment="1" applyProtection="1">
      <alignment horizontal="center" vertical="center"/>
      <protection locked="0"/>
    </xf>
    <xf numFmtId="3" fontId="0" fillId="3" borderId="4" xfId="0" applyNumberFormat="1" applyFill="1" applyBorder="1" applyAlignment="1" applyProtection="1">
      <alignment horizontal="center" vertical="center"/>
      <protection locked="0"/>
    </xf>
    <xf numFmtId="164" fontId="0" fillId="3" borderId="4" xfId="0" applyNumberFormat="1" applyFill="1" applyBorder="1" applyAlignment="1" applyProtection="1">
      <alignment horizontal="right" vertical="center"/>
      <protection locked="0"/>
    </xf>
    <xf numFmtId="164" fontId="2" fillId="3" borderId="4" xfId="0" applyNumberFormat="1" applyFont="1" applyFill="1" applyBorder="1" applyAlignment="1" applyProtection="1">
      <alignment horizontal="right" vertical="center"/>
      <protection locked="0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4" fontId="5" fillId="2" borderId="19" xfId="0" applyNumberFormat="1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164" fontId="5" fillId="2" borderId="23" xfId="0" applyNumberFormat="1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164" fontId="0" fillId="3" borderId="3" xfId="0" applyNumberFormat="1" applyFill="1" applyBorder="1" applyAlignment="1" applyProtection="1">
      <alignment horizontal="right" vertical="center"/>
      <protection locked="0"/>
    </xf>
    <xf numFmtId="164" fontId="4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right" vertical="center"/>
    </xf>
    <xf numFmtId="3" fontId="11" fillId="5" borderId="3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11" fillId="5" borderId="3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29" xfId="0" applyNumberFormat="1" applyFont="1" applyFill="1" applyBorder="1" applyAlignment="1">
      <alignment horizontal="center" vertical="center"/>
    </xf>
    <xf numFmtId="164" fontId="5" fillId="2" borderId="21" xfId="0" applyNumberFormat="1" applyFont="1" applyFill="1" applyBorder="1" applyAlignment="1">
      <alignment horizontal="center" vertical="center"/>
    </xf>
    <xf numFmtId="164" fontId="5" fillId="2" borderId="22" xfId="0" applyNumberFormat="1" applyFont="1" applyFill="1" applyBorder="1" applyAlignment="1">
      <alignment horizontal="center" vertical="center"/>
    </xf>
    <xf numFmtId="164" fontId="3" fillId="3" borderId="26" xfId="0" applyNumberFormat="1" applyFont="1" applyFill="1" applyBorder="1" applyAlignment="1">
      <alignment horizontal="center" vertical="center"/>
    </xf>
    <xf numFmtId="164" fontId="3" fillId="3" borderId="27" xfId="0" applyNumberFormat="1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64" fontId="5" fillId="2" borderId="30" xfId="0" applyNumberFormat="1" applyFont="1" applyFill="1" applyBorder="1" applyAlignment="1">
      <alignment horizontal="center" vertical="center"/>
    </xf>
    <xf numFmtId="164" fontId="5" fillId="2" borderId="31" xfId="0" applyNumberFormat="1" applyFont="1" applyFill="1" applyBorder="1" applyAlignment="1">
      <alignment horizontal="center" vertical="center"/>
    </xf>
    <xf numFmtId="164" fontId="5" fillId="2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Petrol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Petrol 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Stock'!$P$5:$P$110</c:f>
              <c:numCache>
                <c:formatCode>#,##0_ ;\-#,##0\ 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703167</c:v>
                </c:pt>
                <c:pt idx="15">
                  <c:v>681592</c:v>
                </c:pt>
                <c:pt idx="16">
                  <c:v>669529</c:v>
                </c:pt>
                <c:pt idx="17">
                  <c:v>669529</c:v>
                </c:pt>
                <c:pt idx="18">
                  <c:v>651732</c:v>
                </c:pt>
                <c:pt idx="19">
                  <c:v>651732</c:v>
                </c:pt>
                <c:pt idx="20">
                  <c:v>651732</c:v>
                </c:pt>
                <c:pt idx="21">
                  <c:v>617312</c:v>
                </c:pt>
                <c:pt idx="22">
                  <c:v>617312</c:v>
                </c:pt>
                <c:pt idx="23">
                  <c:v>603447</c:v>
                </c:pt>
                <c:pt idx="24">
                  <c:v>563813</c:v>
                </c:pt>
                <c:pt idx="25">
                  <c:v>563284</c:v>
                </c:pt>
                <c:pt idx="26">
                  <c:v>563284</c:v>
                </c:pt>
                <c:pt idx="27">
                  <c:v>524021</c:v>
                </c:pt>
                <c:pt idx="28">
                  <c:v>524021</c:v>
                </c:pt>
                <c:pt idx="29">
                  <c:v>491471</c:v>
                </c:pt>
                <c:pt idx="30">
                  <c:v>491471</c:v>
                </c:pt>
                <c:pt idx="31">
                  <c:v>463521</c:v>
                </c:pt>
                <c:pt idx="32">
                  <c:v>463521</c:v>
                </c:pt>
                <c:pt idx="33">
                  <c:v>463521</c:v>
                </c:pt>
                <c:pt idx="34">
                  <c:v>449491</c:v>
                </c:pt>
                <c:pt idx="35">
                  <c:v>435461</c:v>
                </c:pt>
                <c:pt idx="36">
                  <c:v>421431</c:v>
                </c:pt>
                <c:pt idx="37">
                  <c:v>407401</c:v>
                </c:pt>
                <c:pt idx="38">
                  <c:v>393371</c:v>
                </c:pt>
                <c:pt idx="39">
                  <c:v>379341</c:v>
                </c:pt>
                <c:pt idx="40">
                  <c:v>365311</c:v>
                </c:pt>
                <c:pt idx="41">
                  <c:v>351281</c:v>
                </c:pt>
                <c:pt idx="42">
                  <c:v>877251</c:v>
                </c:pt>
                <c:pt idx="43">
                  <c:v>863221</c:v>
                </c:pt>
                <c:pt idx="44">
                  <c:v>849191</c:v>
                </c:pt>
                <c:pt idx="45">
                  <c:v>835161</c:v>
                </c:pt>
                <c:pt idx="46">
                  <c:v>821131</c:v>
                </c:pt>
                <c:pt idx="47">
                  <c:v>807101</c:v>
                </c:pt>
                <c:pt idx="48">
                  <c:v>793071</c:v>
                </c:pt>
                <c:pt idx="49">
                  <c:v>779041</c:v>
                </c:pt>
                <c:pt idx="50">
                  <c:v>765011</c:v>
                </c:pt>
                <c:pt idx="51">
                  <c:v>750981</c:v>
                </c:pt>
                <c:pt idx="52">
                  <c:v>736951</c:v>
                </c:pt>
                <c:pt idx="53">
                  <c:v>722921</c:v>
                </c:pt>
                <c:pt idx="54">
                  <c:v>708891</c:v>
                </c:pt>
                <c:pt idx="55">
                  <c:v>694861</c:v>
                </c:pt>
                <c:pt idx="56">
                  <c:v>680831</c:v>
                </c:pt>
                <c:pt idx="57">
                  <c:v>666801</c:v>
                </c:pt>
                <c:pt idx="58">
                  <c:v>652771</c:v>
                </c:pt>
                <c:pt idx="59">
                  <c:v>1043741</c:v>
                </c:pt>
                <c:pt idx="60">
                  <c:v>1029711</c:v>
                </c:pt>
                <c:pt idx="61">
                  <c:v>1015681</c:v>
                </c:pt>
                <c:pt idx="62">
                  <c:v>1001651</c:v>
                </c:pt>
                <c:pt idx="63">
                  <c:v>987621</c:v>
                </c:pt>
                <c:pt idx="64">
                  <c:v>973591</c:v>
                </c:pt>
                <c:pt idx="65">
                  <c:v>959561</c:v>
                </c:pt>
                <c:pt idx="66">
                  <c:v>945531</c:v>
                </c:pt>
                <c:pt idx="67">
                  <c:v>931501</c:v>
                </c:pt>
                <c:pt idx="68">
                  <c:v>917471</c:v>
                </c:pt>
                <c:pt idx="69">
                  <c:v>903441</c:v>
                </c:pt>
                <c:pt idx="70">
                  <c:v>889411</c:v>
                </c:pt>
                <c:pt idx="71">
                  <c:v>875381</c:v>
                </c:pt>
                <c:pt idx="72">
                  <c:v>861351</c:v>
                </c:pt>
                <c:pt idx="73">
                  <c:v>847321</c:v>
                </c:pt>
                <c:pt idx="74">
                  <c:v>833291</c:v>
                </c:pt>
                <c:pt idx="75">
                  <c:v>819261</c:v>
                </c:pt>
                <c:pt idx="76">
                  <c:v>805231</c:v>
                </c:pt>
                <c:pt idx="77">
                  <c:v>791201</c:v>
                </c:pt>
                <c:pt idx="78">
                  <c:v>777171</c:v>
                </c:pt>
                <c:pt idx="79">
                  <c:v>763141</c:v>
                </c:pt>
                <c:pt idx="80">
                  <c:v>1154111</c:v>
                </c:pt>
                <c:pt idx="81">
                  <c:v>1140081</c:v>
                </c:pt>
                <c:pt idx="82">
                  <c:v>1126051</c:v>
                </c:pt>
                <c:pt idx="83">
                  <c:v>1112021</c:v>
                </c:pt>
                <c:pt idx="84">
                  <c:v>1097991</c:v>
                </c:pt>
                <c:pt idx="85">
                  <c:v>1083961</c:v>
                </c:pt>
                <c:pt idx="86">
                  <c:v>1069931</c:v>
                </c:pt>
                <c:pt idx="87">
                  <c:v>1055901</c:v>
                </c:pt>
                <c:pt idx="88">
                  <c:v>1041871</c:v>
                </c:pt>
                <c:pt idx="89">
                  <c:v>1027841</c:v>
                </c:pt>
                <c:pt idx="90">
                  <c:v>1013811</c:v>
                </c:pt>
                <c:pt idx="91">
                  <c:v>999781</c:v>
                </c:pt>
                <c:pt idx="92">
                  <c:v>985751</c:v>
                </c:pt>
                <c:pt idx="93">
                  <c:v>971721</c:v>
                </c:pt>
                <c:pt idx="94">
                  <c:v>957691</c:v>
                </c:pt>
                <c:pt idx="95">
                  <c:v>943661</c:v>
                </c:pt>
                <c:pt idx="96">
                  <c:v>929631</c:v>
                </c:pt>
                <c:pt idx="97">
                  <c:v>915601</c:v>
                </c:pt>
                <c:pt idx="98">
                  <c:v>901571</c:v>
                </c:pt>
                <c:pt idx="99">
                  <c:v>887541</c:v>
                </c:pt>
                <c:pt idx="100">
                  <c:v>873511</c:v>
                </c:pt>
                <c:pt idx="101">
                  <c:v>859481</c:v>
                </c:pt>
                <c:pt idx="102">
                  <c:v>845451</c:v>
                </c:pt>
                <c:pt idx="103">
                  <c:v>831421</c:v>
                </c:pt>
                <c:pt idx="104">
                  <c:v>817391</c:v>
                </c:pt>
                <c:pt idx="105">
                  <c:v>803361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D-4B0D-9A5A-34E7FC55835A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Stock'!$AB$5:$AB$110</c:f>
              <c:numCache>
                <c:formatCode>#,##0_ ;\-#,##0\ </c:formatCode>
                <c:ptCount val="106"/>
                <c:pt idx="0">
                  <c:v>16085</c:v>
                </c:pt>
                <c:pt idx="1">
                  <c:v>16085</c:v>
                </c:pt>
                <c:pt idx="2">
                  <c:v>16085</c:v>
                </c:pt>
                <c:pt idx="3">
                  <c:v>16085</c:v>
                </c:pt>
                <c:pt idx="4">
                  <c:v>16085</c:v>
                </c:pt>
                <c:pt idx="5">
                  <c:v>16085</c:v>
                </c:pt>
                <c:pt idx="6">
                  <c:v>16085</c:v>
                </c:pt>
                <c:pt idx="7">
                  <c:v>16085</c:v>
                </c:pt>
                <c:pt idx="8">
                  <c:v>16085</c:v>
                </c:pt>
                <c:pt idx="9">
                  <c:v>16085</c:v>
                </c:pt>
                <c:pt idx="10">
                  <c:v>16085</c:v>
                </c:pt>
                <c:pt idx="11">
                  <c:v>16085</c:v>
                </c:pt>
                <c:pt idx="12">
                  <c:v>16085</c:v>
                </c:pt>
                <c:pt idx="13">
                  <c:v>16085</c:v>
                </c:pt>
                <c:pt idx="14">
                  <c:v>16085</c:v>
                </c:pt>
                <c:pt idx="15">
                  <c:v>16085</c:v>
                </c:pt>
                <c:pt idx="16">
                  <c:v>16085</c:v>
                </c:pt>
                <c:pt idx="17">
                  <c:v>16085</c:v>
                </c:pt>
                <c:pt idx="18">
                  <c:v>16085</c:v>
                </c:pt>
                <c:pt idx="19">
                  <c:v>16085</c:v>
                </c:pt>
                <c:pt idx="20">
                  <c:v>16085</c:v>
                </c:pt>
                <c:pt idx="21">
                  <c:v>16085</c:v>
                </c:pt>
                <c:pt idx="22">
                  <c:v>16085</c:v>
                </c:pt>
                <c:pt idx="23">
                  <c:v>16085</c:v>
                </c:pt>
                <c:pt idx="24">
                  <c:v>16085</c:v>
                </c:pt>
                <c:pt idx="25">
                  <c:v>16085</c:v>
                </c:pt>
                <c:pt idx="26">
                  <c:v>16085</c:v>
                </c:pt>
                <c:pt idx="27">
                  <c:v>16085</c:v>
                </c:pt>
                <c:pt idx="28">
                  <c:v>16085</c:v>
                </c:pt>
                <c:pt idx="29">
                  <c:v>16085</c:v>
                </c:pt>
                <c:pt idx="30">
                  <c:v>16085</c:v>
                </c:pt>
                <c:pt idx="31">
                  <c:v>16085</c:v>
                </c:pt>
                <c:pt idx="32">
                  <c:v>16085</c:v>
                </c:pt>
                <c:pt idx="33">
                  <c:v>16085</c:v>
                </c:pt>
                <c:pt idx="34">
                  <c:v>16085</c:v>
                </c:pt>
                <c:pt idx="35">
                  <c:v>16085</c:v>
                </c:pt>
                <c:pt idx="36">
                  <c:v>16085</c:v>
                </c:pt>
                <c:pt idx="37">
                  <c:v>16085</c:v>
                </c:pt>
                <c:pt idx="38">
                  <c:v>16085</c:v>
                </c:pt>
                <c:pt idx="39">
                  <c:v>16085</c:v>
                </c:pt>
                <c:pt idx="40">
                  <c:v>16085</c:v>
                </c:pt>
                <c:pt idx="41">
                  <c:v>16085</c:v>
                </c:pt>
                <c:pt idx="42">
                  <c:v>16085</c:v>
                </c:pt>
                <c:pt idx="43">
                  <c:v>16085</c:v>
                </c:pt>
                <c:pt idx="44">
                  <c:v>16085</c:v>
                </c:pt>
                <c:pt idx="45">
                  <c:v>16085</c:v>
                </c:pt>
                <c:pt idx="46">
                  <c:v>16085</c:v>
                </c:pt>
                <c:pt idx="47">
                  <c:v>16085</c:v>
                </c:pt>
                <c:pt idx="48">
                  <c:v>16085</c:v>
                </c:pt>
                <c:pt idx="49">
                  <c:v>16085</c:v>
                </c:pt>
                <c:pt idx="50">
                  <c:v>16085</c:v>
                </c:pt>
                <c:pt idx="51">
                  <c:v>16085</c:v>
                </c:pt>
                <c:pt idx="52">
                  <c:v>16085</c:v>
                </c:pt>
                <c:pt idx="53">
                  <c:v>16085</c:v>
                </c:pt>
                <c:pt idx="54">
                  <c:v>16085</c:v>
                </c:pt>
                <c:pt idx="55">
                  <c:v>16085</c:v>
                </c:pt>
                <c:pt idx="56">
                  <c:v>16085</c:v>
                </c:pt>
                <c:pt idx="57">
                  <c:v>16085</c:v>
                </c:pt>
                <c:pt idx="58">
                  <c:v>16085</c:v>
                </c:pt>
                <c:pt idx="59">
                  <c:v>16085</c:v>
                </c:pt>
                <c:pt idx="60">
                  <c:v>16085</c:v>
                </c:pt>
                <c:pt idx="61">
                  <c:v>16085</c:v>
                </c:pt>
                <c:pt idx="62">
                  <c:v>16085</c:v>
                </c:pt>
                <c:pt idx="63">
                  <c:v>16085</c:v>
                </c:pt>
                <c:pt idx="64">
                  <c:v>16085</c:v>
                </c:pt>
                <c:pt idx="65">
                  <c:v>16085</c:v>
                </c:pt>
                <c:pt idx="66">
                  <c:v>16085</c:v>
                </c:pt>
                <c:pt idx="67">
                  <c:v>16085</c:v>
                </c:pt>
                <c:pt idx="68">
                  <c:v>16085</c:v>
                </c:pt>
                <c:pt idx="69">
                  <c:v>16085</c:v>
                </c:pt>
                <c:pt idx="70">
                  <c:v>16085</c:v>
                </c:pt>
                <c:pt idx="71">
                  <c:v>16085</c:v>
                </c:pt>
                <c:pt idx="72">
                  <c:v>16085</c:v>
                </c:pt>
                <c:pt idx="73">
                  <c:v>16085</c:v>
                </c:pt>
                <c:pt idx="74">
                  <c:v>16085</c:v>
                </c:pt>
                <c:pt idx="75">
                  <c:v>16085</c:v>
                </c:pt>
                <c:pt idx="76">
                  <c:v>16085</c:v>
                </c:pt>
                <c:pt idx="77">
                  <c:v>16085</c:v>
                </c:pt>
                <c:pt idx="78">
                  <c:v>16085</c:v>
                </c:pt>
                <c:pt idx="79">
                  <c:v>16085</c:v>
                </c:pt>
                <c:pt idx="80">
                  <c:v>16085</c:v>
                </c:pt>
                <c:pt idx="81">
                  <c:v>16085</c:v>
                </c:pt>
                <c:pt idx="82">
                  <c:v>16085</c:v>
                </c:pt>
                <c:pt idx="83">
                  <c:v>16085</c:v>
                </c:pt>
                <c:pt idx="84">
                  <c:v>16085</c:v>
                </c:pt>
                <c:pt idx="85">
                  <c:v>16085</c:v>
                </c:pt>
                <c:pt idx="86">
                  <c:v>16085</c:v>
                </c:pt>
                <c:pt idx="87">
                  <c:v>16085</c:v>
                </c:pt>
                <c:pt idx="88">
                  <c:v>16085</c:v>
                </c:pt>
                <c:pt idx="89">
                  <c:v>16085</c:v>
                </c:pt>
                <c:pt idx="90">
                  <c:v>16085</c:v>
                </c:pt>
                <c:pt idx="91">
                  <c:v>16085</c:v>
                </c:pt>
                <c:pt idx="92">
                  <c:v>16085</c:v>
                </c:pt>
                <c:pt idx="93">
                  <c:v>16085</c:v>
                </c:pt>
                <c:pt idx="94">
                  <c:v>16085</c:v>
                </c:pt>
                <c:pt idx="95">
                  <c:v>16085</c:v>
                </c:pt>
                <c:pt idx="96">
                  <c:v>16085</c:v>
                </c:pt>
                <c:pt idx="97">
                  <c:v>16085</c:v>
                </c:pt>
                <c:pt idx="98">
                  <c:v>16085</c:v>
                </c:pt>
                <c:pt idx="99">
                  <c:v>16085</c:v>
                </c:pt>
                <c:pt idx="100">
                  <c:v>16085</c:v>
                </c:pt>
                <c:pt idx="101">
                  <c:v>16085</c:v>
                </c:pt>
                <c:pt idx="102">
                  <c:v>16085</c:v>
                </c:pt>
                <c:pt idx="103">
                  <c:v>16085</c:v>
                </c:pt>
                <c:pt idx="104">
                  <c:v>16085</c:v>
                </c:pt>
                <c:pt idx="105">
                  <c:v>16085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B-4126-8E11-F5BF7FC74088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Stock'!$AC$5:$AC$110</c:f>
              <c:numCache>
                <c:formatCode>#,##0_ ;\-#,##0\ </c:formatCode>
                <c:ptCount val="106"/>
                <c:pt idx="0">
                  <c:v>325936</c:v>
                </c:pt>
                <c:pt idx="1">
                  <c:v>325936</c:v>
                </c:pt>
                <c:pt idx="2">
                  <c:v>325936</c:v>
                </c:pt>
                <c:pt idx="3">
                  <c:v>325936</c:v>
                </c:pt>
                <c:pt idx="4">
                  <c:v>325936</c:v>
                </c:pt>
                <c:pt idx="5">
                  <c:v>325936</c:v>
                </c:pt>
                <c:pt idx="6">
                  <c:v>325936</c:v>
                </c:pt>
                <c:pt idx="7">
                  <c:v>325936</c:v>
                </c:pt>
                <c:pt idx="8">
                  <c:v>325936</c:v>
                </c:pt>
                <c:pt idx="9">
                  <c:v>325936</c:v>
                </c:pt>
                <c:pt idx="10">
                  <c:v>325936</c:v>
                </c:pt>
                <c:pt idx="11">
                  <c:v>325936</c:v>
                </c:pt>
                <c:pt idx="12">
                  <c:v>325936</c:v>
                </c:pt>
                <c:pt idx="13">
                  <c:v>325936</c:v>
                </c:pt>
                <c:pt idx="14">
                  <c:v>325936</c:v>
                </c:pt>
                <c:pt idx="15">
                  <c:v>325936</c:v>
                </c:pt>
                <c:pt idx="16">
                  <c:v>325936</c:v>
                </c:pt>
                <c:pt idx="17">
                  <c:v>325936</c:v>
                </c:pt>
                <c:pt idx="18">
                  <c:v>325936</c:v>
                </c:pt>
                <c:pt idx="19">
                  <c:v>325936</c:v>
                </c:pt>
                <c:pt idx="20">
                  <c:v>325936</c:v>
                </c:pt>
                <c:pt idx="21">
                  <c:v>325936</c:v>
                </c:pt>
                <c:pt idx="22">
                  <c:v>325936</c:v>
                </c:pt>
                <c:pt idx="23">
                  <c:v>325936</c:v>
                </c:pt>
                <c:pt idx="24">
                  <c:v>325936</c:v>
                </c:pt>
                <c:pt idx="25">
                  <c:v>325936</c:v>
                </c:pt>
                <c:pt idx="26">
                  <c:v>325936</c:v>
                </c:pt>
                <c:pt idx="27">
                  <c:v>325936</c:v>
                </c:pt>
                <c:pt idx="28">
                  <c:v>325936</c:v>
                </c:pt>
                <c:pt idx="29">
                  <c:v>325936</c:v>
                </c:pt>
                <c:pt idx="30">
                  <c:v>325936</c:v>
                </c:pt>
                <c:pt idx="31">
                  <c:v>325936</c:v>
                </c:pt>
                <c:pt idx="32">
                  <c:v>325936</c:v>
                </c:pt>
                <c:pt idx="33">
                  <c:v>325936</c:v>
                </c:pt>
                <c:pt idx="34">
                  <c:v>325936</c:v>
                </c:pt>
                <c:pt idx="35">
                  <c:v>325936</c:v>
                </c:pt>
                <c:pt idx="36">
                  <c:v>325936</c:v>
                </c:pt>
                <c:pt idx="37">
                  <c:v>325936</c:v>
                </c:pt>
                <c:pt idx="38">
                  <c:v>325936</c:v>
                </c:pt>
                <c:pt idx="39">
                  <c:v>325936</c:v>
                </c:pt>
                <c:pt idx="40">
                  <c:v>325936</c:v>
                </c:pt>
                <c:pt idx="41">
                  <c:v>325936</c:v>
                </c:pt>
                <c:pt idx="42">
                  <c:v>325936</c:v>
                </c:pt>
                <c:pt idx="43">
                  <c:v>325936</c:v>
                </c:pt>
                <c:pt idx="44">
                  <c:v>325936</c:v>
                </c:pt>
                <c:pt idx="45">
                  <c:v>325936</c:v>
                </c:pt>
                <c:pt idx="46">
                  <c:v>325936</c:v>
                </c:pt>
                <c:pt idx="47">
                  <c:v>325936</c:v>
                </c:pt>
                <c:pt idx="48">
                  <c:v>325936</c:v>
                </c:pt>
                <c:pt idx="49">
                  <c:v>325936</c:v>
                </c:pt>
                <c:pt idx="50">
                  <c:v>325936</c:v>
                </c:pt>
                <c:pt idx="51">
                  <c:v>325936</c:v>
                </c:pt>
                <c:pt idx="52">
                  <c:v>325936</c:v>
                </c:pt>
                <c:pt idx="53">
                  <c:v>325936</c:v>
                </c:pt>
                <c:pt idx="54">
                  <c:v>325936</c:v>
                </c:pt>
                <c:pt idx="55">
                  <c:v>325936</c:v>
                </c:pt>
                <c:pt idx="56">
                  <c:v>325936</c:v>
                </c:pt>
                <c:pt idx="57">
                  <c:v>325936</c:v>
                </c:pt>
                <c:pt idx="58">
                  <c:v>325936</c:v>
                </c:pt>
                <c:pt idx="59">
                  <c:v>325936</c:v>
                </c:pt>
                <c:pt idx="60">
                  <c:v>325936</c:v>
                </c:pt>
                <c:pt idx="61">
                  <c:v>325936</c:v>
                </c:pt>
                <c:pt idx="62">
                  <c:v>325936</c:v>
                </c:pt>
                <c:pt idx="63">
                  <c:v>325936</c:v>
                </c:pt>
                <c:pt idx="64">
                  <c:v>325936</c:v>
                </c:pt>
                <c:pt idx="65">
                  <c:v>325936</c:v>
                </c:pt>
                <c:pt idx="66">
                  <c:v>325936</c:v>
                </c:pt>
                <c:pt idx="67">
                  <c:v>325936</c:v>
                </c:pt>
                <c:pt idx="68">
                  <c:v>325936</c:v>
                </c:pt>
                <c:pt idx="69">
                  <c:v>325936</c:v>
                </c:pt>
                <c:pt idx="70">
                  <c:v>325936</c:v>
                </c:pt>
                <c:pt idx="71">
                  <c:v>325936</c:v>
                </c:pt>
                <c:pt idx="72">
                  <c:v>325936</c:v>
                </c:pt>
                <c:pt idx="73">
                  <c:v>325936</c:v>
                </c:pt>
                <c:pt idx="74">
                  <c:v>325936</c:v>
                </c:pt>
                <c:pt idx="75">
                  <c:v>325936</c:v>
                </c:pt>
                <c:pt idx="76">
                  <c:v>325936</c:v>
                </c:pt>
                <c:pt idx="77">
                  <c:v>325936</c:v>
                </c:pt>
                <c:pt idx="78">
                  <c:v>325936</c:v>
                </c:pt>
                <c:pt idx="79">
                  <c:v>325936</c:v>
                </c:pt>
                <c:pt idx="80">
                  <c:v>325936</c:v>
                </c:pt>
                <c:pt idx="81">
                  <c:v>325936</c:v>
                </c:pt>
                <c:pt idx="82">
                  <c:v>325936</c:v>
                </c:pt>
                <c:pt idx="83">
                  <c:v>325936</c:v>
                </c:pt>
                <c:pt idx="84">
                  <c:v>325936</c:v>
                </c:pt>
                <c:pt idx="85">
                  <c:v>325936</c:v>
                </c:pt>
                <c:pt idx="86">
                  <c:v>325936</c:v>
                </c:pt>
                <c:pt idx="87">
                  <c:v>325936</c:v>
                </c:pt>
                <c:pt idx="88">
                  <c:v>325936</c:v>
                </c:pt>
                <c:pt idx="89">
                  <c:v>325936</c:v>
                </c:pt>
                <c:pt idx="90">
                  <c:v>325936</c:v>
                </c:pt>
                <c:pt idx="91">
                  <c:v>325936</c:v>
                </c:pt>
                <c:pt idx="92">
                  <c:v>325936</c:v>
                </c:pt>
                <c:pt idx="93">
                  <c:v>325936</c:v>
                </c:pt>
                <c:pt idx="94">
                  <c:v>325936</c:v>
                </c:pt>
                <c:pt idx="95">
                  <c:v>325936</c:v>
                </c:pt>
                <c:pt idx="96">
                  <c:v>325936</c:v>
                </c:pt>
                <c:pt idx="97">
                  <c:v>325936</c:v>
                </c:pt>
                <c:pt idx="98">
                  <c:v>325936</c:v>
                </c:pt>
                <c:pt idx="99">
                  <c:v>325936</c:v>
                </c:pt>
                <c:pt idx="100">
                  <c:v>325936</c:v>
                </c:pt>
                <c:pt idx="101">
                  <c:v>325936</c:v>
                </c:pt>
                <c:pt idx="102">
                  <c:v>325936</c:v>
                </c:pt>
                <c:pt idx="103">
                  <c:v>325936</c:v>
                </c:pt>
                <c:pt idx="104">
                  <c:v>325936</c:v>
                </c:pt>
                <c:pt idx="105">
                  <c:v>325936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B-4126-8E11-F5BF7FC74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375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Diesel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3"/>
          <c:order val="0"/>
          <c:tx>
            <c:v>Diesel Stock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Stock'!$R$5:$R$110</c:f>
              <c:numCache>
                <c:formatCode>#,##0_ ;\-#,##0\ 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1901677</c:v>
                </c:pt>
                <c:pt idx="15">
                  <c:v>1780336</c:v>
                </c:pt>
                <c:pt idx="16">
                  <c:v>1637854</c:v>
                </c:pt>
                <c:pt idx="17">
                  <c:v>1637854</c:v>
                </c:pt>
                <c:pt idx="18">
                  <c:v>1594043</c:v>
                </c:pt>
                <c:pt idx="19">
                  <c:v>1594043</c:v>
                </c:pt>
                <c:pt idx="20">
                  <c:v>1494058</c:v>
                </c:pt>
                <c:pt idx="21">
                  <c:v>1437030</c:v>
                </c:pt>
                <c:pt idx="22">
                  <c:v>1318903</c:v>
                </c:pt>
                <c:pt idx="23">
                  <c:v>1256089</c:v>
                </c:pt>
                <c:pt idx="24">
                  <c:v>1164376</c:v>
                </c:pt>
                <c:pt idx="25">
                  <c:v>1164376</c:v>
                </c:pt>
                <c:pt idx="26">
                  <c:v>1164376</c:v>
                </c:pt>
                <c:pt idx="27">
                  <c:v>998251</c:v>
                </c:pt>
                <c:pt idx="28">
                  <c:v>877834</c:v>
                </c:pt>
                <c:pt idx="29">
                  <c:v>836660</c:v>
                </c:pt>
                <c:pt idx="30">
                  <c:v>734794</c:v>
                </c:pt>
                <c:pt idx="31">
                  <c:v>533261</c:v>
                </c:pt>
                <c:pt idx="32">
                  <c:v>533261</c:v>
                </c:pt>
                <c:pt idx="33">
                  <c:v>533261</c:v>
                </c:pt>
                <c:pt idx="34">
                  <c:v>443783.85714285716</c:v>
                </c:pt>
                <c:pt idx="35">
                  <c:v>377996.71428571432</c:v>
                </c:pt>
                <c:pt idx="36">
                  <c:v>329352.42857142858</c:v>
                </c:pt>
                <c:pt idx="37">
                  <c:v>286351</c:v>
                </c:pt>
                <c:pt idx="38">
                  <c:v>257635.28571428571</c:v>
                </c:pt>
                <c:pt idx="39">
                  <c:v>257635.28571428571</c:v>
                </c:pt>
                <c:pt idx="40">
                  <c:v>257635.28571428571</c:v>
                </c:pt>
                <c:pt idx="41">
                  <c:v>257635.28571428571</c:v>
                </c:pt>
                <c:pt idx="42">
                  <c:v>2177635.2857142859</c:v>
                </c:pt>
                <c:pt idx="43">
                  <c:v>2177635.2857142859</c:v>
                </c:pt>
                <c:pt idx="44">
                  <c:v>2177635.2857142859</c:v>
                </c:pt>
                <c:pt idx="45">
                  <c:v>2177635.2857142859</c:v>
                </c:pt>
                <c:pt idx="46">
                  <c:v>2177635.2857142859</c:v>
                </c:pt>
                <c:pt idx="47">
                  <c:v>2177635.2857142859</c:v>
                </c:pt>
                <c:pt idx="48">
                  <c:v>2177635.2857142859</c:v>
                </c:pt>
                <c:pt idx="49">
                  <c:v>2177635.2857142859</c:v>
                </c:pt>
                <c:pt idx="50">
                  <c:v>2177635.2857142859</c:v>
                </c:pt>
                <c:pt idx="51">
                  <c:v>2177635.2857142859</c:v>
                </c:pt>
                <c:pt idx="52">
                  <c:v>2177635.2857142859</c:v>
                </c:pt>
                <c:pt idx="53">
                  <c:v>2177635.2857142859</c:v>
                </c:pt>
                <c:pt idx="54">
                  <c:v>2177635.2857142859</c:v>
                </c:pt>
                <c:pt idx="55">
                  <c:v>2177635.2857142859</c:v>
                </c:pt>
                <c:pt idx="56">
                  <c:v>2177635.2857142859</c:v>
                </c:pt>
                <c:pt idx="57">
                  <c:v>2177635.2857142859</c:v>
                </c:pt>
                <c:pt idx="58">
                  <c:v>2177635.2857142859</c:v>
                </c:pt>
                <c:pt idx="59">
                  <c:v>3877635.2857142859</c:v>
                </c:pt>
                <c:pt idx="60">
                  <c:v>3877635.2857142859</c:v>
                </c:pt>
                <c:pt idx="61">
                  <c:v>3877635.2857142859</c:v>
                </c:pt>
                <c:pt idx="62">
                  <c:v>3877635.2857142859</c:v>
                </c:pt>
                <c:pt idx="63">
                  <c:v>3877635.2857142859</c:v>
                </c:pt>
                <c:pt idx="64">
                  <c:v>3877635.2857142859</c:v>
                </c:pt>
                <c:pt idx="65">
                  <c:v>3877635.2857142859</c:v>
                </c:pt>
                <c:pt idx="66">
                  <c:v>3877635.2857142859</c:v>
                </c:pt>
                <c:pt idx="67">
                  <c:v>3877635.2857142859</c:v>
                </c:pt>
                <c:pt idx="68">
                  <c:v>3877635.2857142859</c:v>
                </c:pt>
                <c:pt idx="69">
                  <c:v>3877635.2857142859</c:v>
                </c:pt>
                <c:pt idx="70">
                  <c:v>3877635.2857142859</c:v>
                </c:pt>
                <c:pt idx="71">
                  <c:v>3877635.2857142859</c:v>
                </c:pt>
                <c:pt idx="72">
                  <c:v>3877635.2857142859</c:v>
                </c:pt>
                <c:pt idx="73">
                  <c:v>3877635.2857142859</c:v>
                </c:pt>
                <c:pt idx="74">
                  <c:v>3877635.2857142859</c:v>
                </c:pt>
                <c:pt idx="75">
                  <c:v>3877635.2857142859</c:v>
                </c:pt>
                <c:pt idx="76">
                  <c:v>3877635.2857142859</c:v>
                </c:pt>
                <c:pt idx="77">
                  <c:v>3877635.2857142859</c:v>
                </c:pt>
                <c:pt idx="78">
                  <c:v>3877635.2857142859</c:v>
                </c:pt>
                <c:pt idx="79">
                  <c:v>3877635.2857142859</c:v>
                </c:pt>
                <c:pt idx="80">
                  <c:v>5577635.2857142854</c:v>
                </c:pt>
                <c:pt idx="81">
                  <c:v>5577635.2857142854</c:v>
                </c:pt>
                <c:pt idx="82">
                  <c:v>5577635.2857142854</c:v>
                </c:pt>
                <c:pt idx="83">
                  <c:v>5577635.2857142854</c:v>
                </c:pt>
                <c:pt idx="84">
                  <c:v>5577635.2857142854</c:v>
                </c:pt>
                <c:pt idx="85">
                  <c:v>5577635.2857142854</c:v>
                </c:pt>
                <c:pt idx="86">
                  <c:v>5577635.2857142854</c:v>
                </c:pt>
                <c:pt idx="87">
                  <c:v>5577635.2857142854</c:v>
                </c:pt>
                <c:pt idx="88">
                  <c:v>5577635.2857142854</c:v>
                </c:pt>
                <c:pt idx="89">
                  <c:v>5577635.2857142854</c:v>
                </c:pt>
                <c:pt idx="90">
                  <c:v>5577635.2857142854</c:v>
                </c:pt>
                <c:pt idx="91">
                  <c:v>5577635.2857142854</c:v>
                </c:pt>
                <c:pt idx="92">
                  <c:v>5577635.2857142854</c:v>
                </c:pt>
                <c:pt idx="93">
                  <c:v>5577635.2857142854</c:v>
                </c:pt>
                <c:pt idx="94">
                  <c:v>5577635.2857142854</c:v>
                </c:pt>
                <c:pt idx="95">
                  <c:v>5577635.2857142854</c:v>
                </c:pt>
                <c:pt idx="96">
                  <c:v>5577635.2857142854</c:v>
                </c:pt>
                <c:pt idx="97">
                  <c:v>5577635.2857142854</c:v>
                </c:pt>
                <c:pt idx="98">
                  <c:v>5577635.2857142854</c:v>
                </c:pt>
                <c:pt idx="99">
                  <c:v>5577635.2857142854</c:v>
                </c:pt>
                <c:pt idx="100">
                  <c:v>5577635.2857142854</c:v>
                </c:pt>
                <c:pt idx="101">
                  <c:v>5577635.2857142854</c:v>
                </c:pt>
                <c:pt idx="102">
                  <c:v>5577635.2857142854</c:v>
                </c:pt>
                <c:pt idx="103">
                  <c:v>5577635.2857142854</c:v>
                </c:pt>
                <c:pt idx="104">
                  <c:v>5577635.2857142854</c:v>
                </c:pt>
                <c:pt idx="105">
                  <c:v>5577635.2857142854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CD-4AA8-B063-3AE107E6F485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Stock'!$AD$5:$AD$110</c:f>
              <c:numCache>
                <c:formatCode>#,##0_ ;\-#,##0\ </c:formatCode>
                <c:ptCount val="106"/>
                <c:pt idx="0">
                  <c:v>72571</c:v>
                </c:pt>
                <c:pt idx="1">
                  <c:v>72571</c:v>
                </c:pt>
                <c:pt idx="2">
                  <c:v>72571</c:v>
                </c:pt>
                <c:pt idx="3">
                  <c:v>72571</c:v>
                </c:pt>
                <c:pt idx="4">
                  <c:v>72571</c:v>
                </c:pt>
                <c:pt idx="5">
                  <c:v>72571</c:v>
                </c:pt>
                <c:pt idx="6">
                  <c:v>72571</c:v>
                </c:pt>
                <c:pt idx="7">
                  <c:v>72571</c:v>
                </c:pt>
                <c:pt idx="8">
                  <c:v>72571</c:v>
                </c:pt>
                <c:pt idx="9">
                  <c:v>72571</c:v>
                </c:pt>
                <c:pt idx="10">
                  <c:v>72571</c:v>
                </c:pt>
                <c:pt idx="11">
                  <c:v>72571</c:v>
                </c:pt>
                <c:pt idx="12">
                  <c:v>72571</c:v>
                </c:pt>
                <c:pt idx="13">
                  <c:v>72571</c:v>
                </c:pt>
                <c:pt idx="14">
                  <c:v>72571</c:v>
                </c:pt>
                <c:pt idx="15">
                  <c:v>72571</c:v>
                </c:pt>
                <c:pt idx="16">
                  <c:v>72571</c:v>
                </c:pt>
                <c:pt idx="17">
                  <c:v>72571</c:v>
                </c:pt>
                <c:pt idx="18">
                  <c:v>72571</c:v>
                </c:pt>
                <c:pt idx="19">
                  <c:v>72571</c:v>
                </c:pt>
                <c:pt idx="20">
                  <c:v>72571</c:v>
                </c:pt>
                <c:pt idx="21">
                  <c:v>72571</c:v>
                </c:pt>
                <c:pt idx="22">
                  <c:v>72571</c:v>
                </c:pt>
                <c:pt idx="23">
                  <c:v>72571</c:v>
                </c:pt>
                <c:pt idx="24">
                  <c:v>72571</c:v>
                </c:pt>
                <c:pt idx="25">
                  <c:v>72571</c:v>
                </c:pt>
                <c:pt idx="26">
                  <c:v>72571</c:v>
                </c:pt>
                <c:pt idx="27">
                  <c:v>72571</c:v>
                </c:pt>
                <c:pt idx="28">
                  <c:v>72571</c:v>
                </c:pt>
                <c:pt idx="29">
                  <c:v>72571</c:v>
                </c:pt>
                <c:pt idx="30">
                  <c:v>72571</c:v>
                </c:pt>
                <c:pt idx="31">
                  <c:v>72571</c:v>
                </c:pt>
                <c:pt idx="32">
                  <c:v>72571</c:v>
                </c:pt>
                <c:pt idx="33">
                  <c:v>72571</c:v>
                </c:pt>
                <c:pt idx="34">
                  <c:v>72571</c:v>
                </c:pt>
                <c:pt idx="35">
                  <c:v>72571</c:v>
                </c:pt>
                <c:pt idx="36">
                  <c:v>72571</c:v>
                </c:pt>
                <c:pt idx="37">
                  <c:v>72571</c:v>
                </c:pt>
                <c:pt idx="38">
                  <c:v>72571</c:v>
                </c:pt>
                <c:pt idx="39">
                  <c:v>72571</c:v>
                </c:pt>
                <c:pt idx="40">
                  <c:v>72571</c:v>
                </c:pt>
                <c:pt idx="41">
                  <c:v>72571</c:v>
                </c:pt>
                <c:pt idx="42">
                  <c:v>72571</c:v>
                </c:pt>
                <c:pt idx="43">
                  <c:v>72571</c:v>
                </c:pt>
                <c:pt idx="44">
                  <c:v>72571</c:v>
                </c:pt>
                <c:pt idx="45">
                  <c:v>72571</c:v>
                </c:pt>
                <c:pt idx="46">
                  <c:v>72571</c:v>
                </c:pt>
                <c:pt idx="47">
                  <c:v>72571</c:v>
                </c:pt>
                <c:pt idx="48">
                  <c:v>72571</c:v>
                </c:pt>
                <c:pt idx="49">
                  <c:v>72571</c:v>
                </c:pt>
                <c:pt idx="50">
                  <c:v>72571</c:v>
                </c:pt>
                <c:pt idx="51">
                  <c:v>72571</c:v>
                </c:pt>
                <c:pt idx="52">
                  <c:v>72571</c:v>
                </c:pt>
                <c:pt idx="53">
                  <c:v>72571</c:v>
                </c:pt>
                <c:pt idx="54">
                  <c:v>72571</c:v>
                </c:pt>
                <c:pt idx="55">
                  <c:v>72571</c:v>
                </c:pt>
                <c:pt idx="56">
                  <c:v>72571</c:v>
                </c:pt>
                <c:pt idx="57">
                  <c:v>72571</c:v>
                </c:pt>
                <c:pt idx="58">
                  <c:v>72571</c:v>
                </c:pt>
                <c:pt idx="59">
                  <c:v>72571</c:v>
                </c:pt>
                <c:pt idx="60">
                  <c:v>72571</c:v>
                </c:pt>
                <c:pt idx="61">
                  <c:v>72571</c:v>
                </c:pt>
                <c:pt idx="62">
                  <c:v>72571</c:v>
                </c:pt>
                <c:pt idx="63">
                  <c:v>72571</c:v>
                </c:pt>
                <c:pt idx="64">
                  <c:v>72571</c:v>
                </c:pt>
                <c:pt idx="65">
                  <c:v>72571</c:v>
                </c:pt>
                <c:pt idx="66">
                  <c:v>72571</c:v>
                </c:pt>
                <c:pt idx="67">
                  <c:v>72571</c:v>
                </c:pt>
                <c:pt idx="68">
                  <c:v>72571</c:v>
                </c:pt>
                <c:pt idx="69">
                  <c:v>72571</c:v>
                </c:pt>
                <c:pt idx="70">
                  <c:v>72571</c:v>
                </c:pt>
                <c:pt idx="71">
                  <c:v>72571</c:v>
                </c:pt>
                <c:pt idx="72">
                  <c:v>72571</c:v>
                </c:pt>
                <c:pt idx="73">
                  <c:v>72571</c:v>
                </c:pt>
                <c:pt idx="74">
                  <c:v>72571</c:v>
                </c:pt>
                <c:pt idx="75">
                  <c:v>72571</c:v>
                </c:pt>
                <c:pt idx="76">
                  <c:v>72571</c:v>
                </c:pt>
                <c:pt idx="77">
                  <c:v>72571</c:v>
                </c:pt>
                <c:pt idx="78">
                  <c:v>72571</c:v>
                </c:pt>
                <c:pt idx="79">
                  <c:v>72571</c:v>
                </c:pt>
                <c:pt idx="80">
                  <c:v>72571</c:v>
                </c:pt>
                <c:pt idx="81">
                  <c:v>72571</c:v>
                </c:pt>
                <c:pt idx="82">
                  <c:v>72571</c:v>
                </c:pt>
                <c:pt idx="83">
                  <c:v>72571</c:v>
                </c:pt>
                <c:pt idx="84">
                  <c:v>72571</c:v>
                </c:pt>
                <c:pt idx="85">
                  <c:v>72571</c:v>
                </c:pt>
                <c:pt idx="86">
                  <c:v>72571</c:v>
                </c:pt>
                <c:pt idx="87">
                  <c:v>72571</c:v>
                </c:pt>
                <c:pt idx="88">
                  <c:v>72571</c:v>
                </c:pt>
                <c:pt idx="89">
                  <c:v>72571</c:v>
                </c:pt>
                <c:pt idx="90">
                  <c:v>72571</c:v>
                </c:pt>
                <c:pt idx="91">
                  <c:v>72571</c:v>
                </c:pt>
                <c:pt idx="92">
                  <c:v>72571</c:v>
                </c:pt>
                <c:pt idx="93">
                  <c:v>72571</c:v>
                </c:pt>
                <c:pt idx="94">
                  <c:v>72571</c:v>
                </c:pt>
                <c:pt idx="95">
                  <c:v>72571</c:v>
                </c:pt>
                <c:pt idx="96">
                  <c:v>72571</c:v>
                </c:pt>
                <c:pt idx="97">
                  <c:v>72571</c:v>
                </c:pt>
                <c:pt idx="98">
                  <c:v>72571</c:v>
                </c:pt>
                <c:pt idx="99">
                  <c:v>72571</c:v>
                </c:pt>
                <c:pt idx="100">
                  <c:v>72571</c:v>
                </c:pt>
                <c:pt idx="101">
                  <c:v>72571</c:v>
                </c:pt>
                <c:pt idx="102">
                  <c:v>72571</c:v>
                </c:pt>
                <c:pt idx="103">
                  <c:v>72571</c:v>
                </c:pt>
                <c:pt idx="104">
                  <c:v>72571</c:v>
                </c:pt>
                <c:pt idx="105">
                  <c:v>72571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8-4014-97AC-FF1F8C3CF18D}"/>
            </c:ext>
          </c:extLst>
        </c:ser>
        <c:ser>
          <c:idx val="1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Stock'!$AE$5:$AE$110</c:f>
              <c:numCache>
                <c:formatCode>#,##0_ ;\-#,##0\ </c:formatCode>
                <c:ptCount val="106"/>
                <c:pt idx="0">
                  <c:v>1832778</c:v>
                </c:pt>
                <c:pt idx="1">
                  <c:v>1832778</c:v>
                </c:pt>
                <c:pt idx="2">
                  <c:v>1832778</c:v>
                </c:pt>
                <c:pt idx="3">
                  <c:v>1832778</c:v>
                </c:pt>
                <c:pt idx="4">
                  <c:v>1832778</c:v>
                </c:pt>
                <c:pt idx="5">
                  <c:v>1832778</c:v>
                </c:pt>
                <c:pt idx="6">
                  <c:v>1832778</c:v>
                </c:pt>
                <c:pt idx="7">
                  <c:v>1832778</c:v>
                </c:pt>
                <c:pt idx="8">
                  <c:v>1832778</c:v>
                </c:pt>
                <c:pt idx="9">
                  <c:v>1832778</c:v>
                </c:pt>
                <c:pt idx="10">
                  <c:v>1832778</c:v>
                </c:pt>
                <c:pt idx="11">
                  <c:v>1832778</c:v>
                </c:pt>
                <c:pt idx="12">
                  <c:v>1832778</c:v>
                </c:pt>
                <c:pt idx="13">
                  <c:v>1832778</c:v>
                </c:pt>
                <c:pt idx="14">
                  <c:v>1832778</c:v>
                </c:pt>
                <c:pt idx="15">
                  <c:v>1832778</c:v>
                </c:pt>
                <c:pt idx="16">
                  <c:v>1832778</c:v>
                </c:pt>
                <c:pt idx="17">
                  <c:v>1832778</c:v>
                </c:pt>
                <c:pt idx="18">
                  <c:v>1832778</c:v>
                </c:pt>
                <c:pt idx="19">
                  <c:v>1832778</c:v>
                </c:pt>
                <c:pt idx="20">
                  <c:v>1832778</c:v>
                </c:pt>
                <c:pt idx="21">
                  <c:v>1832778</c:v>
                </c:pt>
                <c:pt idx="22">
                  <c:v>1832778</c:v>
                </c:pt>
                <c:pt idx="23">
                  <c:v>1832778</c:v>
                </c:pt>
                <c:pt idx="24">
                  <c:v>1832778</c:v>
                </c:pt>
                <c:pt idx="25">
                  <c:v>1832778</c:v>
                </c:pt>
                <c:pt idx="26">
                  <c:v>1832778</c:v>
                </c:pt>
                <c:pt idx="27">
                  <c:v>1832778</c:v>
                </c:pt>
                <c:pt idx="28">
                  <c:v>1832778</c:v>
                </c:pt>
                <c:pt idx="29">
                  <c:v>1832778</c:v>
                </c:pt>
                <c:pt idx="30">
                  <c:v>1832778</c:v>
                </c:pt>
                <c:pt idx="31">
                  <c:v>1832778</c:v>
                </c:pt>
                <c:pt idx="32">
                  <c:v>1832778</c:v>
                </c:pt>
                <c:pt idx="33">
                  <c:v>1832778</c:v>
                </c:pt>
                <c:pt idx="34">
                  <c:v>1832778</c:v>
                </c:pt>
                <c:pt idx="35">
                  <c:v>1832778</c:v>
                </c:pt>
                <c:pt idx="36">
                  <c:v>1832778</c:v>
                </c:pt>
                <c:pt idx="37">
                  <c:v>1832778</c:v>
                </c:pt>
                <c:pt idx="38">
                  <c:v>1832778</c:v>
                </c:pt>
                <c:pt idx="39">
                  <c:v>1832778</c:v>
                </c:pt>
                <c:pt idx="40">
                  <c:v>1832778</c:v>
                </c:pt>
                <c:pt idx="41">
                  <c:v>1832778</c:v>
                </c:pt>
                <c:pt idx="42">
                  <c:v>1832778</c:v>
                </c:pt>
                <c:pt idx="43">
                  <c:v>1832778</c:v>
                </c:pt>
                <c:pt idx="44">
                  <c:v>1832778</c:v>
                </c:pt>
                <c:pt idx="45">
                  <c:v>1832778</c:v>
                </c:pt>
                <c:pt idx="46">
                  <c:v>1832778</c:v>
                </c:pt>
                <c:pt idx="47">
                  <c:v>1832778</c:v>
                </c:pt>
                <c:pt idx="48">
                  <c:v>1832778</c:v>
                </c:pt>
                <c:pt idx="49">
                  <c:v>1832778</c:v>
                </c:pt>
                <c:pt idx="50">
                  <c:v>1832778</c:v>
                </c:pt>
                <c:pt idx="51">
                  <c:v>1832778</c:v>
                </c:pt>
                <c:pt idx="52">
                  <c:v>1832778</c:v>
                </c:pt>
                <c:pt idx="53">
                  <c:v>1832778</c:v>
                </c:pt>
                <c:pt idx="54">
                  <c:v>1832778</c:v>
                </c:pt>
                <c:pt idx="55">
                  <c:v>1832778</c:v>
                </c:pt>
                <c:pt idx="56">
                  <c:v>1832778</c:v>
                </c:pt>
                <c:pt idx="57">
                  <c:v>1832778</c:v>
                </c:pt>
                <c:pt idx="58">
                  <c:v>1832778</c:v>
                </c:pt>
                <c:pt idx="59">
                  <c:v>1832778</c:v>
                </c:pt>
                <c:pt idx="60">
                  <c:v>1832778</c:v>
                </c:pt>
                <c:pt idx="61">
                  <c:v>1832778</c:v>
                </c:pt>
                <c:pt idx="62">
                  <c:v>1832778</c:v>
                </c:pt>
                <c:pt idx="63">
                  <c:v>1832778</c:v>
                </c:pt>
                <c:pt idx="64">
                  <c:v>1832778</c:v>
                </c:pt>
                <c:pt idx="65">
                  <c:v>1832778</c:v>
                </c:pt>
                <c:pt idx="66">
                  <c:v>1832778</c:v>
                </c:pt>
                <c:pt idx="67">
                  <c:v>1832778</c:v>
                </c:pt>
                <c:pt idx="68">
                  <c:v>1832778</c:v>
                </c:pt>
                <c:pt idx="69">
                  <c:v>1832778</c:v>
                </c:pt>
                <c:pt idx="70">
                  <c:v>1832778</c:v>
                </c:pt>
                <c:pt idx="71">
                  <c:v>1832778</c:v>
                </c:pt>
                <c:pt idx="72">
                  <c:v>1832778</c:v>
                </c:pt>
                <c:pt idx="73">
                  <c:v>1832778</c:v>
                </c:pt>
                <c:pt idx="74">
                  <c:v>1832778</c:v>
                </c:pt>
                <c:pt idx="75">
                  <c:v>1832778</c:v>
                </c:pt>
                <c:pt idx="76">
                  <c:v>1832778</c:v>
                </c:pt>
                <c:pt idx="77">
                  <c:v>1832778</c:v>
                </c:pt>
                <c:pt idx="78">
                  <c:v>1832778</c:v>
                </c:pt>
                <c:pt idx="79">
                  <c:v>1832778</c:v>
                </c:pt>
                <c:pt idx="80">
                  <c:v>1832778</c:v>
                </c:pt>
                <c:pt idx="81">
                  <c:v>1832778</c:v>
                </c:pt>
                <c:pt idx="82">
                  <c:v>1832778</c:v>
                </c:pt>
                <c:pt idx="83">
                  <c:v>1832778</c:v>
                </c:pt>
                <c:pt idx="84">
                  <c:v>1832778</c:v>
                </c:pt>
                <c:pt idx="85">
                  <c:v>1832778</c:v>
                </c:pt>
                <c:pt idx="86">
                  <c:v>1832778</c:v>
                </c:pt>
                <c:pt idx="87">
                  <c:v>1832778</c:v>
                </c:pt>
                <c:pt idx="88">
                  <c:v>1832778</c:v>
                </c:pt>
                <c:pt idx="89">
                  <c:v>1832778</c:v>
                </c:pt>
                <c:pt idx="90">
                  <c:v>1832778</c:v>
                </c:pt>
                <c:pt idx="91">
                  <c:v>1832778</c:v>
                </c:pt>
                <c:pt idx="92">
                  <c:v>1832778</c:v>
                </c:pt>
                <c:pt idx="93">
                  <c:v>1832778</c:v>
                </c:pt>
                <c:pt idx="94">
                  <c:v>1832778</c:v>
                </c:pt>
                <c:pt idx="95">
                  <c:v>1832778</c:v>
                </c:pt>
                <c:pt idx="96">
                  <c:v>1832778</c:v>
                </c:pt>
                <c:pt idx="97">
                  <c:v>1832778</c:v>
                </c:pt>
                <c:pt idx="98">
                  <c:v>1832778</c:v>
                </c:pt>
                <c:pt idx="99">
                  <c:v>1832778</c:v>
                </c:pt>
                <c:pt idx="100">
                  <c:v>1832778</c:v>
                </c:pt>
                <c:pt idx="101">
                  <c:v>1832778</c:v>
                </c:pt>
                <c:pt idx="102">
                  <c:v>1832778</c:v>
                </c:pt>
                <c:pt idx="103">
                  <c:v>1832778</c:v>
                </c:pt>
                <c:pt idx="104">
                  <c:v>1832778</c:v>
                </c:pt>
                <c:pt idx="105">
                  <c:v>1832778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8-4014-97AC-FF1F8C3C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20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590550</xdr:colOff>
      <xdr:row>4</xdr:row>
      <xdr:rowOff>76200</xdr:rowOff>
    </xdr:from>
    <xdr:to>
      <xdr:col>25</xdr:col>
      <xdr:colOff>552450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B823D-94E9-F1D2-41C2-3DC088A8F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609600</xdr:colOff>
      <xdr:row>16</xdr:row>
      <xdr:rowOff>95250</xdr:rowOff>
    </xdr:from>
    <xdr:to>
      <xdr:col>25</xdr:col>
      <xdr:colOff>571500</xdr:colOff>
      <xdr:row>28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180C18-1060-4A16-8D06-DDC3B875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FA29-26FA-4FB8-A064-C01D4A1F60B2}">
  <dimension ref="A1:AE110"/>
  <sheetViews>
    <sheetView showGridLines="0"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I10" sqref="I10"/>
    </sheetView>
  </sheetViews>
  <sheetFormatPr defaultColWidth="12.7265625" defaultRowHeight="18" customHeight="1" x14ac:dyDescent="0.35"/>
  <cols>
    <col min="1" max="1" width="24.7265625" style="4" customWidth="1"/>
    <col min="2" max="2" width="15" style="5" customWidth="1"/>
    <col min="3" max="4" width="14.26953125" style="5" customWidth="1"/>
    <col min="5" max="5" width="1.7265625" style="4" customWidth="1"/>
    <col min="6" max="6" width="3.453125" style="5" customWidth="1"/>
    <col min="7" max="7" width="11.26953125" style="5" customWidth="1"/>
    <col min="8" max="8" width="12.26953125" style="5" customWidth="1"/>
    <col min="9" max="9" width="8.7265625" style="5" customWidth="1"/>
    <col min="10" max="10" width="12.453125" style="5" customWidth="1"/>
    <col min="11" max="12" width="12.26953125" style="5" customWidth="1"/>
    <col min="13" max="13" width="9.81640625" style="6" hidden="1" customWidth="1"/>
    <col min="14" max="14" width="3.1796875" style="5" customWidth="1"/>
    <col min="15" max="15" width="9.81640625" style="5" customWidth="1"/>
    <col min="16" max="16" width="10.26953125" style="5" customWidth="1"/>
    <col min="17" max="17" width="10.1796875" style="5" customWidth="1"/>
    <col min="18" max="18" width="9.453125" style="5" customWidth="1"/>
    <col min="19" max="24" width="11.26953125" style="5" customWidth="1"/>
    <col min="25" max="27" width="12.7265625" style="5"/>
    <col min="28" max="31" width="12.7265625" style="44"/>
    <col min="32" max="16384" width="12.7265625" style="5"/>
  </cols>
  <sheetData>
    <row r="1" spans="1:31" s="2" customFormat="1" ht="24" customHeight="1" x14ac:dyDescent="0.35">
      <c r="A1" s="1" t="s">
        <v>7</v>
      </c>
      <c r="D1" s="45"/>
      <c r="E1" s="45"/>
      <c r="F1" s="45"/>
      <c r="G1" s="45"/>
      <c r="H1" s="1" t="s">
        <v>12</v>
      </c>
      <c r="M1" s="47"/>
      <c r="O1" s="1"/>
      <c r="P1" s="1" t="s">
        <v>14</v>
      </c>
      <c r="Q1" s="1"/>
      <c r="AB1" s="44"/>
      <c r="AC1" s="44"/>
      <c r="AD1" s="44"/>
      <c r="AE1" s="44"/>
    </row>
    <row r="2" spans="1:31" s="2" customFormat="1" ht="21.5" thickBot="1" x14ac:dyDescent="0.4">
      <c r="A2" s="1"/>
      <c r="E2" s="3"/>
      <c r="H2" s="63" t="s">
        <v>10</v>
      </c>
      <c r="I2" s="64"/>
      <c r="J2" s="56" t="s">
        <v>11</v>
      </c>
      <c r="K2" s="57"/>
      <c r="L2" s="57"/>
      <c r="M2" s="55"/>
      <c r="N2" s="5"/>
      <c r="O2" s="65" t="s">
        <v>10</v>
      </c>
      <c r="P2" s="58"/>
      <c r="Q2" s="58" t="s">
        <v>11</v>
      </c>
      <c r="R2" s="59"/>
      <c r="S2" s="5"/>
      <c r="T2" s="5"/>
      <c r="U2" s="5"/>
      <c r="AB2" s="44" t="s">
        <v>1</v>
      </c>
      <c r="AC2" s="44"/>
      <c r="AD2" s="44" t="s">
        <v>2</v>
      </c>
      <c r="AE2" s="44"/>
    </row>
    <row r="3" spans="1:31" s="2" customFormat="1" ht="29.5" thickBot="1" x14ac:dyDescent="0.4">
      <c r="B3" s="60" t="s">
        <v>23</v>
      </c>
      <c r="C3" s="61"/>
      <c r="D3" s="62"/>
      <c r="E3" s="3"/>
      <c r="H3" s="34" t="s">
        <v>8</v>
      </c>
      <c r="I3" s="12" t="s">
        <v>9</v>
      </c>
      <c r="J3" s="35" t="s">
        <v>8</v>
      </c>
      <c r="K3" s="35" t="s">
        <v>27</v>
      </c>
      <c r="L3" s="35" t="s">
        <v>28</v>
      </c>
      <c r="M3" s="50" t="s">
        <v>29</v>
      </c>
      <c r="N3" s="5"/>
      <c r="O3" s="28" t="s">
        <v>21</v>
      </c>
      <c r="P3" s="29" t="s">
        <v>8</v>
      </c>
      <c r="Q3" s="29" t="s">
        <v>21</v>
      </c>
      <c r="R3" s="36" t="s">
        <v>8</v>
      </c>
      <c r="S3" s="5"/>
      <c r="T3" s="5"/>
      <c r="U3" s="5"/>
      <c r="AB3" s="44" t="s">
        <v>24</v>
      </c>
      <c r="AC3" s="44" t="s">
        <v>25</v>
      </c>
      <c r="AD3" s="44" t="s">
        <v>24</v>
      </c>
      <c r="AE3" s="44" t="s">
        <v>25</v>
      </c>
    </row>
    <row r="4" spans="1:31" s="2" customFormat="1" ht="21" x14ac:dyDescent="0.35">
      <c r="E4" s="3"/>
      <c r="G4" s="48" t="s">
        <v>26</v>
      </c>
      <c r="H4" s="49">
        <v>240000</v>
      </c>
      <c r="I4" s="49">
        <v>23052</v>
      </c>
      <c r="J4" s="49">
        <v>745000</v>
      </c>
      <c r="K4" s="49">
        <v>120000</v>
      </c>
      <c r="L4" s="49">
        <v>45000</v>
      </c>
      <c r="M4" s="49">
        <f>SUM(K4:L4)</f>
        <v>165000</v>
      </c>
      <c r="AB4" s="44"/>
      <c r="AC4" s="44"/>
      <c r="AD4" s="44"/>
      <c r="AE4" s="44"/>
    </row>
    <row r="5" spans="1:31" s="2" customFormat="1" ht="21" x14ac:dyDescent="0.35">
      <c r="E5" s="3"/>
      <c r="G5" s="37">
        <v>46098</v>
      </c>
      <c r="H5" s="46"/>
      <c r="I5" s="46"/>
      <c r="J5" s="46"/>
      <c r="K5" s="46"/>
      <c r="L5" s="46"/>
      <c r="M5" s="51">
        <f>SUM(K5:L5)</f>
        <v>0</v>
      </c>
      <c r="N5" s="5"/>
      <c r="O5" s="10" t="str">
        <f t="shared" ref="O5:O36" si="0">IF(H5="",IFERROR(_xlfn.XLOOKUP(G5,$B$8:$B$12,$C$8:$C$12,""),""),"")</f>
        <v/>
      </c>
      <c r="P5" s="10" t="e" cm="1">
        <f t="array" ref="P5">IF(H5="",_xlfn.LET(
    _xlpm.vals,_xlfn._xlws.FILTER($I3:I$5,$I3:I$5&lt;&gt;"",""),
    _xlpm.avgJ,IF(COUNTA(_xlpm.vals)=0,0,AVERAGE(_xlfn.TAKE(_xlpm.vals,-MIN(7,ROWS(_xlpm.vals))))),
    _xlpm.addship,IF(O5="",0,O5),
    IF(
        AND(H3="",H5=""),
        P3-_xlpm.avgJ+_xlpm.addship,
        IF(
            H5="",
            H3-_xlpm.avgJ+_xlpm.addship,
            ""
        )
    )
),H5)</f>
        <v>#VALUE!</v>
      </c>
      <c r="Q5" s="10" t="str">
        <f t="shared" ref="Q5:Q36" si="1">IF(J5="",IFERROR(_xlfn.XLOOKUP(G5,$B$8:$B$12,$D$8:$D$12,""),""),"")</f>
        <v/>
      </c>
      <c r="R5" s="10" t="e" cm="1">
        <f t="array" ref="R5">IF(J5="",_xlfn.LET(
    _xlpm.vals,_xlfn._xlws.FILTER($M3:M$5,$M3:M$5&lt;&gt;"",""),
    _xlpm.avgJ,IF(COUNTA(_xlpm.vals)=0,0,AVERAGE(_xlfn.TAKE(_xlpm.vals,-MIN(7,ROWS(_xlpm.vals))))),
    _xlpm.addship,IF(Q5="",0,Q5),
    IF(
        AND(J3="",J5=""),
        R3-_xlpm.avgJ+_xlpm.addship,
        IF(
            J5="",
            J3-_xlpm.avgJ+_xlpm.addship,
            ""
        )
    )
),J5)</f>
        <v>#VALUE!</v>
      </c>
      <c r="S5" s="4" t="e">
        <f t="shared" ref="S5:S36" si="2">IF(AND(P5="",R5=""),"",
_xlfn.LET(
_xlpm.msgs,
_xlfn.TEXTJOIN(" | ",TRUE,
IF(P5&gt;$C$21,"Petrol over capacity",""),
IF(P5&lt;$C$22,"Petrol stock out",""),
IF(R5&gt;$D$21,"Diesel over capacity",""),
IF(R5&lt;$D$22,"Diesel stock out","")
),
IF(_xlpm.msgs="","",_xlpm.msgs)
))</f>
        <v>#VALUE!</v>
      </c>
      <c r="T5" s="5"/>
      <c r="U5" s="5"/>
      <c r="AB5" s="44">
        <f t="shared" ref="AB5:AB36" si="3">$C$22</f>
        <v>16085</v>
      </c>
      <c r="AC5" s="44">
        <f t="shared" ref="AC5:AC36" si="4">$C$21</f>
        <v>325936</v>
      </c>
      <c r="AD5" s="44">
        <f t="shared" ref="AD5:AD36" si="5">$D$22</f>
        <v>72571</v>
      </c>
      <c r="AE5" s="44">
        <f t="shared" ref="AE5:AE36" si="6">$D$21</f>
        <v>1832778</v>
      </c>
    </row>
    <row r="6" spans="1:31" ht="18" customHeight="1" x14ac:dyDescent="0.35">
      <c r="A6" s="38" t="s">
        <v>22</v>
      </c>
      <c r="B6" s="41" t="s">
        <v>15</v>
      </c>
      <c r="C6" s="42" t="s">
        <v>10</v>
      </c>
      <c r="D6" s="43" t="s">
        <v>11</v>
      </c>
      <c r="F6" s="2"/>
      <c r="G6" s="37">
        <f>G5+1</f>
        <v>46099</v>
      </c>
      <c r="H6" s="32"/>
      <c r="I6" s="32"/>
      <c r="J6" s="32"/>
      <c r="K6" s="32"/>
      <c r="L6" s="46"/>
      <c r="M6" s="51">
        <f t="shared" ref="M6:M69" si="7">SUM(K6:L6)</f>
        <v>0</v>
      </c>
      <c r="O6" s="27" t="str">
        <f t="shared" si="0"/>
        <v/>
      </c>
      <c r="P6" s="27" t="e" cm="1">
        <f t="array" ref="P6">IF(H6="",_xlfn.LET(
    _xlpm.vals,_xlfn._xlws.FILTER($I5:I$5,$I5:I$5&lt;&gt;"",""),
    _xlpm.avgJ,IF(COUNTA(_xlpm.vals)=0,0,AVERAGE(_xlfn.TAKE(_xlpm.vals,-MIN(7,ROWS(_xlpm.vals))))),
    _xlpm.addship,IF(O6="",0,O6),
    IF(
        AND(H5="",H6=""),
        P5-_xlpm.avgJ+_xlpm.addship,
        IF(
            H6="",
            H5-_xlpm.avgJ+_xlpm.addship,
            ""
        )
    )
),H6)</f>
        <v>#VALUE!</v>
      </c>
      <c r="Q6" s="27" t="str">
        <f t="shared" si="1"/>
        <v/>
      </c>
      <c r="R6" s="27" t="e" cm="1">
        <f t="array" ref="R6">IF(J6="",_xlfn.LET(
    _xlpm.vals,_xlfn._xlws.FILTER($M5:M$5,$M5:M$5&lt;&gt;"",""),
    _xlpm.avgJ,IF(COUNTA(_xlpm.vals)=0,0,AVERAGE(_xlfn.TAKE(_xlpm.vals,-MIN(7,ROWS(_xlpm.vals))))),
    _xlpm.addship,IF(Q6="",0,Q6),
    IF(
        AND(J5="",J6=""),
        R5-_xlpm.avgJ+_xlpm.addship,
        IF(
            J6="",
            J5-_xlpm.avgJ+_xlpm.addship,
            ""
        )
    )
),J6)</f>
        <v>#VALUE!</v>
      </c>
      <c r="S6" s="4" t="e">
        <f t="shared" si="2"/>
        <v>#VALUE!</v>
      </c>
      <c r="AB6" s="44">
        <f t="shared" si="3"/>
        <v>16085</v>
      </c>
      <c r="AC6" s="44">
        <f t="shared" si="4"/>
        <v>325936</v>
      </c>
      <c r="AD6" s="44">
        <f t="shared" si="5"/>
        <v>72571</v>
      </c>
      <c r="AE6" s="44">
        <f t="shared" si="6"/>
        <v>1832778</v>
      </c>
    </row>
    <row r="7" spans="1:31" ht="18" customHeight="1" x14ac:dyDescent="0.35">
      <c r="A7" s="48" t="s">
        <v>26</v>
      </c>
      <c r="B7" s="53">
        <v>46023</v>
      </c>
      <c r="C7" s="49">
        <v>150000</v>
      </c>
      <c r="D7" s="49">
        <v>700000</v>
      </c>
      <c r="F7" s="2"/>
      <c r="G7" s="37">
        <f t="shared" ref="G7:G21" si="8">G6+1</f>
        <v>46100</v>
      </c>
      <c r="H7" s="32"/>
      <c r="I7" s="32"/>
      <c r="J7" s="32"/>
      <c r="K7" s="32"/>
      <c r="L7" s="46"/>
      <c r="M7" s="51">
        <f t="shared" si="7"/>
        <v>0</v>
      </c>
      <c r="O7" s="27" t="str">
        <f t="shared" si="0"/>
        <v/>
      </c>
      <c r="P7" s="27" t="e" cm="1">
        <f t="array" ref="P7">IF(H7="",_xlfn.LET(
    _xlpm.vals,_xlfn._xlws.FILTER($I$5:I6,$I$5:I6&lt;&gt;"",""),
    _xlpm.avgJ,IF(COUNTA(_xlpm.vals)=0,0,AVERAGE(_xlfn.TAKE(_xlpm.vals,-MIN(7,ROWS(_xlpm.vals))))),
    _xlpm.addship,IF(O7="",0,O7),
    IF(
        AND(H6="",H7=""),
        P6-_xlpm.avgJ+_xlpm.addship,
        IF(
            H7="",
            H6-_xlpm.avgJ+_xlpm.addship,
            ""
        )
    )
),H7)</f>
        <v>#VALUE!</v>
      </c>
      <c r="Q7" s="27" t="str">
        <f t="shared" si="1"/>
        <v/>
      </c>
      <c r="R7" s="27" t="e" cm="1">
        <f t="array" ref="R7">IF(J7="",_xlfn.LET(
    _xlpm.vals,_xlfn._xlws.FILTER($M$5:M6,$M$5:M6&lt;&gt;"",""),
    _xlpm.avgJ,IF(COUNTA(_xlpm.vals)=0,0,AVERAGE(_xlfn.TAKE(_xlpm.vals,-MIN(7,ROWS(_xlpm.vals))))),
    _xlpm.addship,IF(Q7="",0,Q7),
    IF(
        AND(J6="",J7=""),
        R6-_xlpm.avgJ+_xlpm.addship,
        IF(
            J7="",
            J6-_xlpm.avgJ+_xlpm.addship,
            ""
        )
    )
),J7)</f>
        <v>#VALUE!</v>
      </c>
      <c r="S7" s="4" t="e">
        <f t="shared" si="2"/>
        <v>#VALUE!</v>
      </c>
      <c r="AB7" s="44">
        <f t="shared" si="3"/>
        <v>16085</v>
      </c>
      <c r="AC7" s="44">
        <f t="shared" si="4"/>
        <v>325936</v>
      </c>
      <c r="AD7" s="44">
        <f t="shared" si="5"/>
        <v>72571</v>
      </c>
      <c r="AE7" s="44">
        <f t="shared" si="6"/>
        <v>1832778</v>
      </c>
    </row>
    <row r="8" spans="1:31" ht="18" customHeight="1" x14ac:dyDescent="0.35">
      <c r="A8" s="5" t="s">
        <v>16</v>
      </c>
      <c r="B8" s="39">
        <v>46140</v>
      </c>
      <c r="C8" s="40">
        <v>540000</v>
      </c>
      <c r="D8" s="40">
        <v>1920000</v>
      </c>
      <c r="F8" s="2"/>
      <c r="G8" s="37">
        <f t="shared" si="8"/>
        <v>46101</v>
      </c>
      <c r="H8" s="32"/>
      <c r="I8" s="32"/>
      <c r="J8" s="32"/>
      <c r="K8" s="32"/>
      <c r="L8" s="46"/>
      <c r="M8" s="51">
        <f t="shared" si="7"/>
        <v>0</v>
      </c>
      <c r="O8" s="27" t="str">
        <f t="shared" si="0"/>
        <v/>
      </c>
      <c r="P8" s="27" t="e" cm="1">
        <f t="array" ref="P8">IF(H8="",_xlfn.LET(
    _xlpm.vals,_xlfn._xlws.FILTER($I$5:I7,$I$5:I7&lt;&gt;"",""),
    _xlpm.avgJ,IF(COUNTA(_xlpm.vals)=0,0,AVERAGE(_xlfn.TAKE(_xlpm.vals,-MIN(7,ROWS(_xlpm.vals))))),
    _xlpm.addship,IF(O8="",0,O8),
    IF(
        AND(H7="",H8=""),
        P7-_xlpm.avgJ+_xlpm.addship,
        IF(
            H8="",
            H7-_xlpm.avgJ+_xlpm.addship,
            ""
        )
    )
),H8)</f>
        <v>#VALUE!</v>
      </c>
      <c r="Q8" s="27" t="str">
        <f t="shared" si="1"/>
        <v/>
      </c>
      <c r="R8" s="27" t="e" cm="1">
        <f t="array" ref="R8">IF(J8="",_xlfn.LET(
    _xlpm.vals,_xlfn._xlws.FILTER($M$5:M7,$M$5:M7&lt;&gt;"",""),
    _xlpm.avgJ,IF(COUNTA(_xlpm.vals)=0,0,AVERAGE(_xlfn.TAKE(_xlpm.vals,-MIN(7,ROWS(_xlpm.vals))))),
    _xlpm.addship,IF(Q8="",0,Q8),
    IF(
        AND(J7="",J8=""),
        R7-_xlpm.avgJ+_xlpm.addship,
        IF(
            J8="",
            J7-_xlpm.avgJ+_xlpm.addship,
            ""
        )
    )
),J8)</f>
        <v>#VALUE!</v>
      </c>
      <c r="S8" s="4" t="e">
        <f t="shared" si="2"/>
        <v>#VALUE!</v>
      </c>
      <c r="AB8" s="44">
        <f t="shared" si="3"/>
        <v>16085</v>
      </c>
      <c r="AC8" s="44">
        <f t="shared" si="4"/>
        <v>325936</v>
      </c>
      <c r="AD8" s="44">
        <f t="shared" si="5"/>
        <v>72571</v>
      </c>
      <c r="AE8" s="44">
        <f t="shared" si="6"/>
        <v>1832778</v>
      </c>
    </row>
    <row r="9" spans="1:31" ht="18" customHeight="1" x14ac:dyDescent="0.35">
      <c r="A9" s="5" t="s">
        <v>17</v>
      </c>
      <c r="B9" s="30">
        <v>46157</v>
      </c>
      <c r="C9" s="31">
        <v>405000</v>
      </c>
      <c r="D9" s="31">
        <v>1700000</v>
      </c>
      <c r="F9" s="2"/>
      <c r="G9" s="37">
        <f t="shared" si="8"/>
        <v>46102</v>
      </c>
      <c r="H9" s="32"/>
      <c r="I9" s="32"/>
      <c r="J9" s="32"/>
      <c r="K9" s="32"/>
      <c r="L9" s="32"/>
      <c r="M9" s="52">
        <f t="shared" si="7"/>
        <v>0</v>
      </c>
      <c r="O9" s="27" t="str">
        <f t="shared" si="0"/>
        <v/>
      </c>
      <c r="P9" s="27" t="e" cm="1">
        <f t="array" ref="P9">IF(H9="",_xlfn.LET(
    _xlpm.vals,_xlfn._xlws.FILTER($I$5:I8,$I$5:I8&lt;&gt;"",""),
    _xlpm.avgJ,IF(COUNTA(_xlpm.vals)=0,0,AVERAGE(_xlfn.TAKE(_xlpm.vals,-MIN(7,ROWS(_xlpm.vals))))),
    _xlpm.addship,IF(O9="",0,O9),
    IF(
        AND(H8="",H9=""),
        P8-_xlpm.avgJ+_xlpm.addship,
        IF(
            H9="",
            H8-_xlpm.avgJ+_xlpm.addship,
            ""
        )
    )
),H9)</f>
        <v>#VALUE!</v>
      </c>
      <c r="Q9" s="27" t="str">
        <f t="shared" si="1"/>
        <v/>
      </c>
      <c r="R9" s="27" t="e" cm="1">
        <f t="array" ref="R9">IF(J9="",_xlfn.LET(
    _xlpm.vals,_xlfn._xlws.FILTER($M$5:M8,$M$5:M8&lt;&gt;"",""),
    _xlpm.avgJ,IF(COUNTA(_xlpm.vals)=0,0,AVERAGE(_xlfn.TAKE(_xlpm.vals,-MIN(7,ROWS(_xlpm.vals))))),
    _xlpm.addship,IF(Q9="",0,Q9),
    IF(
        AND(J8="",J9=""),
        R8-_xlpm.avgJ+_xlpm.addship,
        IF(
            J9="",
            J8-_xlpm.avgJ+_xlpm.addship,
            ""
        )
    )
),J9)</f>
        <v>#VALUE!</v>
      </c>
      <c r="S9" s="4" t="e">
        <f t="shared" si="2"/>
        <v>#VALUE!</v>
      </c>
      <c r="AB9" s="44">
        <f t="shared" si="3"/>
        <v>16085</v>
      </c>
      <c r="AC9" s="44">
        <f t="shared" si="4"/>
        <v>325936</v>
      </c>
      <c r="AD9" s="44">
        <f t="shared" si="5"/>
        <v>72571</v>
      </c>
      <c r="AE9" s="44">
        <f t="shared" si="6"/>
        <v>1832778</v>
      </c>
    </row>
    <row r="10" spans="1:31" ht="18" customHeight="1" x14ac:dyDescent="0.35">
      <c r="A10" s="5" t="s">
        <v>18</v>
      </c>
      <c r="B10" s="30">
        <v>46178</v>
      </c>
      <c r="C10" s="31">
        <v>405000</v>
      </c>
      <c r="D10" s="31">
        <v>1700000</v>
      </c>
      <c r="E10" s="5"/>
      <c r="F10" s="2"/>
      <c r="G10" s="37">
        <f t="shared" si="8"/>
        <v>46103</v>
      </c>
      <c r="H10" s="32"/>
      <c r="I10" s="32"/>
      <c r="J10" s="32"/>
      <c r="K10" s="32"/>
      <c r="L10" s="32"/>
      <c r="M10" s="52">
        <f t="shared" si="7"/>
        <v>0</v>
      </c>
      <c r="O10" s="27" t="str">
        <f t="shared" si="0"/>
        <v/>
      </c>
      <c r="P10" s="27" t="e" cm="1">
        <f t="array" ref="P10">IF(H10="",_xlfn.LET(
    _xlpm.vals,_xlfn._xlws.FILTER($I$5:I9,$I$5:I9&lt;&gt;"",""),
    _xlpm.avgJ,IF(COUNTA(_xlpm.vals)=0,0,AVERAGE(_xlfn.TAKE(_xlpm.vals,-MIN(7,ROWS(_xlpm.vals))))),
    _xlpm.addship,IF(O10="",0,O10),
    IF(
        AND(H9="",H10=""),
        P9-_xlpm.avgJ+_xlpm.addship,
        IF(
            H10="",
            H9-_xlpm.avgJ+_xlpm.addship,
            ""
        )
    )
),H10)</f>
        <v>#VALUE!</v>
      </c>
      <c r="Q10" s="27" t="str">
        <f t="shared" si="1"/>
        <v/>
      </c>
      <c r="R10" s="27" t="e" cm="1">
        <f t="array" ref="R10">IF(J10="",_xlfn.LET(
    _xlpm.vals,_xlfn._xlws.FILTER($M$5:M9,$M$5:M9&lt;&gt;"",""),
    _xlpm.avgJ,IF(COUNTA(_xlpm.vals)=0,0,AVERAGE(_xlfn.TAKE(_xlpm.vals,-MIN(7,ROWS(_xlpm.vals))))),
    _xlpm.addship,IF(Q10="",0,Q10),
    IF(
        AND(J9="",J10=""),
        R9-_xlpm.avgJ+_xlpm.addship,
        IF(
            J10="",
            J9-_xlpm.avgJ+_xlpm.addship,
            ""
        )
    )
),J10)</f>
        <v>#VALUE!</v>
      </c>
      <c r="S10" s="4" t="e">
        <f t="shared" si="2"/>
        <v>#VALUE!</v>
      </c>
      <c r="AB10" s="44">
        <f t="shared" si="3"/>
        <v>16085</v>
      </c>
      <c r="AC10" s="44">
        <f t="shared" si="4"/>
        <v>325936</v>
      </c>
      <c r="AD10" s="44">
        <f t="shared" si="5"/>
        <v>72571</v>
      </c>
      <c r="AE10" s="44">
        <f t="shared" si="6"/>
        <v>1832778</v>
      </c>
    </row>
    <row r="11" spans="1:31" ht="18" customHeight="1" x14ac:dyDescent="0.35">
      <c r="A11" s="5" t="s">
        <v>19</v>
      </c>
      <c r="B11" s="30"/>
      <c r="C11" s="31"/>
      <c r="D11" s="31"/>
      <c r="F11" s="2"/>
      <c r="G11" s="37">
        <f t="shared" si="8"/>
        <v>46104</v>
      </c>
      <c r="H11" s="32"/>
      <c r="I11" s="32"/>
      <c r="J11" s="32"/>
      <c r="K11" s="32"/>
      <c r="L11" s="32"/>
      <c r="M11" s="52">
        <f t="shared" si="7"/>
        <v>0</v>
      </c>
      <c r="O11" s="27" t="str">
        <f t="shared" si="0"/>
        <v/>
      </c>
      <c r="P11" s="27" t="e" cm="1">
        <f t="array" ref="P11">IF(H11="",_xlfn.LET(
    _xlpm.vals,_xlfn._xlws.FILTER($I$5:I10,$I$5:I10&lt;&gt;"",""),
    _xlpm.avgJ,IF(COUNTA(_xlpm.vals)=0,0,AVERAGE(_xlfn.TAKE(_xlpm.vals,-MIN(7,ROWS(_xlpm.vals))))),
    _xlpm.addship,IF(O11="",0,O11),
    IF(
        AND(H10="",H11=""),
        P10-_xlpm.avgJ+_xlpm.addship,
        IF(
            H11="",
            H10-_xlpm.avgJ+_xlpm.addship,
            ""
        )
    )
),H11)</f>
        <v>#VALUE!</v>
      </c>
      <c r="Q11" s="27" t="str">
        <f t="shared" si="1"/>
        <v/>
      </c>
      <c r="R11" s="27" t="e" cm="1">
        <f t="array" ref="R11">IF(J11="",_xlfn.LET(
    _xlpm.vals,_xlfn._xlws.FILTER($M$5:M10,$M$5:M10&lt;&gt;"",""),
    _xlpm.avgJ,IF(COUNTA(_xlpm.vals)=0,0,AVERAGE(_xlfn.TAKE(_xlpm.vals,-MIN(7,ROWS(_xlpm.vals))))),
    _xlpm.addship,IF(Q11="",0,Q11),
    IF(
        AND(J10="",J11=""),
        R10-_xlpm.avgJ+_xlpm.addship,
        IF(
            J11="",
            J10-_xlpm.avgJ+_xlpm.addship,
            ""
        )
    )
),J11)</f>
        <v>#VALUE!</v>
      </c>
      <c r="S11" s="4" t="e">
        <f t="shared" si="2"/>
        <v>#VALUE!</v>
      </c>
      <c r="AB11" s="44">
        <f t="shared" si="3"/>
        <v>16085</v>
      </c>
      <c r="AC11" s="44">
        <f t="shared" si="4"/>
        <v>325936</v>
      </c>
      <c r="AD11" s="44">
        <f t="shared" si="5"/>
        <v>72571</v>
      </c>
      <c r="AE11" s="44">
        <f t="shared" si="6"/>
        <v>1832778</v>
      </c>
    </row>
    <row r="12" spans="1:31" ht="18" customHeight="1" x14ac:dyDescent="0.35">
      <c r="A12" s="5" t="s">
        <v>20</v>
      </c>
      <c r="B12" s="30"/>
      <c r="C12" s="31"/>
      <c r="D12" s="31"/>
      <c r="F12" s="2"/>
      <c r="G12" s="37">
        <f t="shared" si="8"/>
        <v>46105</v>
      </c>
      <c r="H12" s="32"/>
      <c r="I12" s="32"/>
      <c r="J12" s="32"/>
      <c r="K12" s="32"/>
      <c r="L12" s="32"/>
      <c r="M12" s="52">
        <f t="shared" si="7"/>
        <v>0</v>
      </c>
      <c r="O12" s="27" t="str">
        <f t="shared" si="0"/>
        <v/>
      </c>
      <c r="P12" s="27" t="e" cm="1">
        <f t="array" ref="P12">IF(H12="",_xlfn.LET(
    _xlpm.vals,_xlfn._xlws.FILTER($I$5:I11,$I$5:I11&lt;&gt;"",""),
    _xlpm.avgJ,IF(COUNTA(_xlpm.vals)=0,0,AVERAGE(_xlfn.TAKE(_xlpm.vals,-MIN(7,ROWS(_xlpm.vals))))),
    _xlpm.addship,IF(O12="",0,O12),
    IF(
        AND(H11="",H12=""),
        P11-_xlpm.avgJ+_xlpm.addship,
        IF(
            H12="",
            H11-_xlpm.avgJ+_xlpm.addship,
            ""
        )
    )
),H12)</f>
        <v>#VALUE!</v>
      </c>
      <c r="Q12" s="27" t="str">
        <f t="shared" si="1"/>
        <v/>
      </c>
      <c r="R12" s="27" t="e" cm="1">
        <f t="array" ref="R12">IF(J12="",_xlfn.LET(
    _xlpm.vals,_xlfn._xlws.FILTER($M$5:M11,$M$5:M11&lt;&gt;"",""),
    _xlpm.avgJ,IF(COUNTA(_xlpm.vals)=0,0,AVERAGE(_xlfn.TAKE(_xlpm.vals,-MIN(7,ROWS(_xlpm.vals))))),
    _xlpm.addship,IF(Q12="",0,Q12),
    IF(
        AND(J11="",J12=""),
        R11-_xlpm.avgJ+_xlpm.addship,
        IF(
            J12="",
            J11-_xlpm.avgJ+_xlpm.addship,
            ""
        )
    )
),J12)</f>
        <v>#VALUE!</v>
      </c>
      <c r="S12" s="4" t="e">
        <f t="shared" si="2"/>
        <v>#VALUE!</v>
      </c>
      <c r="AB12" s="44">
        <f t="shared" si="3"/>
        <v>16085</v>
      </c>
      <c r="AC12" s="44">
        <f t="shared" si="4"/>
        <v>325936</v>
      </c>
      <c r="AD12" s="44">
        <f t="shared" si="5"/>
        <v>72571</v>
      </c>
      <c r="AE12" s="44">
        <f t="shared" si="6"/>
        <v>1832778</v>
      </c>
    </row>
    <row r="13" spans="1:31" ht="18" customHeight="1" x14ac:dyDescent="0.35">
      <c r="A13" s="5"/>
      <c r="F13" s="2"/>
      <c r="G13" s="37">
        <f t="shared" si="8"/>
        <v>46106</v>
      </c>
      <c r="H13" s="32"/>
      <c r="I13" s="32"/>
      <c r="J13" s="32"/>
      <c r="K13" s="32"/>
      <c r="L13" s="32"/>
      <c r="M13" s="52">
        <f t="shared" si="7"/>
        <v>0</v>
      </c>
      <c r="O13" s="27" t="str">
        <f t="shared" si="0"/>
        <v/>
      </c>
      <c r="P13" s="27" t="e" cm="1">
        <f t="array" ref="P13">IF(H13="",_xlfn.LET(
    _xlpm.vals,_xlfn._xlws.FILTER($I$5:I12,$I$5:I12&lt;&gt;"",""),
    _xlpm.avgJ,IF(COUNTA(_xlpm.vals)=0,0,AVERAGE(_xlfn.TAKE(_xlpm.vals,-MIN(7,ROWS(_xlpm.vals))))),
    _xlpm.addship,IF(O13="",0,O13),
    IF(
        AND(H12="",H13=""),
        P12-_xlpm.avgJ+_xlpm.addship,
        IF(
            H13="",
            H12-_xlpm.avgJ+_xlpm.addship,
            ""
        )
    )
),H13)</f>
        <v>#VALUE!</v>
      </c>
      <c r="Q13" s="27" t="str">
        <f t="shared" si="1"/>
        <v/>
      </c>
      <c r="R13" s="27" t="e" cm="1">
        <f t="array" ref="R13">IF(J13="",_xlfn.LET(
    _xlpm.vals,_xlfn._xlws.FILTER($M$5:M12,$M$5:M12&lt;&gt;"",""),
    _xlpm.avgJ,IF(COUNTA(_xlpm.vals)=0,0,AVERAGE(_xlfn.TAKE(_xlpm.vals,-MIN(7,ROWS(_xlpm.vals))))),
    _xlpm.addship,IF(Q13="",0,Q13),
    IF(
        AND(J12="",J13=""),
        R12-_xlpm.avgJ+_xlpm.addship,
        IF(
            J13="",
            J12-_xlpm.avgJ+_xlpm.addship,
            ""
        )
    )
),J13)</f>
        <v>#VALUE!</v>
      </c>
      <c r="S13" s="4" t="e">
        <f t="shared" si="2"/>
        <v>#VALUE!</v>
      </c>
      <c r="AB13" s="44">
        <f t="shared" si="3"/>
        <v>16085</v>
      </c>
      <c r="AC13" s="44">
        <f t="shared" si="4"/>
        <v>325936</v>
      </c>
      <c r="AD13" s="44">
        <f t="shared" si="5"/>
        <v>72571</v>
      </c>
      <c r="AE13" s="44">
        <f t="shared" si="6"/>
        <v>1832778</v>
      </c>
    </row>
    <row r="14" spans="1:31" ht="18" customHeight="1" x14ac:dyDescent="0.35">
      <c r="A14" s="14"/>
      <c r="B14" s="15"/>
      <c r="C14" s="16"/>
      <c r="D14" s="16"/>
      <c r="E14" s="17"/>
      <c r="F14" s="2"/>
      <c r="G14" s="37">
        <f t="shared" si="8"/>
        <v>46107</v>
      </c>
      <c r="H14" s="32"/>
      <c r="I14" s="32"/>
      <c r="J14" s="32"/>
      <c r="K14" s="32"/>
      <c r="L14" s="32"/>
      <c r="M14" s="52">
        <f t="shared" si="7"/>
        <v>0</v>
      </c>
      <c r="O14" s="27" t="str">
        <f t="shared" si="0"/>
        <v/>
      </c>
      <c r="P14" s="27" t="e" cm="1">
        <f t="array" ref="P14">IF(H14="",_xlfn.LET(
    _xlpm.vals,_xlfn._xlws.FILTER($I$5:I13,$I$5:I13&lt;&gt;"",""),
    _xlpm.avgJ,IF(COUNTA(_xlpm.vals)=0,0,AVERAGE(_xlfn.TAKE(_xlpm.vals,-MIN(7,ROWS(_xlpm.vals))))),
    _xlpm.addship,IF(O14="",0,O14),
    IF(
        AND(H13="",H14=""),
        P13-_xlpm.avgJ+_xlpm.addship,
        IF(
            H14="",
            H13-_xlpm.avgJ+_xlpm.addship,
            ""
        )
    )
),H14)</f>
        <v>#VALUE!</v>
      </c>
      <c r="Q14" s="27" t="str">
        <f t="shared" si="1"/>
        <v/>
      </c>
      <c r="R14" s="27" t="e" cm="1">
        <f t="array" ref="R14">IF(J14="",_xlfn.LET(
    _xlpm.vals,_xlfn._xlws.FILTER($M$5:M13,$M$5:M13&lt;&gt;"",""),
    _xlpm.avgJ,IF(COUNTA(_xlpm.vals)=0,0,AVERAGE(_xlfn.TAKE(_xlpm.vals,-MIN(7,ROWS(_xlpm.vals))))),
    _xlpm.addship,IF(Q14="",0,Q14),
    IF(
        AND(J13="",J14=""),
        R13-_xlpm.avgJ+_xlpm.addship,
        IF(
            J14="",
            J13-_xlpm.avgJ+_xlpm.addship,
            ""
        )
    )
),J14)</f>
        <v>#VALUE!</v>
      </c>
      <c r="S14" s="4" t="e">
        <f t="shared" si="2"/>
        <v>#VALUE!</v>
      </c>
      <c r="AB14" s="44">
        <f t="shared" si="3"/>
        <v>16085</v>
      </c>
      <c r="AC14" s="44">
        <f t="shared" si="4"/>
        <v>325936</v>
      </c>
      <c r="AD14" s="44">
        <f t="shared" si="5"/>
        <v>72571</v>
      </c>
      <c r="AE14" s="44">
        <f t="shared" si="6"/>
        <v>1832778</v>
      </c>
    </row>
    <row r="15" spans="1:31" ht="18" customHeight="1" x14ac:dyDescent="0.35">
      <c r="A15" s="18"/>
      <c r="B15" s="19"/>
      <c r="C15" s="20"/>
      <c r="D15" s="26" t="str" cm="1">
        <f t="array" ref="D15">_xlfn.LET(
    _xlpm.pDate,IFERROR(INDEX(G5:G501,MATCH(TRUE,ISNUMBER(SEARCH("Petrol stock out",S5:S501)),0)),""),
    _xlpm.dDate,IFERROR(INDEX(G5:G501,MATCH(TRUE,ISNUMBER(SEARCH("Diesel stock out",S5:S501)),0)),""),
    _xlpm.results,_xlfn.VSTACK(
        IF(_xlpm.pDate&lt;&gt;"","First petrol stock out: "&amp;TEXT(_xlpm.pDate,"d-mmm-yy")&amp;", cargo needed before this date",""),
        IF(_xlpm.dDate&lt;&gt;"","First diesel stock out: "&amp;TEXT(_xlpm.dDate,"d-mmm-yy")&amp;", cargo needed before this date","")
    ),
    _xlpm.filtered,_xlfn._xlws.FILTER(_xlpm.results,_xlpm.results&lt;&gt;""),
    IFERROR(_xlpm.filtered,"No stock outs forecast")
)</f>
        <v>No stock outs forecast</v>
      </c>
      <c r="E15" s="21"/>
      <c r="F15" s="2"/>
      <c r="G15" s="37">
        <f t="shared" si="8"/>
        <v>46108</v>
      </c>
      <c r="H15" s="32"/>
      <c r="I15" s="32"/>
      <c r="J15" s="32"/>
      <c r="K15" s="32"/>
      <c r="L15" s="32"/>
      <c r="M15" s="52">
        <f t="shared" si="7"/>
        <v>0</v>
      </c>
      <c r="O15" s="27" t="str">
        <f t="shared" si="0"/>
        <v/>
      </c>
      <c r="P15" s="27" t="e" cm="1">
        <f t="array" ref="P15">IF(H15="",_xlfn.LET(
    _xlpm.vals,_xlfn._xlws.FILTER($I$5:I14,$I$5:I14&lt;&gt;"",""),
    _xlpm.avgJ,IF(COUNTA(_xlpm.vals)=0,0,AVERAGE(_xlfn.TAKE(_xlpm.vals,-MIN(7,ROWS(_xlpm.vals))))),
    _xlpm.addship,IF(O15="",0,O15),
    IF(
        AND(H14="",H15=""),
        P14-_xlpm.avgJ+_xlpm.addship,
        IF(
            H15="",
            H14-_xlpm.avgJ+_xlpm.addship,
            ""
        )
    )
),H15)</f>
        <v>#VALUE!</v>
      </c>
      <c r="Q15" s="27" t="str">
        <f t="shared" si="1"/>
        <v/>
      </c>
      <c r="R15" s="27" t="e" cm="1">
        <f t="array" ref="R15">IF(J15="",_xlfn.LET(
    _xlpm.vals,_xlfn._xlws.FILTER($M$5:M14,$M$5:M14&lt;&gt;"",""),
    _xlpm.avgJ,IF(COUNTA(_xlpm.vals)=0,0,AVERAGE(_xlfn.TAKE(_xlpm.vals,-MIN(7,ROWS(_xlpm.vals))))),
    _xlpm.addship,IF(Q15="",0,Q15),
    IF(
        AND(J14="",J15=""),
        R14-_xlpm.avgJ+_xlpm.addship,
        IF(
            J15="",
            J14-_xlpm.avgJ+_xlpm.addship,
            ""
        )
    )
),J15)</f>
        <v>#VALUE!</v>
      </c>
      <c r="S15" s="4" t="e">
        <f t="shared" si="2"/>
        <v>#VALUE!</v>
      </c>
      <c r="AB15" s="44">
        <f t="shared" si="3"/>
        <v>16085</v>
      </c>
      <c r="AC15" s="44">
        <f t="shared" si="4"/>
        <v>325936</v>
      </c>
      <c r="AD15" s="44">
        <f t="shared" si="5"/>
        <v>72571</v>
      </c>
      <c r="AE15" s="44">
        <f t="shared" si="6"/>
        <v>1832778</v>
      </c>
    </row>
    <row r="16" spans="1:31" ht="18" customHeight="1" x14ac:dyDescent="0.35">
      <c r="A16" s="22"/>
      <c r="B16" s="20"/>
      <c r="C16" s="20"/>
      <c r="D16" s="26"/>
      <c r="E16" s="21"/>
      <c r="F16" s="2"/>
      <c r="G16" s="37">
        <f t="shared" si="8"/>
        <v>46109</v>
      </c>
      <c r="H16" s="32"/>
      <c r="I16" s="32"/>
      <c r="J16" s="32"/>
      <c r="K16" s="32"/>
      <c r="L16" s="32"/>
      <c r="M16" s="52">
        <f t="shared" si="7"/>
        <v>0</v>
      </c>
      <c r="O16" s="27" t="str">
        <f t="shared" si="0"/>
        <v/>
      </c>
      <c r="P16" s="27" t="e" cm="1">
        <f t="array" ref="P16">IF(H16="",_xlfn.LET(
    _xlpm.vals,_xlfn._xlws.FILTER($I$5:I15,$I$5:I15&lt;&gt;"",""),
    _xlpm.avgJ,IF(COUNTA(_xlpm.vals)=0,0,AVERAGE(_xlfn.TAKE(_xlpm.vals,-MIN(7,ROWS(_xlpm.vals))))),
    _xlpm.addship,IF(O16="",0,O16),
    IF(
        AND(H15="",H16=""),
        P15-_xlpm.avgJ+_xlpm.addship,
        IF(
            H16="",
            H15-_xlpm.avgJ+_xlpm.addship,
            ""
        )
    )
),H16)</f>
        <v>#VALUE!</v>
      </c>
      <c r="Q16" s="27" t="str">
        <f t="shared" si="1"/>
        <v/>
      </c>
      <c r="R16" s="27" t="e" cm="1">
        <f t="array" ref="R16">IF(J16="",_xlfn.LET(
    _xlpm.vals,_xlfn._xlws.FILTER($M$5:M15,$M$5:M15&lt;&gt;"",""),
    _xlpm.avgJ,IF(COUNTA(_xlpm.vals)=0,0,AVERAGE(_xlfn.TAKE(_xlpm.vals,-MIN(7,ROWS(_xlpm.vals))))),
    _xlpm.addship,IF(Q16="",0,Q16),
    IF(
        AND(J15="",J16=""),
        R15-_xlpm.avgJ+_xlpm.addship,
        IF(
            J16="",
            J15-_xlpm.avgJ+_xlpm.addship,
            ""
        )
    )
),J16)</f>
        <v>#VALUE!</v>
      </c>
      <c r="S16" s="4" t="e">
        <f t="shared" si="2"/>
        <v>#VALUE!</v>
      </c>
      <c r="AB16" s="44">
        <f t="shared" si="3"/>
        <v>16085</v>
      </c>
      <c r="AC16" s="44">
        <f t="shared" si="4"/>
        <v>325936</v>
      </c>
      <c r="AD16" s="44">
        <f t="shared" si="5"/>
        <v>72571</v>
      </c>
      <c r="AE16" s="44">
        <f t="shared" si="6"/>
        <v>1832778</v>
      </c>
    </row>
    <row r="17" spans="1:31" ht="18" customHeight="1" x14ac:dyDescent="0.35">
      <c r="A17" s="23"/>
      <c r="B17" s="24"/>
      <c r="C17" s="24"/>
      <c r="D17" s="24"/>
      <c r="E17" s="25"/>
      <c r="F17" s="2"/>
      <c r="G17" s="37">
        <f t="shared" si="8"/>
        <v>46110</v>
      </c>
      <c r="H17" s="32"/>
      <c r="I17" s="32"/>
      <c r="J17" s="32"/>
      <c r="K17" s="32"/>
      <c r="L17" s="32"/>
      <c r="M17" s="52">
        <f t="shared" si="7"/>
        <v>0</v>
      </c>
      <c r="O17" s="27" t="str">
        <f t="shared" si="0"/>
        <v/>
      </c>
      <c r="P17" s="27" t="e" cm="1">
        <f t="array" ref="P17">IF(H17="",_xlfn.LET(
    _xlpm.vals,_xlfn._xlws.FILTER($I$5:I16,$I$5:I16&lt;&gt;"",""),
    _xlpm.avgJ,IF(COUNTA(_xlpm.vals)=0,0,AVERAGE(_xlfn.TAKE(_xlpm.vals,-MIN(7,ROWS(_xlpm.vals))))),
    _xlpm.addship,IF(O17="",0,O17),
    IF(
        AND(H16="",H17=""),
        P16-_xlpm.avgJ+_xlpm.addship,
        IF(
            H17="",
            H16-_xlpm.avgJ+_xlpm.addship,
            ""
        )
    )
),H17)</f>
        <v>#VALUE!</v>
      </c>
      <c r="Q17" s="27" t="str">
        <f t="shared" si="1"/>
        <v/>
      </c>
      <c r="R17" s="27" t="e" cm="1">
        <f t="array" ref="R17">IF(J17="",_xlfn.LET(
    _xlpm.vals,_xlfn._xlws.FILTER($M$5:M16,$M$5:M16&lt;&gt;"",""),
    _xlpm.avgJ,IF(COUNTA(_xlpm.vals)=0,0,AVERAGE(_xlfn.TAKE(_xlpm.vals,-MIN(7,ROWS(_xlpm.vals))))),
    _xlpm.addship,IF(Q17="",0,Q17),
    IF(
        AND(J16="",J17=""),
        R16-_xlpm.avgJ+_xlpm.addship,
        IF(
            J17="",
            J16-_xlpm.avgJ+_xlpm.addship,
            ""
        )
    )
),J17)</f>
        <v>#VALUE!</v>
      </c>
      <c r="S17" s="4" t="e">
        <f t="shared" si="2"/>
        <v>#VALUE!</v>
      </c>
      <c r="AB17" s="44">
        <f t="shared" si="3"/>
        <v>16085</v>
      </c>
      <c r="AC17" s="44">
        <f t="shared" si="4"/>
        <v>325936</v>
      </c>
      <c r="AD17" s="44">
        <f t="shared" si="5"/>
        <v>72571</v>
      </c>
      <c r="AE17" s="44">
        <f t="shared" si="6"/>
        <v>1832778</v>
      </c>
    </row>
    <row r="18" spans="1:31" ht="18" customHeight="1" x14ac:dyDescent="0.35">
      <c r="F18" s="2"/>
      <c r="G18" s="37">
        <f t="shared" si="8"/>
        <v>46111</v>
      </c>
      <c r="H18" s="32"/>
      <c r="I18" s="32"/>
      <c r="J18" s="32"/>
      <c r="K18" s="32"/>
      <c r="L18" s="32"/>
      <c r="M18" s="52">
        <f t="shared" si="7"/>
        <v>0</v>
      </c>
      <c r="O18" s="27" t="str">
        <f t="shared" si="0"/>
        <v/>
      </c>
      <c r="P18" s="27" t="e" cm="1">
        <f t="array" ref="P18">IF(H18="",_xlfn.LET(
    _xlpm.vals,_xlfn._xlws.FILTER($I$5:I17,$I$5:I17&lt;&gt;"",""),
    _xlpm.avgJ,IF(COUNTA(_xlpm.vals)=0,0,AVERAGE(_xlfn.TAKE(_xlpm.vals,-MIN(7,ROWS(_xlpm.vals))))),
    _xlpm.addship,IF(O18="",0,O18),
    IF(
        AND(H17="",H18=""),
        P17-_xlpm.avgJ+_xlpm.addship,
        IF(
            H18="",
            H17-_xlpm.avgJ+_xlpm.addship,
            ""
        )
    )
),H18)</f>
        <v>#VALUE!</v>
      </c>
      <c r="Q18" s="27" t="str">
        <f t="shared" si="1"/>
        <v/>
      </c>
      <c r="R18" s="27" t="e" cm="1">
        <f t="array" ref="R18">IF(J18="",_xlfn.LET(
    _xlpm.vals,_xlfn._xlws.FILTER($M$5:M17,$M$5:M17&lt;&gt;"",""),
    _xlpm.avgJ,IF(COUNTA(_xlpm.vals)=0,0,AVERAGE(_xlfn.TAKE(_xlpm.vals,-MIN(7,ROWS(_xlpm.vals))))),
    _xlpm.addship,IF(Q18="",0,Q18),
    IF(
        AND(J17="",J18=""),
        R17-_xlpm.avgJ+_xlpm.addship,
        IF(
            J18="",
            J17-_xlpm.avgJ+_xlpm.addship,
            ""
        )
    )
),J18)</f>
        <v>#VALUE!</v>
      </c>
      <c r="S18" s="4" t="e">
        <f t="shared" si="2"/>
        <v>#VALUE!</v>
      </c>
      <c r="AB18" s="44">
        <f t="shared" si="3"/>
        <v>16085</v>
      </c>
      <c r="AC18" s="44">
        <f t="shared" si="4"/>
        <v>325936</v>
      </c>
      <c r="AD18" s="44">
        <f t="shared" si="5"/>
        <v>72571</v>
      </c>
      <c r="AE18" s="44">
        <f t="shared" si="6"/>
        <v>1832778</v>
      </c>
    </row>
    <row r="19" spans="1:31" ht="18" customHeight="1" x14ac:dyDescent="0.35">
      <c r="A19" s="38" t="s">
        <v>22</v>
      </c>
      <c r="C19" s="54" t="s">
        <v>0</v>
      </c>
      <c r="D19" s="55"/>
      <c r="F19" s="2"/>
      <c r="G19" s="37">
        <f t="shared" si="8"/>
        <v>46112</v>
      </c>
      <c r="H19" s="32">
        <v>703167</v>
      </c>
      <c r="I19" s="32">
        <v>6000</v>
      </c>
      <c r="J19" s="32">
        <v>1901677</v>
      </c>
      <c r="K19" s="32">
        <v>20000</v>
      </c>
      <c r="L19" s="32">
        <f>84910-20000</f>
        <v>64910</v>
      </c>
      <c r="M19" s="52">
        <f t="shared" si="7"/>
        <v>84910</v>
      </c>
      <c r="O19" s="27" t="str">
        <f t="shared" si="0"/>
        <v/>
      </c>
      <c r="P19" s="27" cm="1">
        <f t="array" ref="P19">IF(H19="",_xlfn.LET(
    _xlpm.vals,_xlfn._xlws.FILTER($I$5:I18,$I$5:I18&lt;&gt;"",""),
    _xlpm.avgJ,IF(COUNTA(_xlpm.vals)=0,0,AVERAGE(_xlfn.TAKE(_xlpm.vals,-MIN(7,ROWS(_xlpm.vals))))),
    _xlpm.addship,IF(O19="",0,O19),
    IF(
        AND(H18="",H19=""),
        P18-_xlpm.avgJ+_xlpm.addship,
        IF(
            H19="",
            H18-_xlpm.avgJ+_xlpm.addship,
            ""
        )
    )
),H19)</f>
        <v>703167</v>
      </c>
      <c r="Q19" s="27" t="str">
        <f t="shared" si="1"/>
        <v/>
      </c>
      <c r="R19" s="27" cm="1">
        <f t="array" ref="R19">IF(J19="",_xlfn.LET(
    _xlpm.vals,_xlfn._xlws.FILTER($M$5:M18,$M$5:M18&lt;&gt;"",""),
    _xlpm.avgJ,IF(COUNTA(_xlpm.vals)=0,0,AVERAGE(_xlfn.TAKE(_xlpm.vals,-MIN(7,ROWS(_xlpm.vals))))),
    _xlpm.addship,IF(Q19="",0,Q19),
    IF(
        AND(J18="",J19=""),
        R18-_xlpm.avgJ+_xlpm.addship,
        IF(
            J19="",
            J18-_xlpm.avgJ+_xlpm.addship,
            ""
        )
    )
),J19)</f>
        <v>1901677</v>
      </c>
      <c r="S19" s="4" t="str">
        <f t="shared" si="2"/>
        <v>Petrol over capacity | Diesel over capacity</v>
      </c>
      <c r="AB19" s="44">
        <f t="shared" si="3"/>
        <v>16085</v>
      </c>
      <c r="AC19" s="44">
        <f t="shared" si="4"/>
        <v>325936</v>
      </c>
      <c r="AD19" s="44">
        <f t="shared" si="5"/>
        <v>72571</v>
      </c>
      <c r="AE19" s="44">
        <f t="shared" si="6"/>
        <v>1832778</v>
      </c>
    </row>
    <row r="20" spans="1:31" ht="18" customHeight="1" x14ac:dyDescent="0.35">
      <c r="A20" s="11" t="s">
        <v>13</v>
      </c>
      <c r="B20" s="6"/>
      <c r="C20" s="7" t="s">
        <v>1</v>
      </c>
      <c r="D20" s="8" t="s">
        <v>2</v>
      </c>
      <c r="F20" s="2"/>
      <c r="G20" s="37">
        <f t="shared" si="8"/>
        <v>46113</v>
      </c>
      <c r="H20" s="32">
        <v>681592</v>
      </c>
      <c r="I20" s="32">
        <v>21400</v>
      </c>
      <c r="J20" s="32">
        <v>1780336</v>
      </c>
      <c r="K20" s="32">
        <v>68000</v>
      </c>
      <c r="L20" s="32">
        <f>121010-68000</f>
        <v>53010</v>
      </c>
      <c r="M20" s="52">
        <f t="shared" si="7"/>
        <v>121010</v>
      </c>
      <c r="O20" s="27" t="str">
        <f t="shared" si="0"/>
        <v/>
      </c>
      <c r="P20" s="27" cm="1">
        <f t="array" ref="P20">IF(H20="",_xlfn.LET(
    _xlpm.vals,_xlfn._xlws.FILTER($I$5:I19,$I$5:I19&lt;&gt;"",""),
    _xlpm.avgJ,IF(COUNTA(_xlpm.vals)=0,0,AVERAGE(_xlfn.TAKE(_xlpm.vals,-MIN(7,ROWS(_xlpm.vals))))),
    _xlpm.addship,IF(O20="",0,O20),
    IF(
        AND(H19="",H20=""),
        P19-_xlpm.avgJ+_xlpm.addship,
        IF(
            H20="",
            H19-_xlpm.avgJ+_xlpm.addship,
            ""
        )
    )
),H20)</f>
        <v>681592</v>
      </c>
      <c r="Q20" s="27" t="str">
        <f t="shared" si="1"/>
        <v/>
      </c>
      <c r="R20" s="27" cm="1">
        <f t="array" ref="R20">IF(J20="",_xlfn.LET(
    _xlpm.vals,_xlfn._xlws.FILTER($M$5:M19,$M$5:M19&lt;&gt;"",""),
    _xlpm.avgJ,IF(COUNTA(_xlpm.vals)=0,0,AVERAGE(_xlfn.TAKE(_xlpm.vals,-MIN(7,ROWS(_xlpm.vals))))),
    _xlpm.addship,IF(Q20="",0,Q20),
    IF(
        AND(J19="",J20=""),
        R19-_xlpm.avgJ+_xlpm.addship,
        IF(
            J20="",
            J19-_xlpm.avgJ+_xlpm.addship,
            ""
        )
    )
),J20)</f>
        <v>1780336</v>
      </c>
      <c r="S20" s="4" t="str">
        <f t="shared" si="2"/>
        <v>Petrol over capacity</v>
      </c>
      <c r="AB20" s="44">
        <f t="shared" si="3"/>
        <v>16085</v>
      </c>
      <c r="AC20" s="44">
        <f t="shared" si="4"/>
        <v>325936</v>
      </c>
      <c r="AD20" s="44">
        <f t="shared" si="5"/>
        <v>72571</v>
      </c>
      <c r="AE20" s="44">
        <f t="shared" si="6"/>
        <v>1832778</v>
      </c>
    </row>
    <row r="21" spans="1:31" ht="18" customHeight="1" x14ac:dyDescent="0.35">
      <c r="A21" s="5" t="s">
        <v>6</v>
      </c>
      <c r="B21" s="6" t="s">
        <v>3</v>
      </c>
      <c r="C21" s="13">
        <v>325936</v>
      </c>
      <c r="D21" s="13">
        <v>1832778</v>
      </c>
      <c r="F21" s="2"/>
      <c r="G21" s="37">
        <f t="shared" si="8"/>
        <v>46114</v>
      </c>
      <c r="H21" s="33">
        <v>669529</v>
      </c>
      <c r="I21" s="33">
        <v>12000</v>
      </c>
      <c r="J21" s="33">
        <v>1637854</v>
      </c>
      <c r="K21" s="33">
        <v>80000</v>
      </c>
      <c r="L21" s="33">
        <f>142000-80000</f>
        <v>62000</v>
      </c>
      <c r="M21" s="52">
        <f t="shared" si="7"/>
        <v>142000</v>
      </c>
      <c r="N21" s="11"/>
      <c r="O21" s="27" t="str">
        <f t="shared" si="0"/>
        <v/>
      </c>
      <c r="P21" s="27" cm="1">
        <f t="array" ref="P21">IF(H21="",_xlfn.LET(
    _xlpm.vals,_xlfn._xlws.FILTER($I$5:I20,$I$5:I20&lt;&gt;"",""),
    _xlpm.avgJ,IF(COUNTA(_xlpm.vals)=0,0,AVERAGE(_xlfn.TAKE(_xlpm.vals,-MIN(7,ROWS(_xlpm.vals))))),
    _xlpm.addship,IF(O21="",0,O21),
    IF(
        AND(H20="",H21=""),
        P20-_xlpm.avgJ+_xlpm.addship,
        IF(
            H21="",
            H20-_xlpm.avgJ+_xlpm.addship,
            ""
        )
    )
),H21)</f>
        <v>669529</v>
      </c>
      <c r="Q21" s="27" t="str">
        <f t="shared" si="1"/>
        <v/>
      </c>
      <c r="R21" s="27" cm="1">
        <f t="array" ref="R21">IF(J21="",_xlfn.LET(
    _xlpm.vals,_xlfn._xlws.FILTER($M$5:M20,$M$5:M20&lt;&gt;"",""),
    _xlpm.avgJ,IF(COUNTA(_xlpm.vals)=0,0,AVERAGE(_xlfn.TAKE(_xlpm.vals,-MIN(7,ROWS(_xlpm.vals))))),
    _xlpm.addship,IF(Q21="",0,Q21),
    IF(
        AND(J20="",J21=""),
        R20-_xlpm.avgJ+_xlpm.addship,
        IF(
            J21="",
            J20-_xlpm.avgJ+_xlpm.addship,
            ""
        )
    )
),J21)</f>
        <v>1637854</v>
      </c>
      <c r="S21" s="4" t="str">
        <f t="shared" si="2"/>
        <v>Petrol over capacity</v>
      </c>
      <c r="T21" s="11"/>
      <c r="U21" s="11"/>
      <c r="AB21" s="44">
        <f t="shared" si="3"/>
        <v>16085</v>
      </c>
      <c r="AC21" s="44">
        <f t="shared" si="4"/>
        <v>325936</v>
      </c>
      <c r="AD21" s="44">
        <f t="shared" si="5"/>
        <v>72571</v>
      </c>
      <c r="AE21" s="44">
        <f t="shared" si="6"/>
        <v>1832778</v>
      </c>
    </row>
    <row r="22" spans="1:31" ht="18" customHeight="1" x14ac:dyDescent="0.35">
      <c r="A22" s="5" t="s">
        <v>4</v>
      </c>
      <c r="B22" s="6" t="s">
        <v>3</v>
      </c>
      <c r="C22" s="13">
        <v>16085</v>
      </c>
      <c r="D22" s="13">
        <f>46571+26000</f>
        <v>72571</v>
      </c>
      <c r="E22" s="11"/>
      <c r="F22" s="2"/>
      <c r="G22" s="37">
        <f t="shared" ref="G22:G28" si="9">G21+1</f>
        <v>46115</v>
      </c>
      <c r="H22" s="32">
        <v>669529</v>
      </c>
      <c r="I22" s="32">
        <v>0</v>
      </c>
      <c r="J22" s="32">
        <v>1637854</v>
      </c>
      <c r="K22" s="32">
        <v>0</v>
      </c>
      <c r="L22" s="32">
        <v>0</v>
      </c>
      <c r="M22" s="52">
        <f t="shared" si="7"/>
        <v>0</v>
      </c>
      <c r="O22" s="27" t="str">
        <f t="shared" si="0"/>
        <v/>
      </c>
      <c r="P22" s="27" cm="1">
        <f t="array" ref="P22">IF(H22="",_xlfn.LET(
    _xlpm.vals,_xlfn._xlws.FILTER($I$5:I21,$I$5:I21&lt;&gt;"",""),
    _xlpm.avgJ,IF(COUNTA(_xlpm.vals)=0,0,AVERAGE(_xlfn.TAKE(_xlpm.vals,-MIN(7,ROWS(_xlpm.vals))))),
    _xlpm.addship,IF(O22="",0,O22),
    IF(
        AND(H21="",H22=""),
        P21-_xlpm.avgJ+_xlpm.addship,
        IF(
            H22="",
            H21-_xlpm.avgJ+_xlpm.addship,
            ""
        )
    )
),H22)</f>
        <v>669529</v>
      </c>
      <c r="Q22" s="27" t="str">
        <f t="shared" si="1"/>
        <v/>
      </c>
      <c r="R22" s="27" cm="1">
        <f t="array" ref="R22">IF(J22="",_xlfn.LET(
    _xlpm.vals,_xlfn._xlws.FILTER($M$5:M21,$M$5:M21&lt;&gt;"",""),
    _xlpm.avgJ,IF(COUNTA(_xlpm.vals)=0,0,AVERAGE(_xlfn.TAKE(_xlpm.vals,-MIN(7,ROWS(_xlpm.vals))))),
    _xlpm.addship,IF(Q22="",0,Q22),
    IF(
        AND(J21="",J22=""),
        R21-_xlpm.avgJ+_xlpm.addship,
        IF(
            J22="",
            J21-_xlpm.avgJ+_xlpm.addship,
            ""
        )
    )
),J22)</f>
        <v>1637854</v>
      </c>
      <c r="S22" s="4" t="str">
        <f t="shared" si="2"/>
        <v>Petrol over capacity</v>
      </c>
      <c r="AB22" s="44">
        <f t="shared" si="3"/>
        <v>16085</v>
      </c>
      <c r="AC22" s="44">
        <f t="shared" si="4"/>
        <v>325936</v>
      </c>
      <c r="AD22" s="44">
        <f t="shared" si="5"/>
        <v>72571</v>
      </c>
      <c r="AE22" s="44">
        <f t="shared" si="6"/>
        <v>1832778</v>
      </c>
    </row>
    <row r="23" spans="1:31" ht="21" x14ac:dyDescent="0.35">
      <c r="A23" s="5" t="s">
        <v>5</v>
      </c>
      <c r="B23" s="6" t="s">
        <v>3</v>
      </c>
      <c r="C23" s="10">
        <f>C21-C22</f>
        <v>309851</v>
      </c>
      <c r="D23" s="10">
        <f>D21-D22</f>
        <v>1760207</v>
      </c>
      <c r="F23" s="2"/>
      <c r="G23" s="37">
        <f t="shared" si="9"/>
        <v>46116</v>
      </c>
      <c r="H23" s="32">
        <v>651732</v>
      </c>
      <c r="I23" s="32">
        <v>18000</v>
      </c>
      <c r="J23" s="32">
        <v>1594043</v>
      </c>
      <c r="K23" s="32">
        <v>40000</v>
      </c>
      <c r="L23" s="32">
        <v>4000</v>
      </c>
      <c r="M23" s="52">
        <f t="shared" si="7"/>
        <v>44000</v>
      </c>
      <c r="O23" s="27" t="str">
        <f t="shared" si="0"/>
        <v/>
      </c>
      <c r="P23" s="27" cm="1">
        <f t="array" ref="P23">IF(H23="",_xlfn.LET(
    _xlpm.vals,_xlfn._xlws.FILTER($I$5:I22,$I$5:I22&lt;&gt;"",""),
    _xlpm.avgJ,IF(COUNTA(_xlpm.vals)=0,0,AVERAGE(_xlfn.TAKE(_xlpm.vals,-MIN(7,ROWS(_xlpm.vals))))),
    _xlpm.addship,IF(O23="",0,O23),
    IF(
        AND(H22="",H23=""),
        P22-_xlpm.avgJ+_xlpm.addship,
        IF(
            H23="",
            H22-_xlpm.avgJ+_xlpm.addship,
            ""
        )
    )
),H23)</f>
        <v>651732</v>
      </c>
      <c r="Q23" s="27" t="str">
        <f t="shared" si="1"/>
        <v/>
      </c>
      <c r="R23" s="27" cm="1">
        <f t="array" ref="R23">IF(J23="",_xlfn.LET(
    _xlpm.vals,_xlfn._xlws.FILTER($M$5:M22,$M$5:M22&lt;&gt;"",""),
    _xlpm.avgJ,IF(COUNTA(_xlpm.vals)=0,0,AVERAGE(_xlfn.TAKE(_xlpm.vals,-MIN(7,ROWS(_xlpm.vals))))),
    _xlpm.addship,IF(Q23="",0,Q23),
    IF(
        AND(J22="",J23=""),
        R22-_xlpm.avgJ+_xlpm.addship,
        IF(
            J23="",
            J22-_xlpm.avgJ+_xlpm.addship,
            ""
        )
    )
),J23)</f>
        <v>1594043</v>
      </c>
      <c r="S23" s="4" t="str">
        <f t="shared" si="2"/>
        <v>Petrol over capacity</v>
      </c>
      <c r="AB23" s="44">
        <f t="shared" si="3"/>
        <v>16085</v>
      </c>
      <c r="AC23" s="44">
        <f t="shared" si="4"/>
        <v>325936</v>
      </c>
      <c r="AD23" s="44">
        <f t="shared" si="5"/>
        <v>72571</v>
      </c>
      <c r="AE23" s="44">
        <f t="shared" si="6"/>
        <v>1832778</v>
      </c>
    </row>
    <row r="24" spans="1:31" s="11" customFormat="1" ht="18" customHeight="1" x14ac:dyDescent="0.35">
      <c r="E24" s="4"/>
      <c r="F24" s="2"/>
      <c r="G24" s="37">
        <f t="shared" si="9"/>
        <v>46117</v>
      </c>
      <c r="H24" s="33">
        <v>651732</v>
      </c>
      <c r="I24" s="33">
        <v>0</v>
      </c>
      <c r="J24" s="33">
        <v>1594043</v>
      </c>
      <c r="K24" s="33">
        <v>0</v>
      </c>
      <c r="L24" s="33">
        <v>0</v>
      </c>
      <c r="M24" s="52">
        <f t="shared" si="7"/>
        <v>0</v>
      </c>
      <c r="O24" s="27" t="str">
        <f t="shared" si="0"/>
        <v/>
      </c>
      <c r="P24" s="27" cm="1">
        <f t="array" ref="P24">IF(H24="",_xlfn.LET(
    _xlpm.vals,_xlfn._xlws.FILTER($I$5:I23,$I$5:I23&lt;&gt;"",""),
    _xlpm.avgJ,IF(COUNTA(_xlpm.vals)=0,0,AVERAGE(_xlfn.TAKE(_xlpm.vals,-MIN(7,ROWS(_xlpm.vals))))),
    _xlpm.addship,IF(O24="",0,O24),
    IF(
        AND(H23="",H24=""),
        P23-_xlpm.avgJ+_xlpm.addship,
        IF(
            H24="",
            H23-_xlpm.avgJ+_xlpm.addship,
            ""
        )
    )
),H24)</f>
        <v>651732</v>
      </c>
      <c r="Q24" s="27" t="str">
        <f t="shared" si="1"/>
        <v/>
      </c>
      <c r="R24" s="27" cm="1">
        <f t="array" ref="R24">IF(J24="",_xlfn.LET(
    _xlpm.vals,_xlfn._xlws.FILTER($M$5:M23,$M$5:M23&lt;&gt;"",""),
    _xlpm.avgJ,IF(COUNTA(_xlpm.vals)=0,0,AVERAGE(_xlfn.TAKE(_xlpm.vals,-MIN(7,ROWS(_xlpm.vals))))),
    _xlpm.addship,IF(Q24="",0,Q24),
    IF(
        AND(J23="",J24=""),
        R23-_xlpm.avgJ+_xlpm.addship,
        IF(
            J24="",
            J23-_xlpm.avgJ+_xlpm.addship,
            ""
        )
    )
),J24)</f>
        <v>1594043</v>
      </c>
      <c r="S24" s="4" t="str">
        <f t="shared" si="2"/>
        <v>Petrol over capacity</v>
      </c>
      <c r="T24" s="5"/>
      <c r="U24" s="5"/>
      <c r="AB24" s="44">
        <f t="shared" si="3"/>
        <v>16085</v>
      </c>
      <c r="AC24" s="44">
        <f t="shared" si="4"/>
        <v>325936</v>
      </c>
      <c r="AD24" s="44">
        <f t="shared" si="5"/>
        <v>72571</v>
      </c>
      <c r="AE24" s="44">
        <f t="shared" si="6"/>
        <v>1832778</v>
      </c>
    </row>
    <row r="25" spans="1:31" ht="21" x14ac:dyDescent="0.35">
      <c r="E25" s="5"/>
      <c r="F25" s="2"/>
      <c r="G25" s="37">
        <f t="shared" si="9"/>
        <v>46118</v>
      </c>
      <c r="H25" s="32">
        <v>651732</v>
      </c>
      <c r="I25" s="32">
        <v>0</v>
      </c>
      <c r="J25" s="32">
        <v>1494058</v>
      </c>
      <c r="K25" s="32">
        <v>100010</v>
      </c>
      <c r="L25" s="32">
        <v>0</v>
      </c>
      <c r="M25" s="52">
        <f t="shared" si="7"/>
        <v>100010</v>
      </c>
      <c r="O25" s="27" t="str">
        <f t="shared" si="0"/>
        <v/>
      </c>
      <c r="P25" s="27" cm="1">
        <f t="array" ref="P25">IF(H25="",_xlfn.LET(
    _xlpm.vals,_xlfn._xlws.FILTER($I$5:I24,$I$5:I24&lt;&gt;"",""),
    _xlpm.avgJ,IF(COUNTA(_xlpm.vals)=0,0,AVERAGE(_xlfn.TAKE(_xlpm.vals,-MIN(7,ROWS(_xlpm.vals))))),
    _xlpm.addship,IF(O25="",0,O25),
    IF(
        AND(H24="",H25=""),
        P24-_xlpm.avgJ+_xlpm.addship,
        IF(
            H25="",
            H24-_xlpm.avgJ+_xlpm.addship,
            ""
        )
    )
),H25)</f>
        <v>651732</v>
      </c>
      <c r="Q25" s="27" t="str">
        <f t="shared" si="1"/>
        <v/>
      </c>
      <c r="R25" s="27" cm="1">
        <f t="array" ref="R25">IF(J25="",_xlfn.LET(
    _xlpm.vals,_xlfn._xlws.FILTER($M$5:M24,$M$5:M24&lt;&gt;"",""),
    _xlpm.avgJ,IF(COUNTA(_xlpm.vals)=0,0,AVERAGE(_xlfn.TAKE(_xlpm.vals,-MIN(7,ROWS(_xlpm.vals))))),
    _xlpm.addship,IF(Q25="",0,Q25),
    IF(
        AND(J24="",J25=""),
        R24-_xlpm.avgJ+_xlpm.addship,
        IF(
            J25="",
            J24-_xlpm.avgJ+_xlpm.addship,
            ""
        )
    )
),J25)</f>
        <v>1494058</v>
      </c>
      <c r="S25" s="4" t="str">
        <f t="shared" si="2"/>
        <v>Petrol over capacity</v>
      </c>
      <c r="AB25" s="44">
        <f t="shared" si="3"/>
        <v>16085</v>
      </c>
      <c r="AC25" s="44">
        <f t="shared" si="4"/>
        <v>325936</v>
      </c>
      <c r="AD25" s="44">
        <f t="shared" si="5"/>
        <v>72571</v>
      </c>
      <c r="AE25" s="44">
        <f t="shared" si="6"/>
        <v>1832778</v>
      </c>
    </row>
    <row r="26" spans="1:31" ht="18" customHeight="1" x14ac:dyDescent="0.35">
      <c r="A26" s="5"/>
      <c r="E26" s="5"/>
      <c r="F26" s="2"/>
      <c r="G26" s="37">
        <f t="shared" si="9"/>
        <v>46119</v>
      </c>
      <c r="H26" s="32">
        <v>617312</v>
      </c>
      <c r="I26" s="32">
        <v>31000</v>
      </c>
      <c r="J26" s="32">
        <v>1437030</v>
      </c>
      <c r="K26" s="32">
        <v>40000</v>
      </c>
      <c r="L26" s="32">
        <v>16500</v>
      </c>
      <c r="M26" s="52">
        <f t="shared" si="7"/>
        <v>56500</v>
      </c>
      <c r="O26" s="27" t="str">
        <f t="shared" si="0"/>
        <v/>
      </c>
      <c r="P26" s="27" cm="1">
        <f t="array" ref="P26">IF(H26="",_xlfn.LET(
    _xlpm.vals,_xlfn._xlws.FILTER($I$5:I25,$I$5:I25&lt;&gt;"",""),
    _xlpm.avgJ,IF(COUNTA(_xlpm.vals)=0,0,AVERAGE(_xlfn.TAKE(_xlpm.vals,-MIN(7,ROWS(_xlpm.vals))))),
    _xlpm.addship,IF(O26="",0,O26),
    IF(
        AND(H25="",H26=""),
        P25-_xlpm.avgJ+_xlpm.addship,
        IF(
            H26="",
            H25-_xlpm.avgJ+_xlpm.addship,
            ""
        )
    )
),H26)</f>
        <v>617312</v>
      </c>
      <c r="Q26" s="27" t="str">
        <f t="shared" si="1"/>
        <v/>
      </c>
      <c r="R26" s="27" cm="1">
        <f t="array" ref="R26">IF(J26="",_xlfn.LET(
    _xlpm.vals,_xlfn._xlws.FILTER($M$5:M25,$M$5:M25&lt;&gt;"",""),
    _xlpm.avgJ,IF(COUNTA(_xlpm.vals)=0,0,AVERAGE(_xlfn.TAKE(_xlpm.vals,-MIN(7,ROWS(_xlpm.vals))))),
    _xlpm.addship,IF(Q26="",0,Q26),
    IF(
        AND(J25="",J26=""),
        R25-_xlpm.avgJ+_xlpm.addship,
        IF(
            J26="",
            J25-_xlpm.avgJ+_xlpm.addship,
            ""
        )
    )
),J26)</f>
        <v>1437030</v>
      </c>
      <c r="S26" s="4" t="str">
        <f t="shared" si="2"/>
        <v>Petrol over capacity</v>
      </c>
      <c r="AB26" s="44">
        <f t="shared" si="3"/>
        <v>16085</v>
      </c>
      <c r="AC26" s="44">
        <f t="shared" si="4"/>
        <v>325936</v>
      </c>
      <c r="AD26" s="44">
        <f t="shared" si="5"/>
        <v>72571</v>
      </c>
      <c r="AE26" s="44">
        <f t="shared" si="6"/>
        <v>1832778</v>
      </c>
    </row>
    <row r="27" spans="1:31" ht="18" customHeight="1" x14ac:dyDescent="0.35">
      <c r="A27" s="5"/>
      <c r="E27" s="5"/>
      <c r="F27" s="2"/>
      <c r="G27" s="37">
        <f t="shared" si="9"/>
        <v>46120</v>
      </c>
      <c r="H27" s="33">
        <v>617312</v>
      </c>
      <c r="I27" s="33">
        <v>0</v>
      </c>
      <c r="J27" s="33">
        <v>1318903</v>
      </c>
      <c r="K27" s="33">
        <v>120000</v>
      </c>
      <c r="L27" s="33">
        <v>0</v>
      </c>
      <c r="M27" s="52">
        <f t="shared" si="7"/>
        <v>120000</v>
      </c>
      <c r="N27" s="11"/>
      <c r="O27" s="27" t="str">
        <f t="shared" si="0"/>
        <v/>
      </c>
      <c r="P27" s="27" cm="1">
        <f t="array" ref="P27">IF(H27="",_xlfn.LET(
    _xlpm.vals,_xlfn._xlws.FILTER($I$5:I26,$I$5:I26&lt;&gt;"",""),
    _xlpm.avgJ,IF(COUNTA(_xlpm.vals)=0,0,AVERAGE(_xlfn.TAKE(_xlpm.vals,-MIN(7,ROWS(_xlpm.vals))))),
    _xlpm.addship,IF(O27="",0,O27),
    IF(
        AND(H26="",H27=""),
        P26-_xlpm.avgJ+_xlpm.addship,
        IF(
            H27="",
            H26-_xlpm.avgJ+_xlpm.addship,
            ""
        )
    )
),H27)</f>
        <v>617312</v>
      </c>
      <c r="Q27" s="27" t="str">
        <f t="shared" si="1"/>
        <v/>
      </c>
      <c r="R27" s="27" cm="1">
        <f t="array" ref="R27">IF(J27="",_xlfn.LET(
    _xlpm.vals,_xlfn._xlws.FILTER($M$5:M26,$M$5:M26&lt;&gt;"",""),
    _xlpm.avgJ,IF(COUNTA(_xlpm.vals)=0,0,AVERAGE(_xlfn.TAKE(_xlpm.vals,-MIN(7,ROWS(_xlpm.vals))))),
    _xlpm.addship,IF(Q27="",0,Q27),
    IF(
        AND(J26="",J27=""),
        R26-_xlpm.avgJ+_xlpm.addship,
        IF(
            J27="",
            J26-_xlpm.avgJ+_xlpm.addship,
            ""
        )
    )
),J27)</f>
        <v>1318903</v>
      </c>
      <c r="S27" s="4" t="str">
        <f t="shared" si="2"/>
        <v>Petrol over capacity</v>
      </c>
      <c r="AB27" s="44">
        <f t="shared" si="3"/>
        <v>16085</v>
      </c>
      <c r="AC27" s="44">
        <f t="shared" si="4"/>
        <v>325936</v>
      </c>
      <c r="AD27" s="44">
        <f t="shared" si="5"/>
        <v>72571</v>
      </c>
      <c r="AE27" s="44">
        <f t="shared" si="6"/>
        <v>1832778</v>
      </c>
    </row>
    <row r="28" spans="1:31" ht="18" customHeight="1" x14ac:dyDescent="0.35">
      <c r="F28" s="2"/>
      <c r="G28" s="37">
        <f t="shared" si="9"/>
        <v>46121</v>
      </c>
      <c r="H28" s="32">
        <v>603447</v>
      </c>
      <c r="I28" s="32">
        <v>10000</v>
      </c>
      <c r="J28" s="32">
        <v>1256089</v>
      </c>
      <c r="K28" s="32">
        <v>60000</v>
      </c>
      <c r="L28" s="32">
        <v>3000</v>
      </c>
      <c r="M28" s="52">
        <f t="shared" si="7"/>
        <v>63000</v>
      </c>
      <c r="O28" s="27" t="str">
        <f t="shared" si="0"/>
        <v/>
      </c>
      <c r="P28" s="27" cm="1">
        <f t="array" ref="P28">IF(H28="",_xlfn.LET(
    _xlpm.vals,_xlfn._xlws.FILTER($I$5:I27,$I$5:I27&lt;&gt;"",""),
    _xlpm.avgJ,IF(COUNTA(_xlpm.vals)=0,0,AVERAGE(_xlfn.TAKE(_xlpm.vals,-MIN(7,ROWS(_xlpm.vals))))),
    _xlpm.addship,IF(O28="",0,O28),
    IF(
        AND(H27="",H28=""),
        P27-_xlpm.avgJ+_xlpm.addship,
        IF(
            H28="",
            H27-_xlpm.avgJ+_xlpm.addship,
            ""
        )
    )
),H28)</f>
        <v>603447</v>
      </c>
      <c r="Q28" s="27" t="str">
        <f t="shared" si="1"/>
        <v/>
      </c>
      <c r="R28" s="27" cm="1">
        <f t="array" ref="R28">IF(J28="",_xlfn.LET(
    _xlpm.vals,_xlfn._xlws.FILTER($M$5:M27,$M$5:M27&lt;&gt;"",""),
    _xlpm.avgJ,IF(COUNTA(_xlpm.vals)=0,0,AVERAGE(_xlfn.TAKE(_xlpm.vals,-MIN(7,ROWS(_xlpm.vals))))),
    _xlpm.addship,IF(Q28="",0,Q28),
    IF(
        AND(J27="",J28=""),
        R27-_xlpm.avgJ+_xlpm.addship,
        IF(
            J28="",
            J27-_xlpm.avgJ+_xlpm.addship,
            ""
        )
    )
),J28)</f>
        <v>1256089</v>
      </c>
      <c r="S28" s="4" t="str">
        <f t="shared" si="2"/>
        <v>Petrol over capacity</v>
      </c>
      <c r="AB28" s="44">
        <f t="shared" si="3"/>
        <v>16085</v>
      </c>
      <c r="AC28" s="44">
        <f t="shared" si="4"/>
        <v>325936</v>
      </c>
      <c r="AD28" s="44">
        <f t="shared" si="5"/>
        <v>72571</v>
      </c>
      <c r="AE28" s="44">
        <f t="shared" si="6"/>
        <v>1832778</v>
      </c>
    </row>
    <row r="29" spans="1:31" ht="18" customHeight="1" x14ac:dyDescent="0.35">
      <c r="F29" s="2"/>
      <c r="G29" s="37">
        <f t="shared" ref="G29:G92" si="10">G28+1</f>
        <v>46122</v>
      </c>
      <c r="H29" s="32">
        <v>563813</v>
      </c>
      <c r="I29" s="32">
        <v>43000</v>
      </c>
      <c r="J29" s="32">
        <v>1164376</v>
      </c>
      <c r="K29" s="32">
        <v>100000</v>
      </c>
      <c r="L29" s="32">
        <v>0</v>
      </c>
      <c r="M29" s="52">
        <f t="shared" si="7"/>
        <v>100000</v>
      </c>
      <c r="O29" s="27" t="str">
        <f t="shared" si="0"/>
        <v/>
      </c>
      <c r="P29" s="27" cm="1">
        <f t="array" ref="P29">IF(H29="",_xlfn.LET(
    _xlpm.vals,_xlfn._xlws.FILTER($I$5:I28,$I$5:I28&lt;&gt;"",""),
    _xlpm.avgJ,IF(COUNTA(_xlpm.vals)=0,0,AVERAGE(_xlfn.TAKE(_xlpm.vals,-MIN(7,ROWS(_xlpm.vals))))),
    _xlpm.addship,IF(O29="",0,O29),
    IF(
        AND(H28="",H29=""),
        P28-_xlpm.avgJ+_xlpm.addship,
        IF(
            H29="",
            H28-_xlpm.avgJ+_xlpm.addship,
            ""
        )
    )
),H29)</f>
        <v>563813</v>
      </c>
      <c r="Q29" s="27" t="str">
        <f t="shared" si="1"/>
        <v/>
      </c>
      <c r="R29" s="27" cm="1">
        <f t="array" ref="R29">IF(J29="",_xlfn.LET(
    _xlpm.vals,_xlfn._xlws.FILTER($M$5:M28,$M$5:M28&lt;&gt;"",""),
    _xlpm.avgJ,IF(COUNTA(_xlpm.vals)=0,0,AVERAGE(_xlfn.TAKE(_xlpm.vals,-MIN(7,ROWS(_xlpm.vals))))),
    _xlpm.addship,IF(Q29="",0,Q29),
    IF(
        AND(J28="",J29=""),
        R28-_xlpm.avgJ+_xlpm.addship,
        IF(
            J29="",
            J28-_xlpm.avgJ+_xlpm.addship,
            ""
        )
    )
),J29)</f>
        <v>1164376</v>
      </c>
      <c r="S29" s="4" t="str">
        <f t="shared" si="2"/>
        <v>Petrol over capacity</v>
      </c>
      <c r="AB29" s="44">
        <f t="shared" si="3"/>
        <v>16085</v>
      </c>
      <c r="AC29" s="44">
        <f t="shared" si="4"/>
        <v>325936</v>
      </c>
      <c r="AD29" s="44">
        <f t="shared" si="5"/>
        <v>72571</v>
      </c>
      <c r="AE29" s="44">
        <f t="shared" si="6"/>
        <v>1832778</v>
      </c>
    </row>
    <row r="30" spans="1:31" ht="18" customHeight="1" x14ac:dyDescent="0.35">
      <c r="F30" s="4"/>
      <c r="G30" s="37">
        <f t="shared" si="10"/>
        <v>46123</v>
      </c>
      <c r="H30" s="32">
        <v>563284</v>
      </c>
      <c r="I30" s="32">
        <v>0</v>
      </c>
      <c r="J30" s="32">
        <v>1164376</v>
      </c>
      <c r="K30" s="32">
        <v>0</v>
      </c>
      <c r="L30" s="32">
        <v>0</v>
      </c>
      <c r="M30" s="52">
        <f t="shared" si="7"/>
        <v>0</v>
      </c>
      <c r="O30" s="27" t="str">
        <f t="shared" si="0"/>
        <v/>
      </c>
      <c r="P30" s="27" cm="1">
        <f t="array" ref="P30">IF(H30="",_xlfn.LET(
    _xlpm.vals,_xlfn._xlws.FILTER($I$5:I29,$I$5:I29&lt;&gt;"",""),
    _xlpm.avgJ,IF(COUNTA(_xlpm.vals)=0,0,AVERAGE(_xlfn.TAKE(_xlpm.vals,-MIN(7,ROWS(_xlpm.vals))))),
    _xlpm.addship,IF(O30="",0,O30),
    IF(
        AND(H29="",H30=""),
        P29-_xlpm.avgJ+_xlpm.addship,
        IF(
            H30="",
            H29-_xlpm.avgJ+_xlpm.addship,
            ""
        )
    )
),H30)</f>
        <v>563284</v>
      </c>
      <c r="Q30" s="27" t="str">
        <f t="shared" si="1"/>
        <v/>
      </c>
      <c r="R30" s="27" cm="1">
        <f t="array" ref="R30">IF(J30="",_xlfn.LET(
    _xlpm.vals,_xlfn._xlws.FILTER($M$5:M29,$M$5:M29&lt;&gt;"",""),
    _xlpm.avgJ,IF(COUNTA(_xlpm.vals)=0,0,AVERAGE(_xlfn.TAKE(_xlpm.vals,-MIN(7,ROWS(_xlpm.vals))))),
    _xlpm.addship,IF(Q30="",0,Q30),
    IF(
        AND(J29="",J30=""),
        R29-_xlpm.avgJ+_xlpm.addship,
        IF(
            J30="",
            J29-_xlpm.avgJ+_xlpm.addship,
            ""
        )
    )
),J30)</f>
        <v>1164376</v>
      </c>
      <c r="S30" s="4" t="str">
        <f t="shared" si="2"/>
        <v>Petrol over capacity</v>
      </c>
      <c r="AB30" s="44">
        <f t="shared" si="3"/>
        <v>16085</v>
      </c>
      <c r="AC30" s="44">
        <f t="shared" si="4"/>
        <v>325936</v>
      </c>
      <c r="AD30" s="44">
        <f t="shared" si="5"/>
        <v>72571</v>
      </c>
      <c r="AE30" s="44">
        <f t="shared" si="6"/>
        <v>1832778</v>
      </c>
    </row>
    <row r="31" spans="1:31" ht="14.5" x14ac:dyDescent="0.35">
      <c r="G31" s="37">
        <f t="shared" si="10"/>
        <v>46124</v>
      </c>
      <c r="H31" s="32">
        <v>563284</v>
      </c>
      <c r="I31" s="32">
        <v>0</v>
      </c>
      <c r="J31" s="32">
        <v>1164376</v>
      </c>
      <c r="K31" s="32">
        <v>0</v>
      </c>
      <c r="L31" s="32">
        <v>0</v>
      </c>
      <c r="M31" s="52">
        <f t="shared" si="7"/>
        <v>0</v>
      </c>
      <c r="O31" s="27" t="str">
        <f t="shared" si="0"/>
        <v/>
      </c>
      <c r="P31" s="27" cm="1">
        <f t="array" ref="P31">IF(H31="",_xlfn.LET(
    _xlpm.vals,_xlfn._xlws.FILTER($I$5:I30,$I$5:I30&lt;&gt;"",""),
    _xlpm.avgJ,IF(COUNTA(_xlpm.vals)=0,0,AVERAGE(_xlfn.TAKE(_xlpm.vals,-MIN(7,ROWS(_xlpm.vals))))),
    _xlpm.addship,IF(O31="",0,O31),
    IF(
        AND(H30="",H31=""),
        P30-_xlpm.avgJ+_xlpm.addship,
        IF(
            H31="",
            H30-_xlpm.avgJ+_xlpm.addship,
            ""
        )
    )
),H31)</f>
        <v>563284</v>
      </c>
      <c r="Q31" s="27" t="str">
        <f t="shared" si="1"/>
        <v/>
      </c>
      <c r="R31" s="27" cm="1">
        <f t="array" ref="R31">IF(J31="",_xlfn.LET(
    _xlpm.vals,_xlfn._xlws.FILTER($M$5:M30,$M$5:M30&lt;&gt;"",""),
    _xlpm.avgJ,IF(COUNTA(_xlpm.vals)=0,0,AVERAGE(_xlfn.TAKE(_xlpm.vals,-MIN(7,ROWS(_xlpm.vals))))),
    _xlpm.addship,IF(Q31="",0,Q31),
    IF(
        AND(J30="",J31=""),
        R30-_xlpm.avgJ+_xlpm.addship,
        IF(
            J31="",
            J30-_xlpm.avgJ+_xlpm.addship,
            ""
        )
    )
),J31)</f>
        <v>1164376</v>
      </c>
      <c r="S31" s="4" t="str">
        <f t="shared" si="2"/>
        <v>Petrol over capacity</v>
      </c>
      <c r="AB31" s="44">
        <f t="shared" si="3"/>
        <v>16085</v>
      </c>
      <c r="AC31" s="44">
        <f t="shared" si="4"/>
        <v>325936</v>
      </c>
      <c r="AD31" s="44">
        <f t="shared" si="5"/>
        <v>72571</v>
      </c>
      <c r="AE31" s="44">
        <f t="shared" si="6"/>
        <v>1832778</v>
      </c>
    </row>
    <row r="32" spans="1:31" ht="18" customHeight="1" x14ac:dyDescent="0.35">
      <c r="G32" s="37">
        <f t="shared" si="10"/>
        <v>46125</v>
      </c>
      <c r="H32" s="32">
        <v>524021</v>
      </c>
      <c r="I32" s="32">
        <v>38810</v>
      </c>
      <c r="J32" s="32">
        <v>998251</v>
      </c>
      <c r="K32" s="32">
        <v>165830</v>
      </c>
      <c r="L32" s="32">
        <v>0</v>
      </c>
      <c r="M32" s="52">
        <f>SUM(K32:L32)</f>
        <v>165830</v>
      </c>
      <c r="O32" s="27" t="str">
        <f t="shared" si="0"/>
        <v/>
      </c>
      <c r="P32" s="27" cm="1">
        <f t="array" ref="P32">IF(H32="",_xlfn.LET(
    _xlpm.vals,_xlfn._xlws.FILTER($I$5:I31,$I$5:I31&lt;&gt;"",""),
    _xlpm.avgJ,IF(COUNTA(_xlpm.vals)=0,0,AVERAGE(_xlfn.TAKE(_xlpm.vals,-MIN(7,ROWS(_xlpm.vals))))),
    _xlpm.addship,IF(O32="",0,O32),
    IF(
        AND(H31="",H32=""),
        P31-_xlpm.avgJ+_xlpm.addship,
        IF(
            H32="",
            H31-_xlpm.avgJ+_xlpm.addship,
            ""
        )
    )
),H32)</f>
        <v>524021</v>
      </c>
      <c r="Q32" s="27" t="str">
        <f t="shared" si="1"/>
        <v/>
      </c>
      <c r="R32" s="27" cm="1">
        <f t="array" ref="R32">IF(J32="",_xlfn.LET(
    _xlpm.vals,_xlfn._xlws.FILTER($M$5:M31,$M$5:M31&lt;&gt;"",""),
    _xlpm.avgJ,IF(COUNTA(_xlpm.vals)=0,0,AVERAGE(_xlfn.TAKE(_xlpm.vals,-MIN(7,ROWS(_xlpm.vals))))),
    _xlpm.addship,IF(Q32="",0,Q32),
    IF(
        AND(J31="",J32=""),
        R31-_xlpm.avgJ+_xlpm.addship,
        IF(
            J32="",
            J31-_xlpm.avgJ+_xlpm.addship,
            ""
        )
    )
),J32)</f>
        <v>998251</v>
      </c>
      <c r="S32" s="4" t="str">
        <f t="shared" si="2"/>
        <v>Petrol over capacity</v>
      </c>
      <c r="AB32" s="44">
        <f t="shared" si="3"/>
        <v>16085</v>
      </c>
      <c r="AC32" s="44">
        <f t="shared" si="4"/>
        <v>325936</v>
      </c>
      <c r="AD32" s="44">
        <f t="shared" si="5"/>
        <v>72571</v>
      </c>
      <c r="AE32" s="44">
        <f t="shared" si="6"/>
        <v>1832778</v>
      </c>
    </row>
    <row r="33" spans="5:31" ht="18" customHeight="1" x14ac:dyDescent="0.35">
      <c r="G33" s="37">
        <f t="shared" si="10"/>
        <v>46126</v>
      </c>
      <c r="H33" s="32">
        <v>524021</v>
      </c>
      <c r="I33" s="32">
        <v>0</v>
      </c>
      <c r="J33" s="32">
        <v>877834</v>
      </c>
      <c r="K33" s="32">
        <v>120000</v>
      </c>
      <c r="L33" s="32">
        <v>0</v>
      </c>
      <c r="M33" s="52">
        <f t="shared" si="7"/>
        <v>120000</v>
      </c>
      <c r="O33" s="27" t="str">
        <f t="shared" si="0"/>
        <v/>
      </c>
      <c r="P33" s="27" cm="1">
        <f t="array" ref="P33">IF(H33="",_xlfn.LET(
    _xlpm.vals,_xlfn._xlws.FILTER($I$5:I32,$I$5:I32&lt;&gt;"",""),
    _xlpm.avgJ,IF(COUNTA(_xlpm.vals)=0,0,AVERAGE(_xlfn.TAKE(_xlpm.vals,-MIN(7,ROWS(_xlpm.vals))))),
    _xlpm.addship,IF(O33="",0,O33),
    IF(
        AND(H32="",H33=""),
        P32-_xlpm.avgJ+_xlpm.addship,
        IF(
            H33="",
            H32-_xlpm.avgJ+_xlpm.addship,
            ""
        )
    )
),H33)</f>
        <v>524021</v>
      </c>
      <c r="Q33" s="27" t="str">
        <f t="shared" si="1"/>
        <v/>
      </c>
      <c r="R33" s="27" cm="1">
        <f t="array" ref="R33">IF(J33="",_xlfn.LET(
    _xlpm.vals,_xlfn._xlws.FILTER($M$5:M32,$M$5:M32&lt;&gt;"",""),
    _xlpm.avgJ,IF(COUNTA(_xlpm.vals)=0,0,AVERAGE(_xlfn.TAKE(_xlpm.vals,-MIN(7,ROWS(_xlpm.vals))))),
    _xlpm.addship,IF(Q33="",0,Q33),
    IF(
        AND(J32="",J33=""),
        R32-_xlpm.avgJ+_xlpm.addship,
        IF(
            J33="",
            J32-_xlpm.avgJ+_xlpm.addship,
            ""
        )
    )
),J33)</f>
        <v>877834</v>
      </c>
      <c r="S33" s="4" t="str">
        <f t="shared" si="2"/>
        <v>Petrol over capacity</v>
      </c>
      <c r="AB33" s="44">
        <f t="shared" si="3"/>
        <v>16085</v>
      </c>
      <c r="AC33" s="44">
        <f t="shared" si="4"/>
        <v>325936</v>
      </c>
      <c r="AD33" s="44">
        <f t="shared" si="5"/>
        <v>72571</v>
      </c>
      <c r="AE33" s="44">
        <f t="shared" si="6"/>
        <v>1832778</v>
      </c>
    </row>
    <row r="34" spans="5:31" ht="18" customHeight="1" x14ac:dyDescent="0.35">
      <c r="E34" s="9"/>
      <c r="G34" s="37">
        <f t="shared" si="10"/>
        <v>46127</v>
      </c>
      <c r="H34" s="32">
        <v>491471</v>
      </c>
      <c r="I34" s="32">
        <v>32200</v>
      </c>
      <c r="J34" s="32">
        <v>836660</v>
      </c>
      <c r="K34" s="32">
        <v>20000</v>
      </c>
      <c r="L34" s="32">
        <v>19500</v>
      </c>
      <c r="M34" s="52">
        <f t="shared" si="7"/>
        <v>39500</v>
      </c>
      <c r="O34" s="27" t="str">
        <f t="shared" si="0"/>
        <v/>
      </c>
      <c r="P34" s="27" cm="1">
        <f t="array" ref="P34">IF(H34="",_xlfn.LET(
    _xlpm.vals,_xlfn._xlws.FILTER($I$5:I33,$I$5:I33&lt;&gt;"",""),
    _xlpm.avgJ,IF(COUNTA(_xlpm.vals)=0,0,AVERAGE(_xlfn.TAKE(_xlpm.vals,-MIN(7,ROWS(_xlpm.vals))))),
    _xlpm.addship,IF(O34="",0,O34),
    IF(
        AND(H33="",H34=""),
        P33-_xlpm.avgJ+_xlpm.addship,
        IF(
            H34="",
            H33-_xlpm.avgJ+_xlpm.addship,
            ""
        )
    )
),H34)</f>
        <v>491471</v>
      </c>
      <c r="Q34" s="27" t="str">
        <f t="shared" si="1"/>
        <v/>
      </c>
      <c r="R34" s="27" cm="1">
        <f t="array" ref="R34">IF(J34="",_xlfn.LET(
    _xlpm.vals,_xlfn._xlws.FILTER($M$5:M33,$M$5:M33&lt;&gt;"",""),
    _xlpm.avgJ,IF(COUNTA(_xlpm.vals)=0,0,AVERAGE(_xlfn.TAKE(_xlpm.vals,-MIN(7,ROWS(_xlpm.vals))))),
    _xlpm.addship,IF(Q34="",0,Q34),
    IF(
        AND(J33="",J34=""),
        R33-_xlpm.avgJ+_xlpm.addship,
        IF(
            J34="",
            J33-_xlpm.avgJ+_xlpm.addship,
            ""
        )
    )
),J34)</f>
        <v>836660</v>
      </c>
      <c r="S34" s="4" t="str">
        <f t="shared" si="2"/>
        <v>Petrol over capacity</v>
      </c>
      <c r="AB34" s="44">
        <f t="shared" si="3"/>
        <v>16085</v>
      </c>
      <c r="AC34" s="44">
        <f t="shared" si="4"/>
        <v>325936</v>
      </c>
      <c r="AD34" s="44">
        <f t="shared" si="5"/>
        <v>72571</v>
      </c>
      <c r="AE34" s="44">
        <f t="shared" si="6"/>
        <v>1832778</v>
      </c>
    </row>
    <row r="35" spans="5:31" ht="18" customHeight="1" x14ac:dyDescent="0.35">
      <c r="G35" s="37">
        <f t="shared" si="10"/>
        <v>46128</v>
      </c>
      <c r="H35" s="32">
        <v>491471</v>
      </c>
      <c r="I35" s="32">
        <v>0</v>
      </c>
      <c r="J35" s="32">
        <v>734794</v>
      </c>
      <c r="K35" s="32">
        <v>100000</v>
      </c>
      <c r="L35" s="32">
        <v>0</v>
      </c>
      <c r="M35" s="52">
        <f t="shared" si="7"/>
        <v>100000</v>
      </c>
      <c r="O35" s="27" t="str">
        <f t="shared" si="0"/>
        <v/>
      </c>
      <c r="P35" s="27" cm="1">
        <f t="array" ref="P35">IF(H35="",_xlfn.LET(
    _xlpm.vals,_xlfn._xlws.FILTER($I$5:I34,$I$5:I34&lt;&gt;"",""),
    _xlpm.avgJ,IF(COUNTA(_xlpm.vals)=0,0,AVERAGE(_xlfn.TAKE(_xlpm.vals,-MIN(7,ROWS(_xlpm.vals))))),
    _xlpm.addship,IF(O35="",0,O35),
    IF(
        AND(H34="",H35=""),
        P34-_xlpm.avgJ+_xlpm.addship,
        IF(
            H35="",
            H34-_xlpm.avgJ+_xlpm.addship,
            ""
        )
    )
),H35)</f>
        <v>491471</v>
      </c>
      <c r="Q35" s="27" t="str">
        <f t="shared" si="1"/>
        <v/>
      </c>
      <c r="R35" s="27" cm="1">
        <f t="array" ref="R35">IF(J35="",_xlfn.LET(
    _xlpm.vals,_xlfn._xlws.FILTER($M$5:M34,$M$5:M34&lt;&gt;"",""),
    _xlpm.avgJ,IF(COUNTA(_xlpm.vals)=0,0,AVERAGE(_xlfn.TAKE(_xlpm.vals,-MIN(7,ROWS(_xlpm.vals))))),
    _xlpm.addship,IF(Q35="",0,Q35),
    IF(
        AND(J34="",J35=""),
        R34-_xlpm.avgJ+_xlpm.addship,
        IF(
            J35="",
            J34-_xlpm.avgJ+_xlpm.addship,
            ""
        )
    )
),J35)</f>
        <v>734794</v>
      </c>
      <c r="S35" s="4" t="str">
        <f t="shared" si="2"/>
        <v>Petrol over capacity</v>
      </c>
      <c r="AB35" s="44">
        <f t="shared" si="3"/>
        <v>16085</v>
      </c>
      <c r="AC35" s="44">
        <f t="shared" si="4"/>
        <v>325936</v>
      </c>
      <c r="AD35" s="44">
        <f t="shared" si="5"/>
        <v>72571</v>
      </c>
      <c r="AE35" s="44">
        <f t="shared" si="6"/>
        <v>1832778</v>
      </c>
    </row>
    <row r="36" spans="5:31" ht="18" customHeight="1" x14ac:dyDescent="0.35">
      <c r="G36" s="37">
        <f t="shared" si="10"/>
        <v>46129</v>
      </c>
      <c r="H36" s="32">
        <v>463521</v>
      </c>
      <c r="I36" s="32">
        <v>27200</v>
      </c>
      <c r="J36" s="32">
        <v>533261</v>
      </c>
      <c r="K36" s="32">
        <v>201010</v>
      </c>
      <c r="L36" s="32">
        <v>0</v>
      </c>
      <c r="M36" s="52">
        <f t="shared" si="7"/>
        <v>201010</v>
      </c>
      <c r="O36" s="27" t="str">
        <f t="shared" si="0"/>
        <v/>
      </c>
      <c r="P36" s="27" cm="1">
        <f t="array" ref="P36">IF(H36="",_xlfn.LET(
    _xlpm.vals,_xlfn._xlws.FILTER($I$5:I35,$I$5:I35&lt;&gt;"",""),
    _xlpm.avgJ,IF(COUNTA(_xlpm.vals)=0,0,AVERAGE(_xlfn.TAKE(_xlpm.vals,-MIN(7,ROWS(_xlpm.vals))))),
    _xlpm.addship,IF(O36="",0,O36),
    IF(
        AND(H35="",H36=""),
        P35-_xlpm.avgJ+_xlpm.addship,
        IF(
            H36="",
            H35-_xlpm.avgJ+_xlpm.addship,
            ""
        )
    )
),H36)</f>
        <v>463521</v>
      </c>
      <c r="Q36" s="27" t="str">
        <f t="shared" si="1"/>
        <v/>
      </c>
      <c r="R36" s="27" cm="1">
        <f t="array" ref="R36">IF(J36="",_xlfn.LET(
    _xlpm.vals,_xlfn._xlws.FILTER($M$5:M35,$M$5:M35&lt;&gt;"",""),
    _xlpm.avgJ,IF(COUNTA(_xlpm.vals)=0,0,AVERAGE(_xlfn.TAKE(_xlpm.vals,-MIN(7,ROWS(_xlpm.vals))))),
    _xlpm.addship,IF(Q36="",0,Q36),
    IF(
        AND(J35="",J36=""),
        R35-_xlpm.avgJ+_xlpm.addship,
        IF(
            J36="",
            J35-_xlpm.avgJ+_xlpm.addship,
            ""
        )
    )
),J36)</f>
        <v>533261</v>
      </c>
      <c r="S36" s="4" t="str">
        <f t="shared" si="2"/>
        <v>Petrol over capacity</v>
      </c>
      <c r="AB36" s="44">
        <f t="shared" si="3"/>
        <v>16085</v>
      </c>
      <c r="AC36" s="44">
        <f t="shared" si="4"/>
        <v>325936</v>
      </c>
      <c r="AD36" s="44">
        <f t="shared" si="5"/>
        <v>72571</v>
      </c>
      <c r="AE36" s="44">
        <f t="shared" si="6"/>
        <v>1832778</v>
      </c>
    </row>
    <row r="37" spans="5:31" ht="18" customHeight="1" x14ac:dyDescent="0.35">
      <c r="G37" s="37">
        <f t="shared" si="10"/>
        <v>46130</v>
      </c>
      <c r="H37" s="32">
        <v>463521</v>
      </c>
      <c r="I37" s="32">
        <v>0</v>
      </c>
      <c r="J37" s="32">
        <v>533261</v>
      </c>
      <c r="K37" s="32">
        <v>0</v>
      </c>
      <c r="L37" s="32">
        <v>0</v>
      </c>
      <c r="M37" s="52">
        <f t="shared" si="7"/>
        <v>0</v>
      </c>
      <c r="O37" s="27" t="str">
        <f t="shared" ref="O37:O68" si="11">IF(H37="",IFERROR(_xlfn.XLOOKUP(G37,$B$8:$B$12,$C$8:$C$12,""),""),"")</f>
        <v/>
      </c>
      <c r="P37" s="27" cm="1">
        <f t="array" ref="P37">IF(H37="",_xlfn.LET(
    _xlpm.vals,_xlfn._xlws.FILTER($I$5:I36,$I$5:I36&lt;&gt;"",""),
    _xlpm.avgJ,IF(COUNTA(_xlpm.vals)=0,0,AVERAGE(_xlfn.TAKE(_xlpm.vals,-MIN(7,ROWS(_xlpm.vals))))),
    _xlpm.addship,IF(O37="",0,O37),
    IF(
        AND(H36="",H37=""),
        P36-_xlpm.avgJ+_xlpm.addship,
        IF(
            H37="",
            H36-_xlpm.avgJ+_xlpm.addship,
            ""
        )
    )
),H37)</f>
        <v>463521</v>
      </c>
      <c r="Q37" s="27" t="str">
        <f t="shared" ref="Q37:Q68" si="12">IF(J37="",IFERROR(_xlfn.XLOOKUP(G37,$B$8:$B$12,$D$8:$D$12,""),""),"")</f>
        <v/>
      </c>
      <c r="R37" s="27" cm="1">
        <f t="array" ref="R37">IF(J37="",_xlfn.LET(
    _xlpm.vals,_xlfn._xlws.FILTER($M$5:M36,$M$5:M36&lt;&gt;"",""),
    _xlpm.avgJ,IF(COUNTA(_xlpm.vals)=0,0,AVERAGE(_xlfn.TAKE(_xlpm.vals,-MIN(7,ROWS(_xlpm.vals))))),
    _xlpm.addship,IF(Q37="",0,Q37),
    IF(
        AND(J36="",J37=""),
        R36-_xlpm.avgJ+_xlpm.addship,
        IF(
            J37="",
            J36-_xlpm.avgJ+_xlpm.addship,
            ""
        )
    )
),J37)</f>
        <v>533261</v>
      </c>
      <c r="S37" s="4" t="str">
        <f t="shared" ref="S37:S68" si="13">IF(AND(P37="",R37=""),"",
_xlfn.LET(
_xlpm.msgs,
_xlfn.TEXTJOIN(" | ",TRUE,
IF(P37&gt;$C$21,"Petrol over capacity",""),
IF(P37&lt;$C$22,"Petrol stock out",""),
IF(R37&gt;$D$21,"Diesel over capacity",""),
IF(R37&lt;$D$22,"Diesel stock out","")
),
IF(_xlpm.msgs="","",_xlpm.msgs)
))</f>
        <v>Petrol over capacity</v>
      </c>
      <c r="AB37" s="44">
        <f t="shared" ref="AB37:AB68" si="14">$C$22</f>
        <v>16085</v>
      </c>
      <c r="AC37" s="44">
        <f t="shared" ref="AC37:AC68" si="15">$C$21</f>
        <v>325936</v>
      </c>
      <c r="AD37" s="44">
        <f t="shared" ref="AD37:AD68" si="16">$D$22</f>
        <v>72571</v>
      </c>
      <c r="AE37" s="44">
        <f t="shared" ref="AE37:AE68" si="17">$D$21</f>
        <v>1832778</v>
      </c>
    </row>
    <row r="38" spans="5:31" ht="18" customHeight="1" x14ac:dyDescent="0.35">
      <c r="G38" s="37">
        <f t="shared" si="10"/>
        <v>46131</v>
      </c>
      <c r="H38" s="32">
        <v>463521</v>
      </c>
      <c r="I38" s="32">
        <v>0</v>
      </c>
      <c r="J38" s="32">
        <v>533261</v>
      </c>
      <c r="K38" s="32">
        <v>0</v>
      </c>
      <c r="L38" s="32">
        <v>0</v>
      </c>
      <c r="M38" s="52">
        <f t="shared" si="7"/>
        <v>0</v>
      </c>
      <c r="O38" s="27" t="str">
        <f t="shared" si="11"/>
        <v/>
      </c>
      <c r="P38" s="27" cm="1">
        <f t="array" ref="P38">IF(H38="",_xlfn.LET(
    _xlpm.vals,_xlfn._xlws.FILTER($I$5:I37,$I$5:I37&lt;&gt;"",""),
    _xlpm.avgJ,IF(COUNTA(_xlpm.vals)=0,0,AVERAGE(_xlfn.TAKE(_xlpm.vals,-MIN(7,ROWS(_xlpm.vals))))),
    _xlpm.addship,IF(O38="",0,O38),
    IF(
        AND(H37="",H38=""),
        P37-_xlpm.avgJ+_xlpm.addship,
        IF(
            H38="",
            H37-_xlpm.avgJ+_xlpm.addship,
            ""
        )
    )
),H38)</f>
        <v>463521</v>
      </c>
      <c r="Q38" s="27" t="str">
        <f t="shared" si="12"/>
        <v/>
      </c>
      <c r="R38" s="27" cm="1">
        <f t="array" ref="R38">IF(J38="",_xlfn.LET(
    _xlpm.vals,_xlfn._xlws.FILTER($M$5:M37,$M$5:M37&lt;&gt;"",""),
    _xlpm.avgJ,IF(COUNTA(_xlpm.vals)=0,0,AVERAGE(_xlfn.TAKE(_xlpm.vals,-MIN(7,ROWS(_xlpm.vals))))),
    _xlpm.addship,IF(Q38="",0,Q38),
    IF(
        AND(J37="",J38=""),
        R37-_xlpm.avgJ+_xlpm.addship,
        IF(
            J38="",
            J37-_xlpm.avgJ+_xlpm.addship,
            ""
        )
    )
),J38)</f>
        <v>533261</v>
      </c>
      <c r="S38" s="4" t="str">
        <f t="shared" si="13"/>
        <v>Petrol over capacity</v>
      </c>
      <c r="AB38" s="44">
        <f t="shared" si="14"/>
        <v>16085</v>
      </c>
      <c r="AC38" s="44">
        <f t="shared" si="15"/>
        <v>325936</v>
      </c>
      <c r="AD38" s="44">
        <f t="shared" si="16"/>
        <v>72571</v>
      </c>
      <c r="AE38" s="44">
        <f t="shared" si="17"/>
        <v>1832778</v>
      </c>
    </row>
    <row r="39" spans="5:31" ht="18" customHeight="1" x14ac:dyDescent="0.35">
      <c r="G39" s="37">
        <f t="shared" si="10"/>
        <v>46132</v>
      </c>
      <c r="H39" s="32"/>
      <c r="I39" s="32"/>
      <c r="J39" s="32"/>
      <c r="K39" s="32"/>
      <c r="L39" s="32"/>
      <c r="M39" s="52">
        <f t="shared" si="7"/>
        <v>0</v>
      </c>
      <c r="O39" s="27" t="str">
        <f t="shared" si="11"/>
        <v/>
      </c>
      <c r="P39" s="27" cm="1">
        <f t="array" ref="P39">IF(H39="",_xlfn.LET(
    _xlpm.vals,_xlfn._xlws.FILTER($I$5:I38,$I$5:I38&lt;&gt;"",""),
    _xlpm.avgJ,IF(COUNTA(_xlpm.vals)=0,0,AVERAGE(_xlfn.TAKE(_xlpm.vals,-MIN(7,ROWS(_xlpm.vals))))),
    _xlpm.addship,IF(O39="",0,O39),
    IF(
        AND(H38="",H39=""),
        P38-_xlpm.avgJ+_xlpm.addship,
        IF(
            H39="",
            H38-_xlpm.avgJ+_xlpm.addship,
            ""
        )
    )
),H39)</f>
        <v>449491</v>
      </c>
      <c r="Q39" s="27" t="str">
        <f t="shared" si="12"/>
        <v/>
      </c>
      <c r="R39" s="27" cm="1">
        <f t="array" ref="R39">IF(J39="",_xlfn.LET(
    _xlpm.vals,_xlfn._xlws.FILTER($M$5:M38,$M$5:M38&lt;&gt;"",""),
    _xlpm.avgJ,IF(COUNTA(_xlpm.vals)=0,0,AVERAGE(_xlfn.TAKE(_xlpm.vals,-MIN(7,ROWS(_xlpm.vals))))),
    _xlpm.addship,IF(Q39="",0,Q39),
    IF(
        AND(J38="",J39=""),
        R38-_xlpm.avgJ+_xlpm.addship,
        IF(
            J39="",
            J38-_xlpm.avgJ+_xlpm.addship,
            ""
        )
    )
),J39)</f>
        <v>443783.85714285716</v>
      </c>
      <c r="S39" s="4" t="str">
        <f t="shared" si="13"/>
        <v>Petrol over capacity</v>
      </c>
      <c r="AB39" s="44">
        <f t="shared" si="14"/>
        <v>16085</v>
      </c>
      <c r="AC39" s="44">
        <f t="shared" si="15"/>
        <v>325936</v>
      </c>
      <c r="AD39" s="44">
        <f t="shared" si="16"/>
        <v>72571</v>
      </c>
      <c r="AE39" s="44">
        <f t="shared" si="17"/>
        <v>1832778</v>
      </c>
    </row>
    <row r="40" spans="5:31" ht="18" customHeight="1" x14ac:dyDescent="0.35">
      <c r="G40" s="37">
        <f t="shared" si="10"/>
        <v>46133</v>
      </c>
      <c r="H40" s="32"/>
      <c r="I40" s="32"/>
      <c r="J40" s="32"/>
      <c r="K40" s="32"/>
      <c r="L40" s="32"/>
      <c r="M40" s="52">
        <f t="shared" si="7"/>
        <v>0</v>
      </c>
      <c r="O40" s="27" t="str">
        <f t="shared" si="11"/>
        <v/>
      </c>
      <c r="P40" s="27" cm="1">
        <f t="array" ref="P40">IF(H40="",_xlfn.LET(
    _xlpm.vals,_xlfn._xlws.FILTER($I$5:I39,$I$5:I39&lt;&gt;"",""),
    _xlpm.avgJ,IF(COUNTA(_xlpm.vals)=0,0,AVERAGE(_xlfn.TAKE(_xlpm.vals,-MIN(7,ROWS(_xlpm.vals))))),
    _xlpm.addship,IF(O40="",0,O40),
    IF(
        AND(H39="",H40=""),
        P39-_xlpm.avgJ+_xlpm.addship,
        IF(
            H40="",
            H39-_xlpm.avgJ+_xlpm.addship,
            ""
        )
    )
),H40)</f>
        <v>435461</v>
      </c>
      <c r="Q40" s="27" t="str">
        <f t="shared" si="12"/>
        <v/>
      </c>
      <c r="R40" s="27" cm="1">
        <f t="array" ref="R40">IF(J40="",_xlfn.LET(
    _xlpm.vals,_xlfn._xlws.FILTER($M$5:M39,$M$5:M39&lt;&gt;"",""),
    _xlpm.avgJ,IF(COUNTA(_xlpm.vals)=0,0,AVERAGE(_xlfn.TAKE(_xlpm.vals,-MIN(7,ROWS(_xlpm.vals))))),
    _xlpm.addship,IF(Q40="",0,Q40),
    IF(
        AND(J39="",J40=""),
        R39-_xlpm.avgJ+_xlpm.addship,
        IF(
            J40="",
            J39-_xlpm.avgJ+_xlpm.addship,
            ""
        )
    )
),J40)</f>
        <v>377996.71428571432</v>
      </c>
      <c r="S40" s="4" t="str">
        <f t="shared" si="13"/>
        <v>Petrol over capacity</v>
      </c>
      <c r="AB40" s="44">
        <f t="shared" si="14"/>
        <v>16085</v>
      </c>
      <c r="AC40" s="44">
        <f t="shared" si="15"/>
        <v>325936</v>
      </c>
      <c r="AD40" s="44">
        <f t="shared" si="16"/>
        <v>72571</v>
      </c>
      <c r="AE40" s="44">
        <f t="shared" si="17"/>
        <v>1832778</v>
      </c>
    </row>
    <row r="41" spans="5:31" ht="18" customHeight="1" x14ac:dyDescent="0.35">
      <c r="G41" s="37">
        <f t="shared" si="10"/>
        <v>46134</v>
      </c>
      <c r="H41" s="32"/>
      <c r="I41" s="32"/>
      <c r="J41" s="32"/>
      <c r="K41" s="32"/>
      <c r="L41" s="32"/>
      <c r="M41" s="52">
        <f t="shared" si="7"/>
        <v>0</v>
      </c>
      <c r="O41" s="27" t="str">
        <f t="shared" si="11"/>
        <v/>
      </c>
      <c r="P41" s="27" cm="1">
        <f t="array" ref="P41">IF(H41="",_xlfn.LET(
    _xlpm.vals,_xlfn._xlws.FILTER($I$5:I40,$I$5:I40&lt;&gt;"",""),
    _xlpm.avgJ,IF(COUNTA(_xlpm.vals)=0,0,AVERAGE(_xlfn.TAKE(_xlpm.vals,-MIN(7,ROWS(_xlpm.vals))))),
    _xlpm.addship,IF(O41="",0,O41),
    IF(
        AND(H40="",H41=""),
        P40-_xlpm.avgJ+_xlpm.addship,
        IF(
            H41="",
            H40-_xlpm.avgJ+_xlpm.addship,
            ""
        )
    )
),H41)</f>
        <v>421431</v>
      </c>
      <c r="Q41" s="27" t="str">
        <f t="shared" si="12"/>
        <v/>
      </c>
      <c r="R41" s="27" cm="1">
        <f t="array" ref="R41">IF(J41="",_xlfn.LET(
    _xlpm.vals,_xlfn._xlws.FILTER($M$5:M40,$M$5:M40&lt;&gt;"",""),
    _xlpm.avgJ,IF(COUNTA(_xlpm.vals)=0,0,AVERAGE(_xlfn.TAKE(_xlpm.vals,-MIN(7,ROWS(_xlpm.vals))))),
    _xlpm.addship,IF(Q41="",0,Q41),
    IF(
        AND(J40="",J41=""),
        R40-_xlpm.avgJ+_xlpm.addship,
        IF(
            J41="",
            J40-_xlpm.avgJ+_xlpm.addship,
            ""
        )
    )
),J41)</f>
        <v>329352.42857142858</v>
      </c>
      <c r="S41" s="4" t="str">
        <f t="shared" si="13"/>
        <v>Petrol over capacity</v>
      </c>
      <c r="AB41" s="44">
        <f t="shared" si="14"/>
        <v>16085</v>
      </c>
      <c r="AC41" s="44">
        <f t="shared" si="15"/>
        <v>325936</v>
      </c>
      <c r="AD41" s="44">
        <f t="shared" si="16"/>
        <v>72571</v>
      </c>
      <c r="AE41" s="44">
        <f t="shared" si="17"/>
        <v>1832778</v>
      </c>
    </row>
    <row r="42" spans="5:31" ht="18" customHeight="1" x14ac:dyDescent="0.35">
      <c r="G42" s="37">
        <f t="shared" si="10"/>
        <v>46135</v>
      </c>
      <c r="H42" s="32"/>
      <c r="I42" s="32"/>
      <c r="J42" s="32"/>
      <c r="K42" s="32"/>
      <c r="L42" s="32"/>
      <c r="M42" s="52">
        <f t="shared" si="7"/>
        <v>0</v>
      </c>
      <c r="O42" s="27" t="str">
        <f t="shared" si="11"/>
        <v/>
      </c>
      <c r="P42" s="27" cm="1">
        <f t="array" ref="P42">IF(H42="",_xlfn.LET(
    _xlpm.vals,_xlfn._xlws.FILTER($I$5:I41,$I$5:I41&lt;&gt;"",""),
    _xlpm.avgJ,IF(COUNTA(_xlpm.vals)=0,0,AVERAGE(_xlfn.TAKE(_xlpm.vals,-MIN(7,ROWS(_xlpm.vals))))),
    _xlpm.addship,IF(O42="",0,O42),
    IF(
        AND(H41="",H42=""),
        P41-_xlpm.avgJ+_xlpm.addship,
        IF(
            H42="",
            H41-_xlpm.avgJ+_xlpm.addship,
            ""
        )
    )
),H42)</f>
        <v>407401</v>
      </c>
      <c r="Q42" s="27" t="str">
        <f t="shared" si="12"/>
        <v/>
      </c>
      <c r="R42" s="27" cm="1">
        <f t="array" ref="R42">IF(J42="",_xlfn.LET(
    _xlpm.vals,_xlfn._xlws.FILTER($M$5:M41,$M$5:M41&lt;&gt;"",""),
    _xlpm.avgJ,IF(COUNTA(_xlpm.vals)=0,0,AVERAGE(_xlfn.TAKE(_xlpm.vals,-MIN(7,ROWS(_xlpm.vals))))),
    _xlpm.addship,IF(Q42="",0,Q42),
    IF(
        AND(J41="",J42=""),
        R41-_xlpm.avgJ+_xlpm.addship,
        IF(
            J42="",
            J41-_xlpm.avgJ+_xlpm.addship,
            ""
        )
    )
),J42)</f>
        <v>286351</v>
      </c>
      <c r="S42" s="4" t="str">
        <f t="shared" si="13"/>
        <v>Petrol over capacity</v>
      </c>
      <c r="AB42" s="44">
        <f t="shared" si="14"/>
        <v>16085</v>
      </c>
      <c r="AC42" s="44">
        <f t="shared" si="15"/>
        <v>325936</v>
      </c>
      <c r="AD42" s="44">
        <f t="shared" si="16"/>
        <v>72571</v>
      </c>
      <c r="AE42" s="44">
        <f t="shared" si="17"/>
        <v>1832778</v>
      </c>
    </row>
    <row r="43" spans="5:31" ht="18" customHeight="1" x14ac:dyDescent="0.35">
      <c r="G43" s="37">
        <f t="shared" si="10"/>
        <v>46136</v>
      </c>
      <c r="H43" s="32"/>
      <c r="I43" s="32"/>
      <c r="J43" s="32"/>
      <c r="K43" s="32"/>
      <c r="L43" s="32"/>
      <c r="M43" s="52">
        <f t="shared" si="7"/>
        <v>0</v>
      </c>
      <c r="O43" s="27" t="str">
        <f t="shared" si="11"/>
        <v/>
      </c>
      <c r="P43" s="27" cm="1">
        <f t="array" ref="P43">IF(H43="",_xlfn.LET(
    _xlpm.vals,_xlfn._xlws.FILTER($I$5:I42,$I$5:I42&lt;&gt;"",""),
    _xlpm.avgJ,IF(COUNTA(_xlpm.vals)=0,0,AVERAGE(_xlfn.TAKE(_xlpm.vals,-MIN(7,ROWS(_xlpm.vals))))),
    _xlpm.addship,IF(O43="",0,O43),
    IF(
        AND(H42="",H43=""),
        P42-_xlpm.avgJ+_xlpm.addship,
        IF(
            H43="",
            H42-_xlpm.avgJ+_xlpm.addship,
            ""
        )
    )
),H43)</f>
        <v>393371</v>
      </c>
      <c r="Q43" s="27" t="str">
        <f t="shared" si="12"/>
        <v/>
      </c>
      <c r="R43" s="27" cm="1">
        <f t="array" ref="R43">IF(J43="",_xlfn.LET(
    _xlpm.vals,_xlfn._xlws.FILTER($M$5:M42,$M$5:M42&lt;&gt;"",""),
    _xlpm.avgJ,IF(COUNTA(_xlpm.vals)=0,0,AVERAGE(_xlfn.TAKE(_xlpm.vals,-MIN(7,ROWS(_xlpm.vals))))),
    _xlpm.addship,IF(Q43="",0,Q43),
    IF(
        AND(J42="",J43=""),
        R42-_xlpm.avgJ+_xlpm.addship,
        IF(
            J43="",
            J42-_xlpm.avgJ+_xlpm.addship,
            ""
        )
    )
),J43)</f>
        <v>257635.28571428571</v>
      </c>
      <c r="S43" s="4" t="str">
        <f t="shared" si="13"/>
        <v>Petrol over capacity</v>
      </c>
      <c r="AB43" s="44">
        <f t="shared" si="14"/>
        <v>16085</v>
      </c>
      <c r="AC43" s="44">
        <f t="shared" si="15"/>
        <v>325936</v>
      </c>
      <c r="AD43" s="44">
        <f t="shared" si="16"/>
        <v>72571</v>
      </c>
      <c r="AE43" s="44">
        <f t="shared" si="17"/>
        <v>1832778</v>
      </c>
    </row>
    <row r="44" spans="5:31" ht="18" customHeight="1" x14ac:dyDescent="0.35">
      <c r="G44" s="37">
        <f t="shared" si="10"/>
        <v>46137</v>
      </c>
      <c r="H44" s="32"/>
      <c r="I44" s="32"/>
      <c r="J44" s="32"/>
      <c r="K44" s="32"/>
      <c r="L44" s="32"/>
      <c r="M44" s="52">
        <f t="shared" si="7"/>
        <v>0</v>
      </c>
      <c r="O44" s="27" t="str">
        <f t="shared" si="11"/>
        <v/>
      </c>
      <c r="P44" s="27" cm="1">
        <f t="array" ref="P44">IF(H44="",_xlfn.LET(
    _xlpm.vals,_xlfn._xlws.FILTER($I$5:I43,$I$5:I43&lt;&gt;"",""),
    _xlpm.avgJ,IF(COUNTA(_xlpm.vals)=0,0,AVERAGE(_xlfn.TAKE(_xlpm.vals,-MIN(7,ROWS(_xlpm.vals))))),
    _xlpm.addship,IF(O44="",0,O44),
    IF(
        AND(H43="",H44=""),
        P43-_xlpm.avgJ+_xlpm.addship,
        IF(
            H44="",
            H43-_xlpm.avgJ+_xlpm.addship,
            ""
        )
    )
),H44)</f>
        <v>379341</v>
      </c>
      <c r="Q44" s="27" t="str">
        <f t="shared" si="12"/>
        <v/>
      </c>
      <c r="R44" s="27" cm="1">
        <f t="array" ref="R44">IF(J44="",_xlfn.LET(
    _xlpm.vals,_xlfn._xlws.FILTER($M$5:M43,$M$5:M43&lt;&gt;"",""),
    _xlpm.avgJ,IF(COUNTA(_xlpm.vals)=0,0,AVERAGE(_xlfn.TAKE(_xlpm.vals,-MIN(7,ROWS(_xlpm.vals))))),
    _xlpm.addship,IF(Q44="",0,Q44),
    IF(
        AND(J43="",J44=""),
        R43-_xlpm.avgJ+_xlpm.addship,
        IF(
            J44="",
            J43-_xlpm.avgJ+_xlpm.addship,
            ""
        )
    )
),J44)</f>
        <v>257635.28571428571</v>
      </c>
      <c r="S44" s="4" t="str">
        <f t="shared" si="13"/>
        <v>Petrol over capacity</v>
      </c>
      <c r="AB44" s="44">
        <f t="shared" si="14"/>
        <v>16085</v>
      </c>
      <c r="AC44" s="44">
        <f t="shared" si="15"/>
        <v>325936</v>
      </c>
      <c r="AD44" s="44">
        <f t="shared" si="16"/>
        <v>72571</v>
      </c>
      <c r="AE44" s="44">
        <f t="shared" si="17"/>
        <v>1832778</v>
      </c>
    </row>
    <row r="45" spans="5:31" ht="18" customHeight="1" x14ac:dyDescent="0.35">
      <c r="G45" s="37">
        <f t="shared" si="10"/>
        <v>46138</v>
      </c>
      <c r="H45" s="32"/>
      <c r="I45" s="32"/>
      <c r="J45" s="32"/>
      <c r="K45" s="32"/>
      <c r="L45" s="32"/>
      <c r="M45" s="52">
        <f t="shared" si="7"/>
        <v>0</v>
      </c>
      <c r="O45" s="27" t="str">
        <f t="shared" si="11"/>
        <v/>
      </c>
      <c r="P45" s="27" cm="1">
        <f t="array" ref="P45">IF(H45="",_xlfn.LET(
    _xlpm.vals,_xlfn._xlws.FILTER($I$5:I44,$I$5:I44&lt;&gt;"",""),
    _xlpm.avgJ,IF(COUNTA(_xlpm.vals)=0,0,AVERAGE(_xlfn.TAKE(_xlpm.vals,-MIN(7,ROWS(_xlpm.vals))))),
    _xlpm.addship,IF(O45="",0,O45),
    IF(
        AND(H44="",H45=""),
        P44-_xlpm.avgJ+_xlpm.addship,
        IF(
            H45="",
            H44-_xlpm.avgJ+_xlpm.addship,
            ""
        )
    )
),H45)</f>
        <v>365311</v>
      </c>
      <c r="Q45" s="27" t="str">
        <f t="shared" si="12"/>
        <v/>
      </c>
      <c r="R45" s="27" cm="1">
        <f t="array" ref="R45">IF(J45="",_xlfn.LET(
    _xlpm.vals,_xlfn._xlws.FILTER($M$5:M44,$M$5:M44&lt;&gt;"",""),
    _xlpm.avgJ,IF(COUNTA(_xlpm.vals)=0,0,AVERAGE(_xlfn.TAKE(_xlpm.vals,-MIN(7,ROWS(_xlpm.vals))))),
    _xlpm.addship,IF(Q45="",0,Q45),
    IF(
        AND(J44="",J45=""),
        R44-_xlpm.avgJ+_xlpm.addship,
        IF(
            J45="",
            J44-_xlpm.avgJ+_xlpm.addship,
            ""
        )
    )
),J45)</f>
        <v>257635.28571428571</v>
      </c>
      <c r="S45" s="4" t="str">
        <f t="shared" si="13"/>
        <v>Petrol over capacity</v>
      </c>
      <c r="AB45" s="44">
        <f t="shared" si="14"/>
        <v>16085</v>
      </c>
      <c r="AC45" s="44">
        <f t="shared" si="15"/>
        <v>325936</v>
      </c>
      <c r="AD45" s="44">
        <f t="shared" si="16"/>
        <v>72571</v>
      </c>
      <c r="AE45" s="44">
        <f t="shared" si="17"/>
        <v>1832778</v>
      </c>
    </row>
    <row r="46" spans="5:31" ht="18" customHeight="1" x14ac:dyDescent="0.35">
      <c r="G46" s="37">
        <f t="shared" si="10"/>
        <v>46139</v>
      </c>
      <c r="H46" s="32"/>
      <c r="I46" s="32"/>
      <c r="J46" s="32"/>
      <c r="K46" s="32"/>
      <c r="L46" s="32"/>
      <c r="M46" s="52">
        <f t="shared" si="7"/>
        <v>0</v>
      </c>
      <c r="O46" s="27" t="str">
        <f t="shared" si="11"/>
        <v/>
      </c>
      <c r="P46" s="27" cm="1">
        <f t="array" ref="P46">IF(H46="",_xlfn.LET(
    _xlpm.vals,_xlfn._xlws.FILTER($I$5:I45,$I$5:I45&lt;&gt;"",""),
    _xlpm.avgJ,IF(COUNTA(_xlpm.vals)=0,0,AVERAGE(_xlfn.TAKE(_xlpm.vals,-MIN(7,ROWS(_xlpm.vals))))),
    _xlpm.addship,IF(O46="",0,O46),
    IF(
        AND(H45="",H46=""),
        P45-_xlpm.avgJ+_xlpm.addship,
        IF(
            H46="",
            H45-_xlpm.avgJ+_xlpm.addship,
            ""
        )
    )
),H46)</f>
        <v>351281</v>
      </c>
      <c r="Q46" s="27" t="str">
        <f t="shared" si="12"/>
        <v/>
      </c>
      <c r="R46" s="27" cm="1">
        <f t="array" ref="R46">IF(J46="",_xlfn.LET(
    _xlpm.vals,_xlfn._xlws.FILTER($M$5:M45,$M$5:M45&lt;&gt;"",""),
    _xlpm.avgJ,IF(COUNTA(_xlpm.vals)=0,0,AVERAGE(_xlfn.TAKE(_xlpm.vals,-MIN(7,ROWS(_xlpm.vals))))),
    _xlpm.addship,IF(Q46="",0,Q46),
    IF(
        AND(J45="",J46=""),
        R45-_xlpm.avgJ+_xlpm.addship,
        IF(
            J46="",
            J45-_xlpm.avgJ+_xlpm.addship,
            ""
        )
    )
),J46)</f>
        <v>257635.28571428571</v>
      </c>
      <c r="S46" s="4" t="str">
        <f t="shared" si="13"/>
        <v>Petrol over capacity</v>
      </c>
      <c r="AB46" s="44">
        <f t="shared" si="14"/>
        <v>16085</v>
      </c>
      <c r="AC46" s="44">
        <f t="shared" si="15"/>
        <v>325936</v>
      </c>
      <c r="AD46" s="44">
        <f t="shared" si="16"/>
        <v>72571</v>
      </c>
      <c r="AE46" s="44">
        <f t="shared" si="17"/>
        <v>1832778</v>
      </c>
    </row>
    <row r="47" spans="5:31" ht="18" customHeight="1" x14ac:dyDescent="0.35">
      <c r="G47" s="37">
        <f t="shared" si="10"/>
        <v>46140</v>
      </c>
      <c r="H47" s="32"/>
      <c r="I47" s="32"/>
      <c r="J47" s="32"/>
      <c r="K47" s="32"/>
      <c r="L47" s="32"/>
      <c r="M47" s="52">
        <f t="shared" si="7"/>
        <v>0</v>
      </c>
      <c r="O47" s="27">
        <f t="shared" si="11"/>
        <v>540000</v>
      </c>
      <c r="P47" s="27" cm="1">
        <f t="array" ref="P47">IF(H47="",_xlfn.LET(
    _xlpm.vals,_xlfn._xlws.FILTER($I$5:I46,$I$5:I46&lt;&gt;"",""),
    _xlpm.avgJ,IF(COUNTA(_xlpm.vals)=0,0,AVERAGE(_xlfn.TAKE(_xlpm.vals,-MIN(7,ROWS(_xlpm.vals))))),
    _xlpm.addship,IF(O47="",0,O47),
    IF(
        AND(H46="",H47=""),
        P46-_xlpm.avgJ+_xlpm.addship,
        IF(
            H47="",
            H46-_xlpm.avgJ+_xlpm.addship,
            ""
        )
    )
),H47)</f>
        <v>877251</v>
      </c>
      <c r="Q47" s="27">
        <f t="shared" si="12"/>
        <v>1920000</v>
      </c>
      <c r="R47" s="27" cm="1">
        <f t="array" ref="R47">IF(J47="",_xlfn.LET(
    _xlpm.vals,_xlfn._xlws.FILTER($M$5:M46,$M$5:M46&lt;&gt;"",""),
    _xlpm.avgJ,IF(COUNTA(_xlpm.vals)=0,0,AVERAGE(_xlfn.TAKE(_xlpm.vals,-MIN(7,ROWS(_xlpm.vals))))),
    _xlpm.addship,IF(Q47="",0,Q47),
    IF(
        AND(J46="",J47=""),
        R46-_xlpm.avgJ+_xlpm.addship,
        IF(
            J47="",
            J46-_xlpm.avgJ+_xlpm.addship,
            ""
        )
    )
),J47)</f>
        <v>2177635.2857142859</v>
      </c>
      <c r="S47" s="4" t="str">
        <f t="shared" si="13"/>
        <v>Petrol over capacity | Diesel over capacity</v>
      </c>
      <c r="AB47" s="44">
        <f t="shared" si="14"/>
        <v>16085</v>
      </c>
      <c r="AC47" s="44">
        <f t="shared" si="15"/>
        <v>325936</v>
      </c>
      <c r="AD47" s="44">
        <f t="shared" si="16"/>
        <v>72571</v>
      </c>
      <c r="AE47" s="44">
        <f t="shared" si="17"/>
        <v>1832778</v>
      </c>
    </row>
    <row r="48" spans="5:31" ht="18" customHeight="1" x14ac:dyDescent="0.35">
      <c r="G48" s="37">
        <f t="shared" si="10"/>
        <v>46141</v>
      </c>
      <c r="H48" s="32"/>
      <c r="I48" s="32"/>
      <c r="J48" s="32"/>
      <c r="K48" s="32"/>
      <c r="L48" s="32"/>
      <c r="M48" s="52">
        <f t="shared" si="7"/>
        <v>0</v>
      </c>
      <c r="O48" s="27" t="str">
        <f t="shared" si="11"/>
        <v/>
      </c>
      <c r="P48" s="27" cm="1">
        <f t="array" ref="P48">IF(H48="",_xlfn.LET(
    _xlpm.vals,_xlfn._xlws.FILTER($I$5:I47,$I$5:I47&lt;&gt;"",""),
    _xlpm.avgJ,IF(COUNTA(_xlpm.vals)=0,0,AVERAGE(_xlfn.TAKE(_xlpm.vals,-MIN(7,ROWS(_xlpm.vals))))),
    _xlpm.addship,IF(O48="",0,O48),
    IF(
        AND(H47="",H48=""),
        P47-_xlpm.avgJ+_xlpm.addship,
        IF(
            H48="",
            H47-_xlpm.avgJ+_xlpm.addship,
            ""
        )
    )
),H48)</f>
        <v>863221</v>
      </c>
      <c r="Q48" s="27" t="str">
        <f t="shared" si="12"/>
        <v/>
      </c>
      <c r="R48" s="27" cm="1">
        <f t="array" ref="R48">IF(J48="",_xlfn.LET(
    _xlpm.vals,_xlfn._xlws.FILTER($M$5:M47,$M$5:M47&lt;&gt;"",""),
    _xlpm.avgJ,IF(COUNTA(_xlpm.vals)=0,0,AVERAGE(_xlfn.TAKE(_xlpm.vals,-MIN(7,ROWS(_xlpm.vals))))),
    _xlpm.addship,IF(Q48="",0,Q48),
    IF(
        AND(J47="",J48=""),
        R47-_xlpm.avgJ+_xlpm.addship,
        IF(
            J48="",
            J47-_xlpm.avgJ+_xlpm.addship,
            ""
        )
    )
),J48)</f>
        <v>2177635.2857142859</v>
      </c>
      <c r="S48" s="4" t="str">
        <f t="shared" si="13"/>
        <v>Petrol over capacity | Diesel over capacity</v>
      </c>
      <c r="AB48" s="44">
        <f t="shared" si="14"/>
        <v>16085</v>
      </c>
      <c r="AC48" s="44">
        <f t="shared" si="15"/>
        <v>325936</v>
      </c>
      <c r="AD48" s="44">
        <f t="shared" si="16"/>
        <v>72571</v>
      </c>
      <c r="AE48" s="44">
        <f t="shared" si="17"/>
        <v>1832778</v>
      </c>
    </row>
    <row r="49" spans="7:31" ht="18" customHeight="1" x14ac:dyDescent="0.35">
      <c r="G49" s="37">
        <f t="shared" si="10"/>
        <v>46142</v>
      </c>
      <c r="H49" s="32"/>
      <c r="I49" s="32"/>
      <c r="J49" s="32"/>
      <c r="K49" s="32"/>
      <c r="L49" s="32"/>
      <c r="M49" s="52">
        <f t="shared" si="7"/>
        <v>0</v>
      </c>
      <c r="O49" s="27" t="str">
        <f t="shared" si="11"/>
        <v/>
      </c>
      <c r="P49" s="27" cm="1">
        <f t="array" ref="P49">IF(H49="",_xlfn.LET(
    _xlpm.vals,_xlfn._xlws.FILTER($I$5:I48,$I$5:I48&lt;&gt;"",""),
    _xlpm.avgJ,IF(COUNTA(_xlpm.vals)=0,0,AVERAGE(_xlfn.TAKE(_xlpm.vals,-MIN(7,ROWS(_xlpm.vals))))),
    _xlpm.addship,IF(O49="",0,O49),
    IF(
        AND(H48="",H49=""),
        P48-_xlpm.avgJ+_xlpm.addship,
        IF(
            H49="",
            H48-_xlpm.avgJ+_xlpm.addship,
            ""
        )
    )
),H49)</f>
        <v>849191</v>
      </c>
      <c r="Q49" s="27" t="str">
        <f t="shared" si="12"/>
        <v/>
      </c>
      <c r="R49" s="27" cm="1">
        <f t="array" ref="R49">IF(J49="",_xlfn.LET(
    _xlpm.vals,_xlfn._xlws.FILTER($M$5:M48,$M$5:M48&lt;&gt;"",""),
    _xlpm.avgJ,IF(COUNTA(_xlpm.vals)=0,0,AVERAGE(_xlfn.TAKE(_xlpm.vals,-MIN(7,ROWS(_xlpm.vals))))),
    _xlpm.addship,IF(Q49="",0,Q49),
    IF(
        AND(J48="",J49=""),
        R48-_xlpm.avgJ+_xlpm.addship,
        IF(
            J49="",
            J48-_xlpm.avgJ+_xlpm.addship,
            ""
        )
    )
),J49)</f>
        <v>2177635.2857142859</v>
      </c>
      <c r="S49" s="4" t="str">
        <f t="shared" si="13"/>
        <v>Petrol over capacity | Diesel over capacity</v>
      </c>
      <c r="AB49" s="44">
        <f t="shared" si="14"/>
        <v>16085</v>
      </c>
      <c r="AC49" s="44">
        <f t="shared" si="15"/>
        <v>325936</v>
      </c>
      <c r="AD49" s="44">
        <f t="shared" si="16"/>
        <v>72571</v>
      </c>
      <c r="AE49" s="44">
        <f t="shared" si="17"/>
        <v>1832778</v>
      </c>
    </row>
    <row r="50" spans="7:31" ht="18" customHeight="1" x14ac:dyDescent="0.35">
      <c r="G50" s="37">
        <f t="shared" si="10"/>
        <v>46143</v>
      </c>
      <c r="H50" s="32"/>
      <c r="I50" s="32"/>
      <c r="J50" s="32"/>
      <c r="K50" s="32"/>
      <c r="L50" s="32"/>
      <c r="M50" s="52">
        <f t="shared" si="7"/>
        <v>0</v>
      </c>
      <c r="O50" s="27" t="str">
        <f t="shared" si="11"/>
        <v/>
      </c>
      <c r="P50" s="27" cm="1">
        <f t="array" ref="P50">IF(H50="",_xlfn.LET(
    _xlpm.vals,_xlfn._xlws.FILTER($I$5:I49,$I$5:I49&lt;&gt;"",""),
    _xlpm.avgJ,IF(COUNTA(_xlpm.vals)=0,0,AVERAGE(_xlfn.TAKE(_xlpm.vals,-MIN(7,ROWS(_xlpm.vals))))),
    _xlpm.addship,IF(O50="",0,O50),
    IF(
        AND(H49="",H50=""),
        P49-_xlpm.avgJ+_xlpm.addship,
        IF(
            H50="",
            H49-_xlpm.avgJ+_xlpm.addship,
            ""
        )
    )
),H50)</f>
        <v>835161</v>
      </c>
      <c r="Q50" s="27" t="str">
        <f t="shared" si="12"/>
        <v/>
      </c>
      <c r="R50" s="27" cm="1">
        <f t="array" ref="R50">IF(J50="",_xlfn.LET(
    _xlpm.vals,_xlfn._xlws.FILTER($M$5:M49,$M$5:M49&lt;&gt;"",""),
    _xlpm.avgJ,IF(COUNTA(_xlpm.vals)=0,0,AVERAGE(_xlfn.TAKE(_xlpm.vals,-MIN(7,ROWS(_xlpm.vals))))),
    _xlpm.addship,IF(Q50="",0,Q50),
    IF(
        AND(J49="",J50=""),
        R49-_xlpm.avgJ+_xlpm.addship,
        IF(
            J50="",
            J49-_xlpm.avgJ+_xlpm.addship,
            ""
        )
    )
),J50)</f>
        <v>2177635.2857142859</v>
      </c>
      <c r="S50" s="4" t="str">
        <f t="shared" si="13"/>
        <v>Petrol over capacity | Diesel over capacity</v>
      </c>
      <c r="AB50" s="44">
        <f t="shared" si="14"/>
        <v>16085</v>
      </c>
      <c r="AC50" s="44">
        <f t="shared" si="15"/>
        <v>325936</v>
      </c>
      <c r="AD50" s="44">
        <f t="shared" si="16"/>
        <v>72571</v>
      </c>
      <c r="AE50" s="44">
        <f t="shared" si="17"/>
        <v>1832778</v>
      </c>
    </row>
    <row r="51" spans="7:31" ht="18" customHeight="1" x14ac:dyDescent="0.35">
      <c r="G51" s="37">
        <f t="shared" si="10"/>
        <v>46144</v>
      </c>
      <c r="H51" s="32"/>
      <c r="I51" s="32"/>
      <c r="J51" s="32"/>
      <c r="K51" s="32"/>
      <c r="L51" s="32"/>
      <c r="M51" s="52">
        <f t="shared" si="7"/>
        <v>0</v>
      </c>
      <c r="O51" s="27" t="str">
        <f t="shared" si="11"/>
        <v/>
      </c>
      <c r="P51" s="27" cm="1">
        <f t="array" ref="P51">IF(H51="",_xlfn.LET(
    _xlpm.vals,_xlfn._xlws.FILTER($I$5:I50,$I$5:I50&lt;&gt;"",""),
    _xlpm.avgJ,IF(COUNTA(_xlpm.vals)=0,0,AVERAGE(_xlfn.TAKE(_xlpm.vals,-MIN(7,ROWS(_xlpm.vals))))),
    _xlpm.addship,IF(O51="",0,O51),
    IF(
        AND(H50="",H51=""),
        P50-_xlpm.avgJ+_xlpm.addship,
        IF(
            H51="",
            H50-_xlpm.avgJ+_xlpm.addship,
            ""
        )
    )
),H51)</f>
        <v>821131</v>
      </c>
      <c r="Q51" s="27" t="str">
        <f t="shared" si="12"/>
        <v/>
      </c>
      <c r="R51" s="27" cm="1">
        <f t="array" ref="R51">IF(J51="",_xlfn.LET(
    _xlpm.vals,_xlfn._xlws.FILTER($M$5:M50,$M$5:M50&lt;&gt;"",""),
    _xlpm.avgJ,IF(COUNTA(_xlpm.vals)=0,0,AVERAGE(_xlfn.TAKE(_xlpm.vals,-MIN(7,ROWS(_xlpm.vals))))),
    _xlpm.addship,IF(Q51="",0,Q51),
    IF(
        AND(J50="",J51=""),
        R50-_xlpm.avgJ+_xlpm.addship,
        IF(
            J51="",
            J50-_xlpm.avgJ+_xlpm.addship,
            ""
        )
    )
),J51)</f>
        <v>2177635.2857142859</v>
      </c>
      <c r="S51" s="4" t="str">
        <f t="shared" si="13"/>
        <v>Petrol over capacity | Diesel over capacity</v>
      </c>
      <c r="AB51" s="44">
        <f t="shared" si="14"/>
        <v>16085</v>
      </c>
      <c r="AC51" s="44">
        <f t="shared" si="15"/>
        <v>325936</v>
      </c>
      <c r="AD51" s="44">
        <f t="shared" si="16"/>
        <v>72571</v>
      </c>
      <c r="AE51" s="44">
        <f t="shared" si="17"/>
        <v>1832778</v>
      </c>
    </row>
    <row r="52" spans="7:31" ht="18" customHeight="1" x14ac:dyDescent="0.35">
      <c r="G52" s="37">
        <f t="shared" si="10"/>
        <v>46145</v>
      </c>
      <c r="H52" s="32"/>
      <c r="I52" s="32"/>
      <c r="J52" s="32"/>
      <c r="K52" s="32"/>
      <c r="L52" s="32"/>
      <c r="M52" s="52">
        <f t="shared" si="7"/>
        <v>0</v>
      </c>
      <c r="O52" s="27" t="str">
        <f t="shared" si="11"/>
        <v/>
      </c>
      <c r="P52" s="27" cm="1">
        <f t="array" ref="P52">IF(H52="",_xlfn.LET(
    _xlpm.vals,_xlfn._xlws.FILTER($I$5:I51,$I$5:I51&lt;&gt;"",""),
    _xlpm.avgJ,IF(COUNTA(_xlpm.vals)=0,0,AVERAGE(_xlfn.TAKE(_xlpm.vals,-MIN(7,ROWS(_xlpm.vals))))),
    _xlpm.addship,IF(O52="",0,O52),
    IF(
        AND(H51="",H52=""),
        P51-_xlpm.avgJ+_xlpm.addship,
        IF(
            H52="",
            H51-_xlpm.avgJ+_xlpm.addship,
            ""
        )
    )
),H52)</f>
        <v>807101</v>
      </c>
      <c r="Q52" s="27" t="str">
        <f t="shared" si="12"/>
        <v/>
      </c>
      <c r="R52" s="27" cm="1">
        <f t="array" ref="R52">IF(J52="",_xlfn.LET(
    _xlpm.vals,_xlfn._xlws.FILTER($M$5:M51,$M$5:M51&lt;&gt;"",""),
    _xlpm.avgJ,IF(COUNTA(_xlpm.vals)=0,0,AVERAGE(_xlfn.TAKE(_xlpm.vals,-MIN(7,ROWS(_xlpm.vals))))),
    _xlpm.addship,IF(Q52="",0,Q52),
    IF(
        AND(J51="",J52=""),
        R51-_xlpm.avgJ+_xlpm.addship,
        IF(
            J52="",
            J51-_xlpm.avgJ+_xlpm.addship,
            ""
        )
    )
),J52)</f>
        <v>2177635.2857142859</v>
      </c>
      <c r="S52" s="4" t="str">
        <f t="shared" si="13"/>
        <v>Petrol over capacity | Diesel over capacity</v>
      </c>
      <c r="AB52" s="44">
        <f t="shared" si="14"/>
        <v>16085</v>
      </c>
      <c r="AC52" s="44">
        <f t="shared" si="15"/>
        <v>325936</v>
      </c>
      <c r="AD52" s="44">
        <f t="shared" si="16"/>
        <v>72571</v>
      </c>
      <c r="AE52" s="44">
        <f t="shared" si="17"/>
        <v>1832778</v>
      </c>
    </row>
    <row r="53" spans="7:31" ht="18" customHeight="1" x14ac:dyDescent="0.35">
      <c r="G53" s="37">
        <f t="shared" si="10"/>
        <v>46146</v>
      </c>
      <c r="H53" s="32"/>
      <c r="I53" s="32"/>
      <c r="J53" s="32"/>
      <c r="K53" s="32"/>
      <c r="L53" s="32"/>
      <c r="M53" s="52">
        <f t="shared" si="7"/>
        <v>0</v>
      </c>
      <c r="O53" s="27" t="str">
        <f t="shared" si="11"/>
        <v/>
      </c>
      <c r="P53" s="27" cm="1">
        <f t="array" ref="P53">IF(H53="",_xlfn.LET(
    _xlpm.vals,_xlfn._xlws.FILTER($I$5:I52,$I$5:I52&lt;&gt;"",""),
    _xlpm.avgJ,IF(COUNTA(_xlpm.vals)=0,0,AVERAGE(_xlfn.TAKE(_xlpm.vals,-MIN(7,ROWS(_xlpm.vals))))),
    _xlpm.addship,IF(O53="",0,O53),
    IF(
        AND(H52="",H53=""),
        P52-_xlpm.avgJ+_xlpm.addship,
        IF(
            H53="",
            H52-_xlpm.avgJ+_xlpm.addship,
            ""
        )
    )
),H53)</f>
        <v>793071</v>
      </c>
      <c r="Q53" s="27" t="str">
        <f t="shared" si="12"/>
        <v/>
      </c>
      <c r="R53" s="27" cm="1">
        <f t="array" ref="R53">IF(J53="",_xlfn.LET(
    _xlpm.vals,_xlfn._xlws.FILTER($M$5:M52,$M$5:M52&lt;&gt;"",""),
    _xlpm.avgJ,IF(COUNTA(_xlpm.vals)=0,0,AVERAGE(_xlfn.TAKE(_xlpm.vals,-MIN(7,ROWS(_xlpm.vals))))),
    _xlpm.addship,IF(Q53="",0,Q53),
    IF(
        AND(J52="",J53=""),
        R52-_xlpm.avgJ+_xlpm.addship,
        IF(
            J53="",
            J52-_xlpm.avgJ+_xlpm.addship,
            ""
        )
    )
),J53)</f>
        <v>2177635.2857142859</v>
      </c>
      <c r="S53" s="4" t="str">
        <f t="shared" si="13"/>
        <v>Petrol over capacity | Diesel over capacity</v>
      </c>
      <c r="AB53" s="44">
        <f t="shared" si="14"/>
        <v>16085</v>
      </c>
      <c r="AC53" s="44">
        <f t="shared" si="15"/>
        <v>325936</v>
      </c>
      <c r="AD53" s="44">
        <f t="shared" si="16"/>
        <v>72571</v>
      </c>
      <c r="AE53" s="44">
        <f t="shared" si="17"/>
        <v>1832778</v>
      </c>
    </row>
    <row r="54" spans="7:31" ht="18" customHeight="1" x14ac:dyDescent="0.35">
      <c r="G54" s="37">
        <f t="shared" si="10"/>
        <v>46147</v>
      </c>
      <c r="H54" s="32"/>
      <c r="I54" s="32"/>
      <c r="J54" s="32"/>
      <c r="K54" s="32"/>
      <c r="L54" s="32"/>
      <c r="M54" s="52">
        <f t="shared" si="7"/>
        <v>0</v>
      </c>
      <c r="O54" s="27" t="str">
        <f t="shared" si="11"/>
        <v/>
      </c>
      <c r="P54" s="27" cm="1">
        <f t="array" ref="P54">IF(H54="",_xlfn.LET(
    _xlpm.vals,_xlfn._xlws.FILTER($I$5:I53,$I$5:I53&lt;&gt;"",""),
    _xlpm.avgJ,IF(COUNTA(_xlpm.vals)=0,0,AVERAGE(_xlfn.TAKE(_xlpm.vals,-MIN(7,ROWS(_xlpm.vals))))),
    _xlpm.addship,IF(O54="",0,O54),
    IF(
        AND(H53="",H54=""),
        P53-_xlpm.avgJ+_xlpm.addship,
        IF(
            H54="",
            H53-_xlpm.avgJ+_xlpm.addship,
            ""
        )
    )
),H54)</f>
        <v>779041</v>
      </c>
      <c r="Q54" s="27" t="str">
        <f t="shared" si="12"/>
        <v/>
      </c>
      <c r="R54" s="27" cm="1">
        <f t="array" ref="R54">IF(J54="",_xlfn.LET(
    _xlpm.vals,_xlfn._xlws.FILTER($M$5:M53,$M$5:M53&lt;&gt;"",""),
    _xlpm.avgJ,IF(COUNTA(_xlpm.vals)=0,0,AVERAGE(_xlfn.TAKE(_xlpm.vals,-MIN(7,ROWS(_xlpm.vals))))),
    _xlpm.addship,IF(Q54="",0,Q54),
    IF(
        AND(J53="",J54=""),
        R53-_xlpm.avgJ+_xlpm.addship,
        IF(
            J54="",
            J53-_xlpm.avgJ+_xlpm.addship,
            ""
        )
    )
),J54)</f>
        <v>2177635.2857142859</v>
      </c>
      <c r="S54" s="4" t="str">
        <f t="shared" si="13"/>
        <v>Petrol over capacity | Diesel over capacity</v>
      </c>
      <c r="AB54" s="44">
        <f t="shared" si="14"/>
        <v>16085</v>
      </c>
      <c r="AC54" s="44">
        <f t="shared" si="15"/>
        <v>325936</v>
      </c>
      <c r="AD54" s="44">
        <f t="shared" si="16"/>
        <v>72571</v>
      </c>
      <c r="AE54" s="44">
        <f t="shared" si="17"/>
        <v>1832778</v>
      </c>
    </row>
    <row r="55" spans="7:31" ht="18" customHeight="1" x14ac:dyDescent="0.35">
      <c r="G55" s="37">
        <f t="shared" si="10"/>
        <v>46148</v>
      </c>
      <c r="H55" s="32"/>
      <c r="I55" s="32"/>
      <c r="J55" s="32"/>
      <c r="K55" s="32"/>
      <c r="L55" s="32"/>
      <c r="M55" s="52">
        <f t="shared" si="7"/>
        <v>0</v>
      </c>
      <c r="O55" s="27" t="str">
        <f t="shared" si="11"/>
        <v/>
      </c>
      <c r="P55" s="27" cm="1">
        <f t="array" ref="P55">IF(H55="",_xlfn.LET(
    _xlpm.vals,_xlfn._xlws.FILTER($I$5:I54,$I$5:I54&lt;&gt;"",""),
    _xlpm.avgJ,IF(COUNTA(_xlpm.vals)=0,0,AVERAGE(_xlfn.TAKE(_xlpm.vals,-MIN(7,ROWS(_xlpm.vals))))),
    _xlpm.addship,IF(O55="",0,O55),
    IF(
        AND(H54="",H55=""),
        P54-_xlpm.avgJ+_xlpm.addship,
        IF(
            H55="",
            H54-_xlpm.avgJ+_xlpm.addship,
            ""
        )
    )
),H55)</f>
        <v>765011</v>
      </c>
      <c r="Q55" s="27" t="str">
        <f t="shared" si="12"/>
        <v/>
      </c>
      <c r="R55" s="27" cm="1">
        <f t="array" ref="R55">IF(J55="",_xlfn.LET(
    _xlpm.vals,_xlfn._xlws.FILTER($M$5:M54,$M$5:M54&lt;&gt;"",""),
    _xlpm.avgJ,IF(COUNTA(_xlpm.vals)=0,0,AVERAGE(_xlfn.TAKE(_xlpm.vals,-MIN(7,ROWS(_xlpm.vals))))),
    _xlpm.addship,IF(Q55="",0,Q55),
    IF(
        AND(J54="",J55=""),
        R54-_xlpm.avgJ+_xlpm.addship,
        IF(
            J55="",
            J54-_xlpm.avgJ+_xlpm.addship,
            ""
        )
    )
),J55)</f>
        <v>2177635.2857142859</v>
      </c>
      <c r="S55" s="4" t="str">
        <f t="shared" si="13"/>
        <v>Petrol over capacity | Diesel over capacity</v>
      </c>
      <c r="AB55" s="44">
        <f t="shared" si="14"/>
        <v>16085</v>
      </c>
      <c r="AC55" s="44">
        <f t="shared" si="15"/>
        <v>325936</v>
      </c>
      <c r="AD55" s="44">
        <f t="shared" si="16"/>
        <v>72571</v>
      </c>
      <c r="AE55" s="44">
        <f t="shared" si="17"/>
        <v>1832778</v>
      </c>
    </row>
    <row r="56" spans="7:31" ht="18" customHeight="1" x14ac:dyDescent="0.35">
      <c r="G56" s="37">
        <f t="shared" si="10"/>
        <v>46149</v>
      </c>
      <c r="H56" s="32"/>
      <c r="I56" s="32"/>
      <c r="J56" s="32"/>
      <c r="K56" s="32"/>
      <c r="L56" s="32"/>
      <c r="M56" s="52">
        <f t="shared" si="7"/>
        <v>0</v>
      </c>
      <c r="O56" s="27" t="str">
        <f t="shared" si="11"/>
        <v/>
      </c>
      <c r="P56" s="27" cm="1">
        <f t="array" ref="P56">IF(H56="",_xlfn.LET(
    _xlpm.vals,_xlfn._xlws.FILTER($I$5:I55,$I$5:I55&lt;&gt;"",""),
    _xlpm.avgJ,IF(COUNTA(_xlpm.vals)=0,0,AVERAGE(_xlfn.TAKE(_xlpm.vals,-MIN(7,ROWS(_xlpm.vals))))),
    _xlpm.addship,IF(O56="",0,O56),
    IF(
        AND(H55="",H56=""),
        P55-_xlpm.avgJ+_xlpm.addship,
        IF(
            H56="",
            H55-_xlpm.avgJ+_xlpm.addship,
            ""
        )
    )
),H56)</f>
        <v>750981</v>
      </c>
      <c r="Q56" s="27" t="str">
        <f t="shared" si="12"/>
        <v/>
      </c>
      <c r="R56" s="27" cm="1">
        <f t="array" ref="R56">IF(J56="",_xlfn.LET(
    _xlpm.vals,_xlfn._xlws.FILTER($M$5:M55,$M$5:M55&lt;&gt;"",""),
    _xlpm.avgJ,IF(COUNTA(_xlpm.vals)=0,0,AVERAGE(_xlfn.TAKE(_xlpm.vals,-MIN(7,ROWS(_xlpm.vals))))),
    _xlpm.addship,IF(Q56="",0,Q56),
    IF(
        AND(J55="",J56=""),
        R55-_xlpm.avgJ+_xlpm.addship,
        IF(
            J56="",
            J55-_xlpm.avgJ+_xlpm.addship,
            ""
        )
    )
),J56)</f>
        <v>2177635.2857142859</v>
      </c>
      <c r="S56" s="4" t="str">
        <f t="shared" si="13"/>
        <v>Petrol over capacity | Diesel over capacity</v>
      </c>
      <c r="AB56" s="44">
        <f t="shared" si="14"/>
        <v>16085</v>
      </c>
      <c r="AC56" s="44">
        <f t="shared" si="15"/>
        <v>325936</v>
      </c>
      <c r="AD56" s="44">
        <f t="shared" si="16"/>
        <v>72571</v>
      </c>
      <c r="AE56" s="44">
        <f t="shared" si="17"/>
        <v>1832778</v>
      </c>
    </row>
    <row r="57" spans="7:31" ht="18" customHeight="1" x14ac:dyDescent="0.35">
      <c r="G57" s="37">
        <f t="shared" si="10"/>
        <v>46150</v>
      </c>
      <c r="H57" s="32"/>
      <c r="I57" s="32"/>
      <c r="J57" s="32"/>
      <c r="K57" s="32"/>
      <c r="L57" s="32"/>
      <c r="M57" s="52">
        <f t="shared" si="7"/>
        <v>0</v>
      </c>
      <c r="O57" s="27" t="str">
        <f t="shared" si="11"/>
        <v/>
      </c>
      <c r="P57" s="27" cm="1">
        <f t="array" ref="P57">IF(H57="",_xlfn.LET(
    _xlpm.vals,_xlfn._xlws.FILTER($I$5:I56,$I$5:I56&lt;&gt;"",""),
    _xlpm.avgJ,IF(COUNTA(_xlpm.vals)=0,0,AVERAGE(_xlfn.TAKE(_xlpm.vals,-MIN(7,ROWS(_xlpm.vals))))),
    _xlpm.addship,IF(O57="",0,O57),
    IF(
        AND(H56="",H57=""),
        P56-_xlpm.avgJ+_xlpm.addship,
        IF(
            H57="",
            H56-_xlpm.avgJ+_xlpm.addship,
            ""
        )
    )
),H57)</f>
        <v>736951</v>
      </c>
      <c r="Q57" s="27" t="str">
        <f t="shared" si="12"/>
        <v/>
      </c>
      <c r="R57" s="27" cm="1">
        <f t="array" ref="R57">IF(J57="",_xlfn.LET(
    _xlpm.vals,_xlfn._xlws.FILTER($M$5:M56,$M$5:M56&lt;&gt;"",""),
    _xlpm.avgJ,IF(COUNTA(_xlpm.vals)=0,0,AVERAGE(_xlfn.TAKE(_xlpm.vals,-MIN(7,ROWS(_xlpm.vals))))),
    _xlpm.addship,IF(Q57="",0,Q57),
    IF(
        AND(J56="",J57=""),
        R56-_xlpm.avgJ+_xlpm.addship,
        IF(
            J57="",
            J56-_xlpm.avgJ+_xlpm.addship,
            ""
        )
    )
),J57)</f>
        <v>2177635.2857142859</v>
      </c>
      <c r="S57" s="4" t="str">
        <f t="shared" si="13"/>
        <v>Petrol over capacity | Diesel over capacity</v>
      </c>
      <c r="AB57" s="44">
        <f t="shared" si="14"/>
        <v>16085</v>
      </c>
      <c r="AC57" s="44">
        <f t="shared" si="15"/>
        <v>325936</v>
      </c>
      <c r="AD57" s="44">
        <f t="shared" si="16"/>
        <v>72571</v>
      </c>
      <c r="AE57" s="44">
        <f t="shared" si="17"/>
        <v>1832778</v>
      </c>
    </row>
    <row r="58" spans="7:31" ht="18" customHeight="1" x14ac:dyDescent="0.35">
      <c r="G58" s="37">
        <f t="shared" si="10"/>
        <v>46151</v>
      </c>
      <c r="H58" s="32"/>
      <c r="I58" s="32"/>
      <c r="J58" s="32"/>
      <c r="K58" s="32"/>
      <c r="L58" s="32"/>
      <c r="M58" s="52">
        <f t="shared" si="7"/>
        <v>0</v>
      </c>
      <c r="O58" s="27" t="str">
        <f t="shared" si="11"/>
        <v/>
      </c>
      <c r="P58" s="27" cm="1">
        <f t="array" ref="P58">IF(H58="",_xlfn.LET(
    _xlpm.vals,_xlfn._xlws.FILTER($I$5:I57,$I$5:I57&lt;&gt;"",""),
    _xlpm.avgJ,IF(COUNTA(_xlpm.vals)=0,0,AVERAGE(_xlfn.TAKE(_xlpm.vals,-MIN(7,ROWS(_xlpm.vals))))),
    _xlpm.addship,IF(O58="",0,O58),
    IF(
        AND(H57="",H58=""),
        P57-_xlpm.avgJ+_xlpm.addship,
        IF(
            H58="",
            H57-_xlpm.avgJ+_xlpm.addship,
            ""
        )
    )
),H58)</f>
        <v>722921</v>
      </c>
      <c r="Q58" s="27" t="str">
        <f t="shared" si="12"/>
        <v/>
      </c>
      <c r="R58" s="27" cm="1">
        <f t="array" ref="R58">IF(J58="",_xlfn.LET(
    _xlpm.vals,_xlfn._xlws.FILTER($M$5:M57,$M$5:M57&lt;&gt;"",""),
    _xlpm.avgJ,IF(COUNTA(_xlpm.vals)=0,0,AVERAGE(_xlfn.TAKE(_xlpm.vals,-MIN(7,ROWS(_xlpm.vals))))),
    _xlpm.addship,IF(Q58="",0,Q58),
    IF(
        AND(J57="",J58=""),
        R57-_xlpm.avgJ+_xlpm.addship,
        IF(
            J58="",
            J57-_xlpm.avgJ+_xlpm.addship,
            ""
        )
    )
),J58)</f>
        <v>2177635.2857142859</v>
      </c>
      <c r="S58" s="4" t="str">
        <f t="shared" si="13"/>
        <v>Petrol over capacity | Diesel over capacity</v>
      </c>
      <c r="AB58" s="44">
        <f t="shared" si="14"/>
        <v>16085</v>
      </c>
      <c r="AC58" s="44">
        <f t="shared" si="15"/>
        <v>325936</v>
      </c>
      <c r="AD58" s="44">
        <f t="shared" si="16"/>
        <v>72571</v>
      </c>
      <c r="AE58" s="44">
        <f t="shared" si="17"/>
        <v>1832778</v>
      </c>
    </row>
    <row r="59" spans="7:31" ht="18" customHeight="1" x14ac:dyDescent="0.35">
      <c r="G59" s="37">
        <f t="shared" si="10"/>
        <v>46152</v>
      </c>
      <c r="H59" s="32"/>
      <c r="I59" s="32"/>
      <c r="J59" s="32"/>
      <c r="K59" s="32"/>
      <c r="L59" s="32"/>
      <c r="M59" s="52">
        <f t="shared" si="7"/>
        <v>0</v>
      </c>
      <c r="O59" s="27" t="str">
        <f t="shared" si="11"/>
        <v/>
      </c>
      <c r="P59" s="27" cm="1">
        <f t="array" ref="P59">IF(H59="",_xlfn.LET(
    _xlpm.vals,_xlfn._xlws.FILTER($I$5:I58,$I$5:I58&lt;&gt;"",""),
    _xlpm.avgJ,IF(COUNTA(_xlpm.vals)=0,0,AVERAGE(_xlfn.TAKE(_xlpm.vals,-MIN(7,ROWS(_xlpm.vals))))),
    _xlpm.addship,IF(O59="",0,O59),
    IF(
        AND(H58="",H59=""),
        P58-_xlpm.avgJ+_xlpm.addship,
        IF(
            H59="",
            H58-_xlpm.avgJ+_xlpm.addship,
            ""
        )
    )
),H59)</f>
        <v>708891</v>
      </c>
      <c r="Q59" s="27" t="str">
        <f t="shared" si="12"/>
        <v/>
      </c>
      <c r="R59" s="27" cm="1">
        <f t="array" ref="R59">IF(J59="",_xlfn.LET(
    _xlpm.vals,_xlfn._xlws.FILTER($M$5:M58,$M$5:M58&lt;&gt;"",""),
    _xlpm.avgJ,IF(COUNTA(_xlpm.vals)=0,0,AVERAGE(_xlfn.TAKE(_xlpm.vals,-MIN(7,ROWS(_xlpm.vals))))),
    _xlpm.addship,IF(Q59="",0,Q59),
    IF(
        AND(J58="",J59=""),
        R58-_xlpm.avgJ+_xlpm.addship,
        IF(
            J59="",
            J58-_xlpm.avgJ+_xlpm.addship,
            ""
        )
    )
),J59)</f>
        <v>2177635.2857142859</v>
      </c>
      <c r="S59" s="4" t="str">
        <f t="shared" si="13"/>
        <v>Petrol over capacity | Diesel over capacity</v>
      </c>
      <c r="AB59" s="44">
        <f t="shared" si="14"/>
        <v>16085</v>
      </c>
      <c r="AC59" s="44">
        <f t="shared" si="15"/>
        <v>325936</v>
      </c>
      <c r="AD59" s="44">
        <f t="shared" si="16"/>
        <v>72571</v>
      </c>
      <c r="AE59" s="44">
        <f t="shared" si="17"/>
        <v>1832778</v>
      </c>
    </row>
    <row r="60" spans="7:31" ht="18" customHeight="1" x14ac:dyDescent="0.35">
      <c r="G60" s="37">
        <f t="shared" si="10"/>
        <v>46153</v>
      </c>
      <c r="H60" s="32"/>
      <c r="I60" s="32"/>
      <c r="J60" s="32"/>
      <c r="K60" s="32"/>
      <c r="L60" s="32"/>
      <c r="M60" s="52">
        <f t="shared" si="7"/>
        <v>0</v>
      </c>
      <c r="O60" s="27" t="str">
        <f t="shared" si="11"/>
        <v/>
      </c>
      <c r="P60" s="27" cm="1">
        <f t="array" ref="P60">IF(H60="",_xlfn.LET(
    _xlpm.vals,_xlfn._xlws.FILTER($I$5:I59,$I$5:I59&lt;&gt;"",""),
    _xlpm.avgJ,IF(COUNTA(_xlpm.vals)=0,0,AVERAGE(_xlfn.TAKE(_xlpm.vals,-MIN(7,ROWS(_xlpm.vals))))),
    _xlpm.addship,IF(O60="",0,O60),
    IF(
        AND(H59="",H60=""),
        P59-_xlpm.avgJ+_xlpm.addship,
        IF(
            H60="",
            H59-_xlpm.avgJ+_xlpm.addship,
            ""
        )
    )
),H60)</f>
        <v>694861</v>
      </c>
      <c r="Q60" s="27" t="str">
        <f t="shared" si="12"/>
        <v/>
      </c>
      <c r="R60" s="27" cm="1">
        <f t="array" ref="R60">IF(J60="",_xlfn.LET(
    _xlpm.vals,_xlfn._xlws.FILTER($M$5:M59,$M$5:M59&lt;&gt;"",""),
    _xlpm.avgJ,IF(COUNTA(_xlpm.vals)=0,0,AVERAGE(_xlfn.TAKE(_xlpm.vals,-MIN(7,ROWS(_xlpm.vals))))),
    _xlpm.addship,IF(Q60="",0,Q60),
    IF(
        AND(J59="",J60=""),
        R59-_xlpm.avgJ+_xlpm.addship,
        IF(
            J60="",
            J59-_xlpm.avgJ+_xlpm.addship,
            ""
        )
    )
),J60)</f>
        <v>2177635.2857142859</v>
      </c>
      <c r="S60" s="4" t="str">
        <f t="shared" si="13"/>
        <v>Petrol over capacity | Diesel over capacity</v>
      </c>
      <c r="AB60" s="44">
        <f t="shared" si="14"/>
        <v>16085</v>
      </c>
      <c r="AC60" s="44">
        <f t="shared" si="15"/>
        <v>325936</v>
      </c>
      <c r="AD60" s="44">
        <f t="shared" si="16"/>
        <v>72571</v>
      </c>
      <c r="AE60" s="44">
        <f t="shared" si="17"/>
        <v>1832778</v>
      </c>
    </row>
    <row r="61" spans="7:31" ht="18" customHeight="1" x14ac:dyDescent="0.35">
      <c r="G61" s="37">
        <f t="shared" si="10"/>
        <v>46154</v>
      </c>
      <c r="H61" s="32"/>
      <c r="I61" s="32"/>
      <c r="J61" s="32"/>
      <c r="K61" s="32"/>
      <c r="L61" s="32"/>
      <c r="M61" s="52">
        <f t="shared" si="7"/>
        <v>0</v>
      </c>
      <c r="O61" s="27" t="str">
        <f t="shared" si="11"/>
        <v/>
      </c>
      <c r="P61" s="27" cm="1">
        <f t="array" ref="P61">IF(H61="",_xlfn.LET(
    _xlpm.vals,_xlfn._xlws.FILTER($I$5:I60,$I$5:I60&lt;&gt;"",""),
    _xlpm.avgJ,IF(COUNTA(_xlpm.vals)=0,0,AVERAGE(_xlfn.TAKE(_xlpm.vals,-MIN(7,ROWS(_xlpm.vals))))),
    _xlpm.addship,IF(O61="",0,O61),
    IF(
        AND(H60="",H61=""),
        P60-_xlpm.avgJ+_xlpm.addship,
        IF(
            H61="",
            H60-_xlpm.avgJ+_xlpm.addship,
            ""
        )
    )
),H61)</f>
        <v>680831</v>
      </c>
      <c r="Q61" s="27" t="str">
        <f t="shared" si="12"/>
        <v/>
      </c>
      <c r="R61" s="27" cm="1">
        <f t="array" ref="R61">IF(J61="",_xlfn.LET(
    _xlpm.vals,_xlfn._xlws.FILTER($M$5:M60,$M$5:M60&lt;&gt;"",""),
    _xlpm.avgJ,IF(COUNTA(_xlpm.vals)=0,0,AVERAGE(_xlfn.TAKE(_xlpm.vals,-MIN(7,ROWS(_xlpm.vals))))),
    _xlpm.addship,IF(Q61="",0,Q61),
    IF(
        AND(J60="",J61=""),
        R60-_xlpm.avgJ+_xlpm.addship,
        IF(
            J61="",
            J60-_xlpm.avgJ+_xlpm.addship,
            ""
        )
    )
),J61)</f>
        <v>2177635.2857142859</v>
      </c>
      <c r="S61" s="4" t="str">
        <f t="shared" si="13"/>
        <v>Petrol over capacity | Diesel over capacity</v>
      </c>
      <c r="AB61" s="44">
        <f t="shared" si="14"/>
        <v>16085</v>
      </c>
      <c r="AC61" s="44">
        <f t="shared" si="15"/>
        <v>325936</v>
      </c>
      <c r="AD61" s="44">
        <f t="shared" si="16"/>
        <v>72571</v>
      </c>
      <c r="AE61" s="44">
        <f t="shared" si="17"/>
        <v>1832778</v>
      </c>
    </row>
    <row r="62" spans="7:31" ht="18" customHeight="1" x14ac:dyDescent="0.35">
      <c r="G62" s="37">
        <f t="shared" si="10"/>
        <v>46155</v>
      </c>
      <c r="H62" s="32"/>
      <c r="I62" s="32"/>
      <c r="J62" s="32"/>
      <c r="K62" s="32"/>
      <c r="L62" s="32"/>
      <c r="M62" s="52">
        <f t="shared" si="7"/>
        <v>0</v>
      </c>
      <c r="O62" s="27" t="str">
        <f t="shared" si="11"/>
        <v/>
      </c>
      <c r="P62" s="27" cm="1">
        <f t="array" ref="P62">IF(H62="",_xlfn.LET(
    _xlpm.vals,_xlfn._xlws.FILTER($I$5:I61,$I$5:I61&lt;&gt;"",""),
    _xlpm.avgJ,IF(COUNTA(_xlpm.vals)=0,0,AVERAGE(_xlfn.TAKE(_xlpm.vals,-MIN(7,ROWS(_xlpm.vals))))),
    _xlpm.addship,IF(O62="",0,O62),
    IF(
        AND(H61="",H62=""),
        P61-_xlpm.avgJ+_xlpm.addship,
        IF(
            H62="",
            H61-_xlpm.avgJ+_xlpm.addship,
            ""
        )
    )
),H62)</f>
        <v>666801</v>
      </c>
      <c r="Q62" s="27" t="str">
        <f t="shared" si="12"/>
        <v/>
      </c>
      <c r="R62" s="27" cm="1">
        <f t="array" ref="R62">IF(J62="",_xlfn.LET(
    _xlpm.vals,_xlfn._xlws.FILTER($M$5:M61,$M$5:M61&lt;&gt;"",""),
    _xlpm.avgJ,IF(COUNTA(_xlpm.vals)=0,0,AVERAGE(_xlfn.TAKE(_xlpm.vals,-MIN(7,ROWS(_xlpm.vals))))),
    _xlpm.addship,IF(Q62="",0,Q62),
    IF(
        AND(J61="",J62=""),
        R61-_xlpm.avgJ+_xlpm.addship,
        IF(
            J62="",
            J61-_xlpm.avgJ+_xlpm.addship,
            ""
        )
    )
),J62)</f>
        <v>2177635.2857142859</v>
      </c>
      <c r="S62" s="4" t="str">
        <f t="shared" si="13"/>
        <v>Petrol over capacity | Diesel over capacity</v>
      </c>
      <c r="AB62" s="44">
        <f t="shared" si="14"/>
        <v>16085</v>
      </c>
      <c r="AC62" s="44">
        <f t="shared" si="15"/>
        <v>325936</v>
      </c>
      <c r="AD62" s="44">
        <f t="shared" si="16"/>
        <v>72571</v>
      </c>
      <c r="AE62" s="44">
        <f t="shared" si="17"/>
        <v>1832778</v>
      </c>
    </row>
    <row r="63" spans="7:31" ht="18" customHeight="1" x14ac:dyDescent="0.35">
      <c r="G63" s="37">
        <f t="shared" si="10"/>
        <v>46156</v>
      </c>
      <c r="H63" s="32"/>
      <c r="I63" s="32"/>
      <c r="J63" s="32"/>
      <c r="K63" s="32"/>
      <c r="L63" s="32"/>
      <c r="M63" s="52">
        <f t="shared" si="7"/>
        <v>0</v>
      </c>
      <c r="O63" s="27" t="str">
        <f t="shared" si="11"/>
        <v/>
      </c>
      <c r="P63" s="27" cm="1">
        <f t="array" ref="P63">IF(H63="",_xlfn.LET(
    _xlpm.vals,_xlfn._xlws.FILTER($I$5:I62,$I$5:I62&lt;&gt;"",""),
    _xlpm.avgJ,IF(COUNTA(_xlpm.vals)=0,0,AVERAGE(_xlfn.TAKE(_xlpm.vals,-MIN(7,ROWS(_xlpm.vals))))),
    _xlpm.addship,IF(O63="",0,O63),
    IF(
        AND(H62="",H63=""),
        P62-_xlpm.avgJ+_xlpm.addship,
        IF(
            H63="",
            H62-_xlpm.avgJ+_xlpm.addship,
            ""
        )
    )
),H63)</f>
        <v>652771</v>
      </c>
      <c r="Q63" s="27" t="str">
        <f t="shared" si="12"/>
        <v/>
      </c>
      <c r="R63" s="27" cm="1">
        <f t="array" ref="R63">IF(J63="",_xlfn.LET(
    _xlpm.vals,_xlfn._xlws.FILTER($M$5:M62,$M$5:M62&lt;&gt;"",""),
    _xlpm.avgJ,IF(COUNTA(_xlpm.vals)=0,0,AVERAGE(_xlfn.TAKE(_xlpm.vals,-MIN(7,ROWS(_xlpm.vals))))),
    _xlpm.addship,IF(Q63="",0,Q63),
    IF(
        AND(J62="",J63=""),
        R62-_xlpm.avgJ+_xlpm.addship,
        IF(
            J63="",
            J62-_xlpm.avgJ+_xlpm.addship,
            ""
        )
    )
),J63)</f>
        <v>2177635.2857142859</v>
      </c>
      <c r="S63" s="4" t="str">
        <f t="shared" si="13"/>
        <v>Petrol over capacity | Diesel over capacity</v>
      </c>
      <c r="AB63" s="44">
        <f t="shared" si="14"/>
        <v>16085</v>
      </c>
      <c r="AC63" s="44">
        <f t="shared" si="15"/>
        <v>325936</v>
      </c>
      <c r="AD63" s="44">
        <f t="shared" si="16"/>
        <v>72571</v>
      </c>
      <c r="AE63" s="44">
        <f t="shared" si="17"/>
        <v>1832778</v>
      </c>
    </row>
    <row r="64" spans="7:31" ht="18" customHeight="1" x14ac:dyDescent="0.35">
      <c r="G64" s="37">
        <f t="shared" si="10"/>
        <v>46157</v>
      </c>
      <c r="H64" s="32"/>
      <c r="I64" s="32"/>
      <c r="J64" s="32"/>
      <c r="K64" s="32"/>
      <c r="L64" s="32"/>
      <c r="M64" s="52">
        <f t="shared" si="7"/>
        <v>0</v>
      </c>
      <c r="O64" s="27">
        <f t="shared" si="11"/>
        <v>405000</v>
      </c>
      <c r="P64" s="27" cm="1">
        <f t="array" ref="P64">IF(H64="",_xlfn.LET(
    _xlpm.vals,_xlfn._xlws.FILTER($I$5:I63,$I$5:I63&lt;&gt;"",""),
    _xlpm.avgJ,IF(COUNTA(_xlpm.vals)=0,0,AVERAGE(_xlfn.TAKE(_xlpm.vals,-MIN(7,ROWS(_xlpm.vals))))),
    _xlpm.addship,IF(O64="",0,O64),
    IF(
        AND(H63="",H64=""),
        P63-_xlpm.avgJ+_xlpm.addship,
        IF(
            H64="",
            H63-_xlpm.avgJ+_xlpm.addship,
            ""
        )
    )
),H64)</f>
        <v>1043741</v>
      </c>
      <c r="Q64" s="27">
        <f t="shared" si="12"/>
        <v>1700000</v>
      </c>
      <c r="R64" s="27" cm="1">
        <f t="array" ref="R64">IF(J64="",_xlfn.LET(
    _xlpm.vals,_xlfn._xlws.FILTER($M$5:M63,$M$5:M63&lt;&gt;"",""),
    _xlpm.avgJ,IF(COUNTA(_xlpm.vals)=0,0,AVERAGE(_xlfn.TAKE(_xlpm.vals,-MIN(7,ROWS(_xlpm.vals))))),
    _xlpm.addship,IF(Q64="",0,Q64),
    IF(
        AND(J63="",J64=""),
        R63-_xlpm.avgJ+_xlpm.addship,
        IF(
            J64="",
            J63-_xlpm.avgJ+_xlpm.addship,
            ""
        )
    )
),J64)</f>
        <v>3877635.2857142859</v>
      </c>
      <c r="S64" s="4" t="str">
        <f t="shared" si="13"/>
        <v>Petrol over capacity | Diesel over capacity</v>
      </c>
      <c r="AB64" s="44">
        <f t="shared" si="14"/>
        <v>16085</v>
      </c>
      <c r="AC64" s="44">
        <f t="shared" si="15"/>
        <v>325936</v>
      </c>
      <c r="AD64" s="44">
        <f t="shared" si="16"/>
        <v>72571</v>
      </c>
      <c r="AE64" s="44">
        <f t="shared" si="17"/>
        <v>1832778</v>
      </c>
    </row>
    <row r="65" spans="7:31" ht="18" customHeight="1" x14ac:dyDescent="0.35">
      <c r="G65" s="37">
        <f t="shared" si="10"/>
        <v>46158</v>
      </c>
      <c r="H65" s="32"/>
      <c r="I65" s="32"/>
      <c r="J65" s="32"/>
      <c r="K65" s="32"/>
      <c r="L65" s="32"/>
      <c r="M65" s="52">
        <f t="shared" si="7"/>
        <v>0</v>
      </c>
      <c r="O65" s="27" t="str">
        <f t="shared" si="11"/>
        <v/>
      </c>
      <c r="P65" s="27" cm="1">
        <f t="array" ref="P65">IF(H65="",_xlfn.LET(
    _xlpm.vals,_xlfn._xlws.FILTER($I$5:I64,$I$5:I64&lt;&gt;"",""),
    _xlpm.avgJ,IF(COUNTA(_xlpm.vals)=0,0,AVERAGE(_xlfn.TAKE(_xlpm.vals,-MIN(7,ROWS(_xlpm.vals))))),
    _xlpm.addship,IF(O65="",0,O65),
    IF(
        AND(H64="",H65=""),
        P64-_xlpm.avgJ+_xlpm.addship,
        IF(
            H65="",
            H64-_xlpm.avgJ+_xlpm.addship,
            ""
        )
    )
),H65)</f>
        <v>1029711</v>
      </c>
      <c r="Q65" s="27" t="str">
        <f t="shared" si="12"/>
        <v/>
      </c>
      <c r="R65" s="27" cm="1">
        <f t="array" ref="R65">IF(J65="",_xlfn.LET(
    _xlpm.vals,_xlfn._xlws.FILTER($M$5:M64,$M$5:M64&lt;&gt;"",""),
    _xlpm.avgJ,IF(COUNTA(_xlpm.vals)=0,0,AVERAGE(_xlfn.TAKE(_xlpm.vals,-MIN(7,ROWS(_xlpm.vals))))),
    _xlpm.addship,IF(Q65="",0,Q65),
    IF(
        AND(J64="",J65=""),
        R64-_xlpm.avgJ+_xlpm.addship,
        IF(
            J65="",
            J64-_xlpm.avgJ+_xlpm.addship,
            ""
        )
    )
),J65)</f>
        <v>3877635.2857142859</v>
      </c>
      <c r="S65" s="4" t="str">
        <f t="shared" si="13"/>
        <v>Petrol over capacity | Diesel over capacity</v>
      </c>
      <c r="AB65" s="44">
        <f t="shared" si="14"/>
        <v>16085</v>
      </c>
      <c r="AC65" s="44">
        <f t="shared" si="15"/>
        <v>325936</v>
      </c>
      <c r="AD65" s="44">
        <f t="shared" si="16"/>
        <v>72571</v>
      </c>
      <c r="AE65" s="44">
        <f t="shared" si="17"/>
        <v>1832778</v>
      </c>
    </row>
    <row r="66" spans="7:31" ht="18" customHeight="1" x14ac:dyDescent="0.35">
      <c r="G66" s="37">
        <f t="shared" si="10"/>
        <v>46159</v>
      </c>
      <c r="H66" s="32"/>
      <c r="I66" s="32"/>
      <c r="J66" s="32"/>
      <c r="K66" s="32"/>
      <c r="L66" s="32"/>
      <c r="M66" s="52">
        <f t="shared" si="7"/>
        <v>0</v>
      </c>
      <c r="O66" s="27" t="str">
        <f t="shared" si="11"/>
        <v/>
      </c>
      <c r="P66" s="27" cm="1">
        <f t="array" ref="P66">IF(H66="",_xlfn.LET(
    _xlpm.vals,_xlfn._xlws.FILTER($I$5:I65,$I$5:I65&lt;&gt;"",""),
    _xlpm.avgJ,IF(COUNTA(_xlpm.vals)=0,0,AVERAGE(_xlfn.TAKE(_xlpm.vals,-MIN(7,ROWS(_xlpm.vals))))),
    _xlpm.addship,IF(O66="",0,O66),
    IF(
        AND(H65="",H66=""),
        P65-_xlpm.avgJ+_xlpm.addship,
        IF(
            H66="",
            H65-_xlpm.avgJ+_xlpm.addship,
            ""
        )
    )
),H66)</f>
        <v>1015681</v>
      </c>
      <c r="Q66" s="27" t="str">
        <f t="shared" si="12"/>
        <v/>
      </c>
      <c r="R66" s="27" cm="1">
        <f t="array" ref="R66">IF(J66="",_xlfn.LET(
    _xlpm.vals,_xlfn._xlws.FILTER($M$5:M65,$M$5:M65&lt;&gt;"",""),
    _xlpm.avgJ,IF(COUNTA(_xlpm.vals)=0,0,AVERAGE(_xlfn.TAKE(_xlpm.vals,-MIN(7,ROWS(_xlpm.vals))))),
    _xlpm.addship,IF(Q66="",0,Q66),
    IF(
        AND(J65="",J66=""),
        R65-_xlpm.avgJ+_xlpm.addship,
        IF(
            J66="",
            J65-_xlpm.avgJ+_xlpm.addship,
            ""
        )
    )
),J66)</f>
        <v>3877635.2857142859</v>
      </c>
      <c r="S66" s="4" t="str">
        <f t="shared" si="13"/>
        <v>Petrol over capacity | Diesel over capacity</v>
      </c>
      <c r="AB66" s="44">
        <f t="shared" si="14"/>
        <v>16085</v>
      </c>
      <c r="AC66" s="44">
        <f t="shared" si="15"/>
        <v>325936</v>
      </c>
      <c r="AD66" s="44">
        <f t="shared" si="16"/>
        <v>72571</v>
      </c>
      <c r="AE66" s="44">
        <f t="shared" si="17"/>
        <v>1832778</v>
      </c>
    </row>
    <row r="67" spans="7:31" ht="18" customHeight="1" x14ac:dyDescent="0.35">
      <c r="G67" s="37">
        <f t="shared" si="10"/>
        <v>46160</v>
      </c>
      <c r="H67" s="32"/>
      <c r="I67" s="32"/>
      <c r="J67" s="32"/>
      <c r="K67" s="32"/>
      <c r="L67" s="32"/>
      <c r="M67" s="52">
        <f t="shared" si="7"/>
        <v>0</v>
      </c>
      <c r="O67" s="27" t="str">
        <f t="shared" si="11"/>
        <v/>
      </c>
      <c r="P67" s="27" cm="1">
        <f t="array" ref="P67">IF(H67="",_xlfn.LET(
    _xlpm.vals,_xlfn._xlws.FILTER($I$5:I66,$I$5:I66&lt;&gt;"",""),
    _xlpm.avgJ,IF(COUNTA(_xlpm.vals)=0,0,AVERAGE(_xlfn.TAKE(_xlpm.vals,-MIN(7,ROWS(_xlpm.vals))))),
    _xlpm.addship,IF(O67="",0,O67),
    IF(
        AND(H66="",H67=""),
        P66-_xlpm.avgJ+_xlpm.addship,
        IF(
            H67="",
            H66-_xlpm.avgJ+_xlpm.addship,
            ""
        )
    )
),H67)</f>
        <v>1001651</v>
      </c>
      <c r="Q67" s="27" t="str">
        <f t="shared" si="12"/>
        <v/>
      </c>
      <c r="R67" s="27" cm="1">
        <f t="array" ref="R67">IF(J67="",_xlfn.LET(
    _xlpm.vals,_xlfn._xlws.FILTER($M$5:M66,$M$5:M66&lt;&gt;"",""),
    _xlpm.avgJ,IF(COUNTA(_xlpm.vals)=0,0,AVERAGE(_xlfn.TAKE(_xlpm.vals,-MIN(7,ROWS(_xlpm.vals))))),
    _xlpm.addship,IF(Q67="",0,Q67),
    IF(
        AND(J66="",J67=""),
        R66-_xlpm.avgJ+_xlpm.addship,
        IF(
            J67="",
            J66-_xlpm.avgJ+_xlpm.addship,
            ""
        )
    )
),J67)</f>
        <v>3877635.2857142859</v>
      </c>
      <c r="S67" s="4" t="str">
        <f t="shared" si="13"/>
        <v>Petrol over capacity | Diesel over capacity</v>
      </c>
      <c r="AB67" s="44">
        <f t="shared" si="14"/>
        <v>16085</v>
      </c>
      <c r="AC67" s="44">
        <f t="shared" si="15"/>
        <v>325936</v>
      </c>
      <c r="AD67" s="44">
        <f t="shared" si="16"/>
        <v>72571</v>
      </c>
      <c r="AE67" s="44">
        <f t="shared" si="17"/>
        <v>1832778</v>
      </c>
    </row>
    <row r="68" spans="7:31" ht="18" customHeight="1" x14ac:dyDescent="0.35">
      <c r="G68" s="37">
        <f t="shared" si="10"/>
        <v>46161</v>
      </c>
      <c r="H68" s="32"/>
      <c r="I68" s="32"/>
      <c r="J68" s="32"/>
      <c r="K68" s="32"/>
      <c r="L68" s="32"/>
      <c r="M68" s="52">
        <f t="shared" si="7"/>
        <v>0</v>
      </c>
      <c r="O68" s="27" t="str">
        <f t="shared" si="11"/>
        <v/>
      </c>
      <c r="P68" s="27" cm="1">
        <f t="array" ref="P68">IF(H68="",_xlfn.LET(
    _xlpm.vals,_xlfn._xlws.FILTER($I$5:I67,$I$5:I67&lt;&gt;"",""),
    _xlpm.avgJ,IF(COUNTA(_xlpm.vals)=0,0,AVERAGE(_xlfn.TAKE(_xlpm.vals,-MIN(7,ROWS(_xlpm.vals))))),
    _xlpm.addship,IF(O68="",0,O68),
    IF(
        AND(H67="",H68=""),
        P67-_xlpm.avgJ+_xlpm.addship,
        IF(
            H68="",
            H67-_xlpm.avgJ+_xlpm.addship,
            ""
        )
    )
),H68)</f>
        <v>987621</v>
      </c>
      <c r="Q68" s="27" t="str">
        <f t="shared" si="12"/>
        <v/>
      </c>
      <c r="R68" s="27" cm="1">
        <f t="array" ref="R68">IF(J68="",_xlfn.LET(
    _xlpm.vals,_xlfn._xlws.FILTER($M$5:M67,$M$5:M67&lt;&gt;"",""),
    _xlpm.avgJ,IF(COUNTA(_xlpm.vals)=0,0,AVERAGE(_xlfn.TAKE(_xlpm.vals,-MIN(7,ROWS(_xlpm.vals))))),
    _xlpm.addship,IF(Q68="",0,Q68),
    IF(
        AND(J67="",J68=""),
        R67-_xlpm.avgJ+_xlpm.addship,
        IF(
            J68="",
            J67-_xlpm.avgJ+_xlpm.addship,
            ""
        )
    )
),J68)</f>
        <v>3877635.2857142859</v>
      </c>
      <c r="S68" s="4" t="str">
        <f t="shared" si="13"/>
        <v>Petrol over capacity | Diesel over capacity</v>
      </c>
      <c r="AB68" s="44">
        <f t="shared" si="14"/>
        <v>16085</v>
      </c>
      <c r="AC68" s="44">
        <f t="shared" si="15"/>
        <v>325936</v>
      </c>
      <c r="AD68" s="44">
        <f t="shared" si="16"/>
        <v>72571</v>
      </c>
      <c r="AE68" s="44">
        <f t="shared" si="17"/>
        <v>1832778</v>
      </c>
    </row>
    <row r="69" spans="7:31" ht="18" customHeight="1" x14ac:dyDescent="0.35">
      <c r="G69" s="37">
        <f t="shared" si="10"/>
        <v>46162</v>
      </c>
      <c r="H69" s="32"/>
      <c r="I69" s="32"/>
      <c r="J69" s="32"/>
      <c r="K69" s="32"/>
      <c r="L69" s="32"/>
      <c r="M69" s="52">
        <f t="shared" si="7"/>
        <v>0</v>
      </c>
      <c r="O69" s="27" t="str">
        <f t="shared" ref="O69:O100" si="18">IF(H69="",IFERROR(_xlfn.XLOOKUP(G69,$B$8:$B$12,$C$8:$C$12,""),""),"")</f>
        <v/>
      </c>
      <c r="P69" s="27" cm="1">
        <f t="array" ref="P69">IF(H69="",_xlfn.LET(
    _xlpm.vals,_xlfn._xlws.FILTER($I$5:I68,$I$5:I68&lt;&gt;"",""),
    _xlpm.avgJ,IF(COUNTA(_xlpm.vals)=0,0,AVERAGE(_xlfn.TAKE(_xlpm.vals,-MIN(7,ROWS(_xlpm.vals))))),
    _xlpm.addship,IF(O69="",0,O69),
    IF(
        AND(H68="",H69=""),
        P68-_xlpm.avgJ+_xlpm.addship,
        IF(
            H69="",
            H68-_xlpm.avgJ+_xlpm.addship,
            ""
        )
    )
),H69)</f>
        <v>973591</v>
      </c>
      <c r="Q69" s="27" t="str">
        <f t="shared" ref="Q69:Q100" si="19">IF(J69="",IFERROR(_xlfn.XLOOKUP(G69,$B$8:$B$12,$D$8:$D$12,""),""),"")</f>
        <v/>
      </c>
      <c r="R69" s="27" cm="1">
        <f t="array" ref="R69">IF(J69="",_xlfn.LET(
    _xlpm.vals,_xlfn._xlws.FILTER($M$5:M68,$M$5:M68&lt;&gt;"",""),
    _xlpm.avgJ,IF(COUNTA(_xlpm.vals)=0,0,AVERAGE(_xlfn.TAKE(_xlpm.vals,-MIN(7,ROWS(_xlpm.vals))))),
    _xlpm.addship,IF(Q69="",0,Q69),
    IF(
        AND(J68="",J69=""),
        R68-_xlpm.avgJ+_xlpm.addship,
        IF(
            J69="",
            J68-_xlpm.avgJ+_xlpm.addship,
            ""
        )
    )
),J69)</f>
        <v>3877635.2857142859</v>
      </c>
      <c r="S69" s="4" t="str">
        <f t="shared" ref="S69:S100" si="20">IF(AND(P69="",R69=""),"",
_xlfn.LET(
_xlpm.msgs,
_xlfn.TEXTJOIN(" | ",TRUE,
IF(P69&gt;$C$21,"Petrol over capacity",""),
IF(P69&lt;$C$22,"Petrol stock out",""),
IF(R69&gt;$D$21,"Diesel over capacity",""),
IF(R69&lt;$D$22,"Diesel stock out","")
),
IF(_xlpm.msgs="","",_xlpm.msgs)
))</f>
        <v>Petrol over capacity | Diesel over capacity</v>
      </c>
      <c r="AB69" s="44">
        <f t="shared" ref="AB69:AB100" si="21">$C$22</f>
        <v>16085</v>
      </c>
      <c r="AC69" s="44">
        <f t="shared" ref="AC69:AC100" si="22">$C$21</f>
        <v>325936</v>
      </c>
      <c r="AD69" s="44">
        <f t="shared" ref="AD69:AD100" si="23">$D$22</f>
        <v>72571</v>
      </c>
      <c r="AE69" s="44">
        <f t="shared" ref="AE69:AE100" si="24">$D$21</f>
        <v>1832778</v>
      </c>
    </row>
    <row r="70" spans="7:31" ht="18" customHeight="1" x14ac:dyDescent="0.35">
      <c r="G70" s="37">
        <f t="shared" si="10"/>
        <v>46163</v>
      </c>
      <c r="H70" s="32"/>
      <c r="I70" s="32"/>
      <c r="J70" s="32"/>
      <c r="K70" s="32"/>
      <c r="L70" s="32"/>
      <c r="M70" s="52">
        <f t="shared" ref="M70:M110" si="25">SUM(K70:L70)</f>
        <v>0</v>
      </c>
      <c r="O70" s="27" t="str">
        <f t="shared" si="18"/>
        <v/>
      </c>
      <c r="P70" s="27" cm="1">
        <f t="array" ref="P70">IF(H70="",_xlfn.LET(
    _xlpm.vals,_xlfn._xlws.FILTER($I$5:I69,$I$5:I69&lt;&gt;"",""),
    _xlpm.avgJ,IF(COUNTA(_xlpm.vals)=0,0,AVERAGE(_xlfn.TAKE(_xlpm.vals,-MIN(7,ROWS(_xlpm.vals))))),
    _xlpm.addship,IF(O70="",0,O70),
    IF(
        AND(H69="",H70=""),
        P69-_xlpm.avgJ+_xlpm.addship,
        IF(
            H70="",
            H69-_xlpm.avgJ+_xlpm.addship,
            ""
        )
    )
),H70)</f>
        <v>959561</v>
      </c>
      <c r="Q70" s="27" t="str">
        <f t="shared" si="19"/>
        <v/>
      </c>
      <c r="R70" s="27" cm="1">
        <f t="array" ref="R70">IF(J70="",_xlfn.LET(
    _xlpm.vals,_xlfn._xlws.FILTER($M$5:M69,$M$5:M69&lt;&gt;"",""),
    _xlpm.avgJ,IF(COUNTA(_xlpm.vals)=0,0,AVERAGE(_xlfn.TAKE(_xlpm.vals,-MIN(7,ROWS(_xlpm.vals))))),
    _xlpm.addship,IF(Q70="",0,Q70),
    IF(
        AND(J69="",J70=""),
        R69-_xlpm.avgJ+_xlpm.addship,
        IF(
            J70="",
            J69-_xlpm.avgJ+_xlpm.addship,
            ""
        )
    )
),J70)</f>
        <v>3877635.2857142859</v>
      </c>
      <c r="S70" s="4" t="str">
        <f t="shared" si="20"/>
        <v>Petrol over capacity | Diesel over capacity</v>
      </c>
      <c r="AB70" s="44">
        <f t="shared" si="21"/>
        <v>16085</v>
      </c>
      <c r="AC70" s="44">
        <f t="shared" si="22"/>
        <v>325936</v>
      </c>
      <c r="AD70" s="44">
        <f t="shared" si="23"/>
        <v>72571</v>
      </c>
      <c r="AE70" s="44">
        <f t="shared" si="24"/>
        <v>1832778</v>
      </c>
    </row>
    <row r="71" spans="7:31" ht="18" customHeight="1" x14ac:dyDescent="0.35">
      <c r="G71" s="37">
        <f t="shared" si="10"/>
        <v>46164</v>
      </c>
      <c r="H71" s="32"/>
      <c r="I71" s="32"/>
      <c r="J71" s="32"/>
      <c r="K71" s="32"/>
      <c r="L71" s="32"/>
      <c r="M71" s="52">
        <f t="shared" si="25"/>
        <v>0</v>
      </c>
      <c r="O71" s="27" t="str">
        <f t="shared" si="18"/>
        <v/>
      </c>
      <c r="P71" s="27" cm="1">
        <f t="array" ref="P71">IF(H71="",_xlfn.LET(
    _xlpm.vals,_xlfn._xlws.FILTER($I$5:I70,$I$5:I70&lt;&gt;"",""),
    _xlpm.avgJ,IF(COUNTA(_xlpm.vals)=0,0,AVERAGE(_xlfn.TAKE(_xlpm.vals,-MIN(7,ROWS(_xlpm.vals))))),
    _xlpm.addship,IF(O71="",0,O71),
    IF(
        AND(H70="",H71=""),
        P70-_xlpm.avgJ+_xlpm.addship,
        IF(
            H71="",
            H70-_xlpm.avgJ+_xlpm.addship,
            ""
        )
    )
),H71)</f>
        <v>945531</v>
      </c>
      <c r="Q71" s="27" t="str">
        <f t="shared" si="19"/>
        <v/>
      </c>
      <c r="R71" s="27" cm="1">
        <f t="array" ref="R71">IF(J71="",_xlfn.LET(
    _xlpm.vals,_xlfn._xlws.FILTER($M$5:M70,$M$5:M70&lt;&gt;"",""),
    _xlpm.avgJ,IF(COUNTA(_xlpm.vals)=0,0,AVERAGE(_xlfn.TAKE(_xlpm.vals,-MIN(7,ROWS(_xlpm.vals))))),
    _xlpm.addship,IF(Q71="",0,Q71),
    IF(
        AND(J70="",J71=""),
        R70-_xlpm.avgJ+_xlpm.addship,
        IF(
            J71="",
            J70-_xlpm.avgJ+_xlpm.addship,
            ""
        )
    )
),J71)</f>
        <v>3877635.2857142859</v>
      </c>
      <c r="S71" s="4" t="str">
        <f t="shared" si="20"/>
        <v>Petrol over capacity | Diesel over capacity</v>
      </c>
      <c r="AB71" s="44">
        <f t="shared" si="21"/>
        <v>16085</v>
      </c>
      <c r="AC71" s="44">
        <f t="shared" si="22"/>
        <v>325936</v>
      </c>
      <c r="AD71" s="44">
        <f t="shared" si="23"/>
        <v>72571</v>
      </c>
      <c r="AE71" s="44">
        <f t="shared" si="24"/>
        <v>1832778</v>
      </c>
    </row>
    <row r="72" spans="7:31" ht="18" customHeight="1" x14ac:dyDescent="0.35">
      <c r="G72" s="37">
        <f t="shared" si="10"/>
        <v>46165</v>
      </c>
      <c r="H72" s="32"/>
      <c r="I72" s="32"/>
      <c r="J72" s="32"/>
      <c r="K72" s="32"/>
      <c r="L72" s="32"/>
      <c r="M72" s="52">
        <f t="shared" si="25"/>
        <v>0</v>
      </c>
      <c r="O72" s="27" t="str">
        <f t="shared" si="18"/>
        <v/>
      </c>
      <c r="P72" s="27" cm="1">
        <f t="array" ref="P72">IF(H72="",_xlfn.LET(
    _xlpm.vals,_xlfn._xlws.FILTER($I$5:I71,$I$5:I71&lt;&gt;"",""),
    _xlpm.avgJ,IF(COUNTA(_xlpm.vals)=0,0,AVERAGE(_xlfn.TAKE(_xlpm.vals,-MIN(7,ROWS(_xlpm.vals))))),
    _xlpm.addship,IF(O72="",0,O72),
    IF(
        AND(H71="",H72=""),
        P71-_xlpm.avgJ+_xlpm.addship,
        IF(
            H72="",
            H71-_xlpm.avgJ+_xlpm.addship,
            ""
        )
    )
),H72)</f>
        <v>931501</v>
      </c>
      <c r="Q72" s="27" t="str">
        <f t="shared" si="19"/>
        <v/>
      </c>
      <c r="R72" s="27" cm="1">
        <f t="array" ref="R72">IF(J72="",_xlfn.LET(
    _xlpm.vals,_xlfn._xlws.FILTER($M$5:M71,$M$5:M71&lt;&gt;"",""),
    _xlpm.avgJ,IF(COUNTA(_xlpm.vals)=0,0,AVERAGE(_xlfn.TAKE(_xlpm.vals,-MIN(7,ROWS(_xlpm.vals))))),
    _xlpm.addship,IF(Q72="",0,Q72),
    IF(
        AND(J71="",J72=""),
        R71-_xlpm.avgJ+_xlpm.addship,
        IF(
            J72="",
            J71-_xlpm.avgJ+_xlpm.addship,
            ""
        )
    )
),J72)</f>
        <v>3877635.2857142859</v>
      </c>
      <c r="S72" s="4" t="str">
        <f t="shared" si="20"/>
        <v>Petrol over capacity | Diesel over capacity</v>
      </c>
      <c r="AB72" s="44">
        <f t="shared" si="21"/>
        <v>16085</v>
      </c>
      <c r="AC72" s="44">
        <f t="shared" si="22"/>
        <v>325936</v>
      </c>
      <c r="AD72" s="44">
        <f t="shared" si="23"/>
        <v>72571</v>
      </c>
      <c r="AE72" s="44">
        <f t="shared" si="24"/>
        <v>1832778</v>
      </c>
    </row>
    <row r="73" spans="7:31" ht="18" customHeight="1" x14ac:dyDescent="0.35">
      <c r="G73" s="37">
        <f t="shared" si="10"/>
        <v>46166</v>
      </c>
      <c r="H73" s="32"/>
      <c r="I73" s="32"/>
      <c r="J73" s="32"/>
      <c r="K73" s="32"/>
      <c r="L73" s="32"/>
      <c r="M73" s="52">
        <f t="shared" si="25"/>
        <v>0</v>
      </c>
      <c r="O73" s="27" t="str">
        <f t="shared" si="18"/>
        <v/>
      </c>
      <c r="P73" s="27" cm="1">
        <f t="array" ref="P73">IF(H73="",_xlfn.LET(
    _xlpm.vals,_xlfn._xlws.FILTER($I$5:I72,$I$5:I72&lt;&gt;"",""),
    _xlpm.avgJ,IF(COUNTA(_xlpm.vals)=0,0,AVERAGE(_xlfn.TAKE(_xlpm.vals,-MIN(7,ROWS(_xlpm.vals))))),
    _xlpm.addship,IF(O73="",0,O73),
    IF(
        AND(H72="",H73=""),
        P72-_xlpm.avgJ+_xlpm.addship,
        IF(
            H73="",
            H72-_xlpm.avgJ+_xlpm.addship,
            ""
        )
    )
),H73)</f>
        <v>917471</v>
      </c>
      <c r="Q73" s="27" t="str">
        <f t="shared" si="19"/>
        <v/>
      </c>
      <c r="R73" s="27" cm="1">
        <f t="array" ref="R73">IF(J73="",_xlfn.LET(
    _xlpm.vals,_xlfn._xlws.FILTER($M$5:M72,$M$5:M72&lt;&gt;"",""),
    _xlpm.avgJ,IF(COUNTA(_xlpm.vals)=0,0,AVERAGE(_xlfn.TAKE(_xlpm.vals,-MIN(7,ROWS(_xlpm.vals))))),
    _xlpm.addship,IF(Q73="",0,Q73),
    IF(
        AND(J72="",J73=""),
        R72-_xlpm.avgJ+_xlpm.addship,
        IF(
            J73="",
            J72-_xlpm.avgJ+_xlpm.addship,
            ""
        )
    )
),J73)</f>
        <v>3877635.2857142859</v>
      </c>
      <c r="S73" s="4" t="str">
        <f t="shared" si="20"/>
        <v>Petrol over capacity | Diesel over capacity</v>
      </c>
      <c r="AB73" s="44">
        <f t="shared" si="21"/>
        <v>16085</v>
      </c>
      <c r="AC73" s="44">
        <f t="shared" si="22"/>
        <v>325936</v>
      </c>
      <c r="AD73" s="44">
        <f t="shared" si="23"/>
        <v>72571</v>
      </c>
      <c r="AE73" s="44">
        <f t="shared" si="24"/>
        <v>1832778</v>
      </c>
    </row>
    <row r="74" spans="7:31" ht="18" customHeight="1" x14ac:dyDescent="0.35">
      <c r="G74" s="37">
        <f t="shared" si="10"/>
        <v>46167</v>
      </c>
      <c r="H74" s="32"/>
      <c r="I74" s="32"/>
      <c r="J74" s="32"/>
      <c r="K74" s="32"/>
      <c r="L74" s="32"/>
      <c r="M74" s="52">
        <f t="shared" si="25"/>
        <v>0</v>
      </c>
      <c r="O74" s="27" t="str">
        <f t="shared" si="18"/>
        <v/>
      </c>
      <c r="P74" s="27" cm="1">
        <f t="array" ref="P74">IF(H74="",_xlfn.LET(
    _xlpm.vals,_xlfn._xlws.FILTER($I$5:I73,$I$5:I73&lt;&gt;"",""),
    _xlpm.avgJ,IF(COUNTA(_xlpm.vals)=0,0,AVERAGE(_xlfn.TAKE(_xlpm.vals,-MIN(7,ROWS(_xlpm.vals))))),
    _xlpm.addship,IF(O74="",0,O74),
    IF(
        AND(H73="",H74=""),
        P73-_xlpm.avgJ+_xlpm.addship,
        IF(
            H74="",
            H73-_xlpm.avgJ+_xlpm.addship,
            ""
        )
    )
),H74)</f>
        <v>903441</v>
      </c>
      <c r="Q74" s="27" t="str">
        <f t="shared" si="19"/>
        <v/>
      </c>
      <c r="R74" s="27" cm="1">
        <f t="array" ref="R74">IF(J74="",_xlfn.LET(
    _xlpm.vals,_xlfn._xlws.FILTER($M$5:M73,$M$5:M73&lt;&gt;"",""),
    _xlpm.avgJ,IF(COUNTA(_xlpm.vals)=0,0,AVERAGE(_xlfn.TAKE(_xlpm.vals,-MIN(7,ROWS(_xlpm.vals))))),
    _xlpm.addship,IF(Q74="",0,Q74),
    IF(
        AND(J73="",J74=""),
        R73-_xlpm.avgJ+_xlpm.addship,
        IF(
            J74="",
            J73-_xlpm.avgJ+_xlpm.addship,
            ""
        )
    )
),J74)</f>
        <v>3877635.2857142859</v>
      </c>
      <c r="S74" s="4" t="str">
        <f t="shared" si="20"/>
        <v>Petrol over capacity | Diesel over capacity</v>
      </c>
      <c r="AB74" s="44">
        <f t="shared" si="21"/>
        <v>16085</v>
      </c>
      <c r="AC74" s="44">
        <f t="shared" si="22"/>
        <v>325936</v>
      </c>
      <c r="AD74" s="44">
        <f t="shared" si="23"/>
        <v>72571</v>
      </c>
      <c r="AE74" s="44">
        <f t="shared" si="24"/>
        <v>1832778</v>
      </c>
    </row>
    <row r="75" spans="7:31" ht="18" customHeight="1" x14ac:dyDescent="0.35">
      <c r="G75" s="37">
        <f t="shared" si="10"/>
        <v>46168</v>
      </c>
      <c r="H75" s="32"/>
      <c r="I75" s="32"/>
      <c r="J75" s="32"/>
      <c r="K75" s="32"/>
      <c r="L75" s="32"/>
      <c r="M75" s="52">
        <f t="shared" si="25"/>
        <v>0</v>
      </c>
      <c r="O75" s="27" t="str">
        <f t="shared" si="18"/>
        <v/>
      </c>
      <c r="P75" s="27" cm="1">
        <f t="array" ref="P75">IF(H75="",_xlfn.LET(
    _xlpm.vals,_xlfn._xlws.FILTER($I$5:I74,$I$5:I74&lt;&gt;"",""),
    _xlpm.avgJ,IF(COUNTA(_xlpm.vals)=0,0,AVERAGE(_xlfn.TAKE(_xlpm.vals,-MIN(7,ROWS(_xlpm.vals))))),
    _xlpm.addship,IF(O75="",0,O75),
    IF(
        AND(H74="",H75=""),
        P74-_xlpm.avgJ+_xlpm.addship,
        IF(
            H75="",
            H74-_xlpm.avgJ+_xlpm.addship,
            ""
        )
    )
),H75)</f>
        <v>889411</v>
      </c>
      <c r="Q75" s="27" t="str">
        <f t="shared" si="19"/>
        <v/>
      </c>
      <c r="R75" s="27" cm="1">
        <f t="array" ref="R75">IF(J75="",_xlfn.LET(
    _xlpm.vals,_xlfn._xlws.FILTER($M$5:M74,$M$5:M74&lt;&gt;"",""),
    _xlpm.avgJ,IF(COUNTA(_xlpm.vals)=0,0,AVERAGE(_xlfn.TAKE(_xlpm.vals,-MIN(7,ROWS(_xlpm.vals))))),
    _xlpm.addship,IF(Q75="",0,Q75),
    IF(
        AND(J74="",J75=""),
        R74-_xlpm.avgJ+_xlpm.addship,
        IF(
            J75="",
            J74-_xlpm.avgJ+_xlpm.addship,
            ""
        )
    )
),J75)</f>
        <v>3877635.2857142859</v>
      </c>
      <c r="S75" s="4" t="str">
        <f t="shared" si="20"/>
        <v>Petrol over capacity | Diesel over capacity</v>
      </c>
      <c r="AB75" s="44">
        <f t="shared" si="21"/>
        <v>16085</v>
      </c>
      <c r="AC75" s="44">
        <f t="shared" si="22"/>
        <v>325936</v>
      </c>
      <c r="AD75" s="44">
        <f t="shared" si="23"/>
        <v>72571</v>
      </c>
      <c r="AE75" s="44">
        <f t="shared" si="24"/>
        <v>1832778</v>
      </c>
    </row>
    <row r="76" spans="7:31" ht="18" customHeight="1" x14ac:dyDescent="0.35">
      <c r="G76" s="37">
        <f t="shared" si="10"/>
        <v>46169</v>
      </c>
      <c r="H76" s="32"/>
      <c r="I76" s="32"/>
      <c r="J76" s="32"/>
      <c r="K76" s="32"/>
      <c r="L76" s="32"/>
      <c r="M76" s="52">
        <f t="shared" si="25"/>
        <v>0</v>
      </c>
      <c r="O76" s="27" t="str">
        <f t="shared" si="18"/>
        <v/>
      </c>
      <c r="P76" s="27" cm="1">
        <f t="array" ref="P76">IF(H76="",_xlfn.LET(
    _xlpm.vals,_xlfn._xlws.FILTER($I$5:I75,$I$5:I75&lt;&gt;"",""),
    _xlpm.avgJ,IF(COUNTA(_xlpm.vals)=0,0,AVERAGE(_xlfn.TAKE(_xlpm.vals,-MIN(7,ROWS(_xlpm.vals))))),
    _xlpm.addship,IF(O76="",0,O76),
    IF(
        AND(H75="",H76=""),
        P75-_xlpm.avgJ+_xlpm.addship,
        IF(
            H76="",
            H75-_xlpm.avgJ+_xlpm.addship,
            ""
        )
    )
),H76)</f>
        <v>875381</v>
      </c>
      <c r="Q76" s="27" t="str">
        <f t="shared" si="19"/>
        <v/>
      </c>
      <c r="R76" s="27" cm="1">
        <f t="array" ref="R76">IF(J76="",_xlfn.LET(
    _xlpm.vals,_xlfn._xlws.FILTER($M$5:M75,$M$5:M75&lt;&gt;"",""),
    _xlpm.avgJ,IF(COUNTA(_xlpm.vals)=0,0,AVERAGE(_xlfn.TAKE(_xlpm.vals,-MIN(7,ROWS(_xlpm.vals))))),
    _xlpm.addship,IF(Q76="",0,Q76),
    IF(
        AND(J75="",J76=""),
        R75-_xlpm.avgJ+_xlpm.addship,
        IF(
            J76="",
            J75-_xlpm.avgJ+_xlpm.addship,
            ""
        )
    )
),J76)</f>
        <v>3877635.2857142859</v>
      </c>
      <c r="S76" s="4" t="str">
        <f t="shared" si="20"/>
        <v>Petrol over capacity | Diesel over capacity</v>
      </c>
      <c r="AB76" s="44">
        <f t="shared" si="21"/>
        <v>16085</v>
      </c>
      <c r="AC76" s="44">
        <f t="shared" si="22"/>
        <v>325936</v>
      </c>
      <c r="AD76" s="44">
        <f t="shared" si="23"/>
        <v>72571</v>
      </c>
      <c r="AE76" s="44">
        <f t="shared" si="24"/>
        <v>1832778</v>
      </c>
    </row>
    <row r="77" spans="7:31" ht="18" customHeight="1" x14ac:dyDescent="0.35">
      <c r="G77" s="37">
        <f t="shared" si="10"/>
        <v>46170</v>
      </c>
      <c r="H77" s="32"/>
      <c r="I77" s="32"/>
      <c r="J77" s="32"/>
      <c r="K77" s="32"/>
      <c r="L77" s="32"/>
      <c r="M77" s="52">
        <f t="shared" si="25"/>
        <v>0</v>
      </c>
      <c r="O77" s="27" t="str">
        <f t="shared" si="18"/>
        <v/>
      </c>
      <c r="P77" s="27" cm="1">
        <f t="array" ref="P77">IF(H77="",_xlfn.LET(
    _xlpm.vals,_xlfn._xlws.FILTER($I$5:I76,$I$5:I76&lt;&gt;"",""),
    _xlpm.avgJ,IF(COUNTA(_xlpm.vals)=0,0,AVERAGE(_xlfn.TAKE(_xlpm.vals,-MIN(7,ROWS(_xlpm.vals))))),
    _xlpm.addship,IF(O77="",0,O77),
    IF(
        AND(H76="",H77=""),
        P76-_xlpm.avgJ+_xlpm.addship,
        IF(
            H77="",
            H76-_xlpm.avgJ+_xlpm.addship,
            ""
        )
    )
),H77)</f>
        <v>861351</v>
      </c>
      <c r="Q77" s="27" t="str">
        <f t="shared" si="19"/>
        <v/>
      </c>
      <c r="R77" s="27" cm="1">
        <f t="array" ref="R77">IF(J77="",_xlfn.LET(
    _xlpm.vals,_xlfn._xlws.FILTER($M$5:M76,$M$5:M76&lt;&gt;"",""),
    _xlpm.avgJ,IF(COUNTA(_xlpm.vals)=0,0,AVERAGE(_xlfn.TAKE(_xlpm.vals,-MIN(7,ROWS(_xlpm.vals))))),
    _xlpm.addship,IF(Q77="",0,Q77),
    IF(
        AND(J76="",J77=""),
        R76-_xlpm.avgJ+_xlpm.addship,
        IF(
            J77="",
            J76-_xlpm.avgJ+_xlpm.addship,
            ""
        )
    )
),J77)</f>
        <v>3877635.2857142859</v>
      </c>
      <c r="S77" s="4" t="str">
        <f t="shared" si="20"/>
        <v>Petrol over capacity | Diesel over capacity</v>
      </c>
      <c r="AB77" s="44">
        <f t="shared" si="21"/>
        <v>16085</v>
      </c>
      <c r="AC77" s="44">
        <f t="shared" si="22"/>
        <v>325936</v>
      </c>
      <c r="AD77" s="44">
        <f t="shared" si="23"/>
        <v>72571</v>
      </c>
      <c r="AE77" s="44">
        <f t="shared" si="24"/>
        <v>1832778</v>
      </c>
    </row>
    <row r="78" spans="7:31" ht="18" customHeight="1" x14ac:dyDescent="0.35">
      <c r="G78" s="37">
        <f t="shared" si="10"/>
        <v>46171</v>
      </c>
      <c r="H78" s="32"/>
      <c r="I78" s="32"/>
      <c r="J78" s="32"/>
      <c r="K78" s="32"/>
      <c r="L78" s="32"/>
      <c r="M78" s="52">
        <f t="shared" si="25"/>
        <v>0</v>
      </c>
      <c r="O78" s="27" t="str">
        <f t="shared" si="18"/>
        <v/>
      </c>
      <c r="P78" s="27" cm="1">
        <f t="array" ref="P78">IF(H78="",_xlfn.LET(
    _xlpm.vals,_xlfn._xlws.FILTER($I$5:I77,$I$5:I77&lt;&gt;"",""),
    _xlpm.avgJ,IF(COUNTA(_xlpm.vals)=0,0,AVERAGE(_xlfn.TAKE(_xlpm.vals,-MIN(7,ROWS(_xlpm.vals))))),
    _xlpm.addship,IF(O78="",0,O78),
    IF(
        AND(H77="",H78=""),
        P77-_xlpm.avgJ+_xlpm.addship,
        IF(
            H78="",
            H77-_xlpm.avgJ+_xlpm.addship,
            ""
        )
    )
),H78)</f>
        <v>847321</v>
      </c>
      <c r="Q78" s="27" t="str">
        <f t="shared" si="19"/>
        <v/>
      </c>
      <c r="R78" s="27" cm="1">
        <f t="array" ref="R78">IF(J78="",_xlfn.LET(
    _xlpm.vals,_xlfn._xlws.FILTER($M$5:M77,$M$5:M77&lt;&gt;"",""),
    _xlpm.avgJ,IF(COUNTA(_xlpm.vals)=0,0,AVERAGE(_xlfn.TAKE(_xlpm.vals,-MIN(7,ROWS(_xlpm.vals))))),
    _xlpm.addship,IF(Q78="",0,Q78),
    IF(
        AND(J77="",J78=""),
        R77-_xlpm.avgJ+_xlpm.addship,
        IF(
            J78="",
            J77-_xlpm.avgJ+_xlpm.addship,
            ""
        )
    )
),J78)</f>
        <v>3877635.2857142859</v>
      </c>
      <c r="S78" s="4" t="str">
        <f t="shared" si="20"/>
        <v>Petrol over capacity | Diesel over capacity</v>
      </c>
      <c r="AB78" s="44">
        <f t="shared" si="21"/>
        <v>16085</v>
      </c>
      <c r="AC78" s="44">
        <f t="shared" si="22"/>
        <v>325936</v>
      </c>
      <c r="AD78" s="44">
        <f t="shared" si="23"/>
        <v>72571</v>
      </c>
      <c r="AE78" s="44">
        <f t="shared" si="24"/>
        <v>1832778</v>
      </c>
    </row>
    <row r="79" spans="7:31" ht="18" customHeight="1" x14ac:dyDescent="0.35">
      <c r="G79" s="37">
        <f t="shared" si="10"/>
        <v>46172</v>
      </c>
      <c r="H79" s="32"/>
      <c r="I79" s="32"/>
      <c r="J79" s="32"/>
      <c r="K79" s="32"/>
      <c r="L79" s="32"/>
      <c r="M79" s="52">
        <f t="shared" si="25"/>
        <v>0</v>
      </c>
      <c r="O79" s="27" t="str">
        <f t="shared" si="18"/>
        <v/>
      </c>
      <c r="P79" s="27" cm="1">
        <f t="array" ref="P79">IF(H79="",_xlfn.LET(
    _xlpm.vals,_xlfn._xlws.FILTER($I$5:I78,$I$5:I78&lt;&gt;"",""),
    _xlpm.avgJ,IF(COUNTA(_xlpm.vals)=0,0,AVERAGE(_xlfn.TAKE(_xlpm.vals,-MIN(7,ROWS(_xlpm.vals))))),
    _xlpm.addship,IF(O79="",0,O79),
    IF(
        AND(H78="",H79=""),
        P78-_xlpm.avgJ+_xlpm.addship,
        IF(
            H79="",
            H78-_xlpm.avgJ+_xlpm.addship,
            ""
        )
    )
),H79)</f>
        <v>833291</v>
      </c>
      <c r="Q79" s="27" t="str">
        <f t="shared" si="19"/>
        <v/>
      </c>
      <c r="R79" s="27" cm="1">
        <f t="array" ref="R79">IF(J79="",_xlfn.LET(
    _xlpm.vals,_xlfn._xlws.FILTER($M$5:M78,$M$5:M78&lt;&gt;"",""),
    _xlpm.avgJ,IF(COUNTA(_xlpm.vals)=0,0,AVERAGE(_xlfn.TAKE(_xlpm.vals,-MIN(7,ROWS(_xlpm.vals))))),
    _xlpm.addship,IF(Q79="",0,Q79),
    IF(
        AND(J78="",J79=""),
        R78-_xlpm.avgJ+_xlpm.addship,
        IF(
            J79="",
            J78-_xlpm.avgJ+_xlpm.addship,
            ""
        )
    )
),J79)</f>
        <v>3877635.2857142859</v>
      </c>
      <c r="S79" s="4" t="str">
        <f t="shared" si="20"/>
        <v>Petrol over capacity | Diesel over capacity</v>
      </c>
      <c r="AB79" s="44">
        <f t="shared" si="21"/>
        <v>16085</v>
      </c>
      <c r="AC79" s="44">
        <f t="shared" si="22"/>
        <v>325936</v>
      </c>
      <c r="AD79" s="44">
        <f t="shared" si="23"/>
        <v>72571</v>
      </c>
      <c r="AE79" s="44">
        <f t="shared" si="24"/>
        <v>1832778</v>
      </c>
    </row>
    <row r="80" spans="7:31" ht="18" customHeight="1" x14ac:dyDescent="0.35">
      <c r="G80" s="37">
        <f t="shared" si="10"/>
        <v>46173</v>
      </c>
      <c r="H80" s="32"/>
      <c r="I80" s="32"/>
      <c r="J80" s="32"/>
      <c r="K80" s="32"/>
      <c r="L80" s="32"/>
      <c r="M80" s="52">
        <f t="shared" si="25"/>
        <v>0</v>
      </c>
      <c r="O80" s="27" t="str">
        <f t="shared" si="18"/>
        <v/>
      </c>
      <c r="P80" s="27" cm="1">
        <f t="array" ref="P80">IF(H80="",_xlfn.LET(
    _xlpm.vals,_xlfn._xlws.FILTER($I$5:I79,$I$5:I79&lt;&gt;"",""),
    _xlpm.avgJ,IF(COUNTA(_xlpm.vals)=0,0,AVERAGE(_xlfn.TAKE(_xlpm.vals,-MIN(7,ROWS(_xlpm.vals))))),
    _xlpm.addship,IF(O80="",0,O80),
    IF(
        AND(H79="",H80=""),
        P79-_xlpm.avgJ+_xlpm.addship,
        IF(
            H80="",
            H79-_xlpm.avgJ+_xlpm.addship,
            ""
        )
    )
),H80)</f>
        <v>819261</v>
      </c>
      <c r="Q80" s="27" t="str">
        <f t="shared" si="19"/>
        <v/>
      </c>
      <c r="R80" s="27" cm="1">
        <f t="array" ref="R80">IF(J80="",_xlfn.LET(
    _xlpm.vals,_xlfn._xlws.FILTER($M$5:M79,$M$5:M79&lt;&gt;"",""),
    _xlpm.avgJ,IF(COUNTA(_xlpm.vals)=0,0,AVERAGE(_xlfn.TAKE(_xlpm.vals,-MIN(7,ROWS(_xlpm.vals))))),
    _xlpm.addship,IF(Q80="",0,Q80),
    IF(
        AND(J79="",J80=""),
        R79-_xlpm.avgJ+_xlpm.addship,
        IF(
            J80="",
            J79-_xlpm.avgJ+_xlpm.addship,
            ""
        )
    )
),J80)</f>
        <v>3877635.2857142859</v>
      </c>
      <c r="S80" s="4" t="str">
        <f t="shared" si="20"/>
        <v>Petrol over capacity | Diesel over capacity</v>
      </c>
      <c r="AB80" s="44">
        <f t="shared" si="21"/>
        <v>16085</v>
      </c>
      <c r="AC80" s="44">
        <f t="shared" si="22"/>
        <v>325936</v>
      </c>
      <c r="AD80" s="44">
        <f t="shared" si="23"/>
        <v>72571</v>
      </c>
      <c r="AE80" s="44">
        <f t="shared" si="24"/>
        <v>1832778</v>
      </c>
    </row>
    <row r="81" spans="7:31" ht="18" customHeight="1" x14ac:dyDescent="0.35">
      <c r="G81" s="37">
        <f t="shared" si="10"/>
        <v>46174</v>
      </c>
      <c r="H81" s="32"/>
      <c r="I81" s="32"/>
      <c r="J81" s="32"/>
      <c r="K81" s="32"/>
      <c r="L81" s="32"/>
      <c r="M81" s="52">
        <f t="shared" si="25"/>
        <v>0</v>
      </c>
      <c r="O81" s="27" t="str">
        <f t="shared" si="18"/>
        <v/>
      </c>
      <c r="P81" s="27" cm="1">
        <f t="array" ref="P81">IF(H81="",_xlfn.LET(
    _xlpm.vals,_xlfn._xlws.FILTER($I$5:I80,$I$5:I80&lt;&gt;"",""),
    _xlpm.avgJ,IF(COUNTA(_xlpm.vals)=0,0,AVERAGE(_xlfn.TAKE(_xlpm.vals,-MIN(7,ROWS(_xlpm.vals))))),
    _xlpm.addship,IF(O81="",0,O81),
    IF(
        AND(H80="",H81=""),
        P80-_xlpm.avgJ+_xlpm.addship,
        IF(
            H81="",
            H80-_xlpm.avgJ+_xlpm.addship,
            ""
        )
    )
),H81)</f>
        <v>805231</v>
      </c>
      <c r="Q81" s="27" t="str">
        <f t="shared" si="19"/>
        <v/>
      </c>
      <c r="R81" s="27" cm="1">
        <f t="array" ref="R81">IF(J81="",_xlfn.LET(
    _xlpm.vals,_xlfn._xlws.FILTER($M$5:M80,$M$5:M80&lt;&gt;"",""),
    _xlpm.avgJ,IF(COUNTA(_xlpm.vals)=0,0,AVERAGE(_xlfn.TAKE(_xlpm.vals,-MIN(7,ROWS(_xlpm.vals))))),
    _xlpm.addship,IF(Q81="",0,Q81),
    IF(
        AND(J80="",J81=""),
        R80-_xlpm.avgJ+_xlpm.addship,
        IF(
            J81="",
            J80-_xlpm.avgJ+_xlpm.addship,
            ""
        )
    )
),J81)</f>
        <v>3877635.2857142859</v>
      </c>
      <c r="S81" s="4" t="str">
        <f t="shared" si="20"/>
        <v>Petrol over capacity | Diesel over capacity</v>
      </c>
      <c r="AB81" s="44">
        <f t="shared" si="21"/>
        <v>16085</v>
      </c>
      <c r="AC81" s="44">
        <f t="shared" si="22"/>
        <v>325936</v>
      </c>
      <c r="AD81" s="44">
        <f t="shared" si="23"/>
        <v>72571</v>
      </c>
      <c r="AE81" s="44">
        <f t="shared" si="24"/>
        <v>1832778</v>
      </c>
    </row>
    <row r="82" spans="7:31" ht="18" customHeight="1" x14ac:dyDescent="0.35">
      <c r="G82" s="37">
        <f t="shared" si="10"/>
        <v>46175</v>
      </c>
      <c r="H82" s="32"/>
      <c r="I82" s="32"/>
      <c r="J82" s="32"/>
      <c r="K82" s="32"/>
      <c r="L82" s="32"/>
      <c r="M82" s="52">
        <f t="shared" si="25"/>
        <v>0</v>
      </c>
      <c r="O82" s="27" t="str">
        <f t="shared" si="18"/>
        <v/>
      </c>
      <c r="P82" s="27" cm="1">
        <f t="array" ref="P82">IF(H82="",_xlfn.LET(
    _xlpm.vals,_xlfn._xlws.FILTER($I$5:I81,$I$5:I81&lt;&gt;"",""),
    _xlpm.avgJ,IF(COUNTA(_xlpm.vals)=0,0,AVERAGE(_xlfn.TAKE(_xlpm.vals,-MIN(7,ROWS(_xlpm.vals))))),
    _xlpm.addship,IF(O82="",0,O82),
    IF(
        AND(H81="",H82=""),
        P81-_xlpm.avgJ+_xlpm.addship,
        IF(
            H82="",
            H81-_xlpm.avgJ+_xlpm.addship,
            ""
        )
    )
),H82)</f>
        <v>791201</v>
      </c>
      <c r="Q82" s="27" t="str">
        <f t="shared" si="19"/>
        <v/>
      </c>
      <c r="R82" s="27" cm="1">
        <f t="array" ref="R82">IF(J82="",_xlfn.LET(
    _xlpm.vals,_xlfn._xlws.FILTER($M$5:M81,$M$5:M81&lt;&gt;"",""),
    _xlpm.avgJ,IF(COUNTA(_xlpm.vals)=0,0,AVERAGE(_xlfn.TAKE(_xlpm.vals,-MIN(7,ROWS(_xlpm.vals))))),
    _xlpm.addship,IF(Q82="",0,Q82),
    IF(
        AND(J81="",J82=""),
        R81-_xlpm.avgJ+_xlpm.addship,
        IF(
            J82="",
            J81-_xlpm.avgJ+_xlpm.addship,
            ""
        )
    )
),J82)</f>
        <v>3877635.2857142859</v>
      </c>
      <c r="S82" s="4" t="str">
        <f t="shared" si="20"/>
        <v>Petrol over capacity | Diesel over capacity</v>
      </c>
      <c r="AB82" s="44">
        <f t="shared" si="21"/>
        <v>16085</v>
      </c>
      <c r="AC82" s="44">
        <f t="shared" si="22"/>
        <v>325936</v>
      </c>
      <c r="AD82" s="44">
        <f t="shared" si="23"/>
        <v>72571</v>
      </c>
      <c r="AE82" s="44">
        <f t="shared" si="24"/>
        <v>1832778</v>
      </c>
    </row>
    <row r="83" spans="7:31" ht="18" customHeight="1" x14ac:dyDescent="0.35">
      <c r="G83" s="37">
        <f t="shared" si="10"/>
        <v>46176</v>
      </c>
      <c r="H83" s="32"/>
      <c r="I83" s="32"/>
      <c r="J83" s="32"/>
      <c r="K83" s="32"/>
      <c r="L83" s="32"/>
      <c r="M83" s="52">
        <f t="shared" si="25"/>
        <v>0</v>
      </c>
      <c r="O83" s="27" t="str">
        <f t="shared" si="18"/>
        <v/>
      </c>
      <c r="P83" s="27" cm="1">
        <f t="array" ref="P83">IF(H83="",_xlfn.LET(
    _xlpm.vals,_xlfn._xlws.FILTER($I$5:I82,$I$5:I82&lt;&gt;"",""),
    _xlpm.avgJ,IF(COUNTA(_xlpm.vals)=0,0,AVERAGE(_xlfn.TAKE(_xlpm.vals,-MIN(7,ROWS(_xlpm.vals))))),
    _xlpm.addship,IF(O83="",0,O83),
    IF(
        AND(H82="",H83=""),
        P82-_xlpm.avgJ+_xlpm.addship,
        IF(
            H83="",
            H82-_xlpm.avgJ+_xlpm.addship,
            ""
        )
    )
),H83)</f>
        <v>777171</v>
      </c>
      <c r="Q83" s="27" t="str">
        <f t="shared" si="19"/>
        <v/>
      </c>
      <c r="R83" s="27" cm="1">
        <f t="array" ref="R83">IF(J83="",_xlfn.LET(
    _xlpm.vals,_xlfn._xlws.FILTER($M$5:M82,$M$5:M82&lt;&gt;"",""),
    _xlpm.avgJ,IF(COUNTA(_xlpm.vals)=0,0,AVERAGE(_xlfn.TAKE(_xlpm.vals,-MIN(7,ROWS(_xlpm.vals))))),
    _xlpm.addship,IF(Q83="",0,Q83),
    IF(
        AND(J82="",J83=""),
        R82-_xlpm.avgJ+_xlpm.addship,
        IF(
            J83="",
            J82-_xlpm.avgJ+_xlpm.addship,
            ""
        )
    )
),J83)</f>
        <v>3877635.2857142859</v>
      </c>
      <c r="S83" s="4" t="str">
        <f t="shared" si="20"/>
        <v>Petrol over capacity | Diesel over capacity</v>
      </c>
      <c r="AB83" s="44">
        <f t="shared" si="21"/>
        <v>16085</v>
      </c>
      <c r="AC83" s="44">
        <f t="shared" si="22"/>
        <v>325936</v>
      </c>
      <c r="AD83" s="44">
        <f t="shared" si="23"/>
        <v>72571</v>
      </c>
      <c r="AE83" s="44">
        <f t="shared" si="24"/>
        <v>1832778</v>
      </c>
    </row>
    <row r="84" spans="7:31" ht="18" customHeight="1" x14ac:dyDescent="0.35">
      <c r="G84" s="37">
        <f t="shared" si="10"/>
        <v>46177</v>
      </c>
      <c r="H84" s="32"/>
      <c r="I84" s="32"/>
      <c r="J84" s="32"/>
      <c r="K84" s="32"/>
      <c r="L84" s="32"/>
      <c r="M84" s="52">
        <f t="shared" si="25"/>
        <v>0</v>
      </c>
      <c r="O84" s="27" t="str">
        <f t="shared" si="18"/>
        <v/>
      </c>
      <c r="P84" s="27" cm="1">
        <f t="array" ref="P84">IF(H84="",_xlfn.LET(
    _xlpm.vals,_xlfn._xlws.FILTER($I$5:I83,$I$5:I83&lt;&gt;"",""),
    _xlpm.avgJ,IF(COUNTA(_xlpm.vals)=0,0,AVERAGE(_xlfn.TAKE(_xlpm.vals,-MIN(7,ROWS(_xlpm.vals))))),
    _xlpm.addship,IF(O84="",0,O84),
    IF(
        AND(H83="",H84=""),
        P83-_xlpm.avgJ+_xlpm.addship,
        IF(
            H84="",
            H83-_xlpm.avgJ+_xlpm.addship,
            ""
        )
    )
),H84)</f>
        <v>763141</v>
      </c>
      <c r="Q84" s="27" t="str">
        <f t="shared" si="19"/>
        <v/>
      </c>
      <c r="R84" s="27" cm="1">
        <f t="array" ref="R84">IF(J84="",_xlfn.LET(
    _xlpm.vals,_xlfn._xlws.FILTER($M$5:M83,$M$5:M83&lt;&gt;"",""),
    _xlpm.avgJ,IF(COUNTA(_xlpm.vals)=0,0,AVERAGE(_xlfn.TAKE(_xlpm.vals,-MIN(7,ROWS(_xlpm.vals))))),
    _xlpm.addship,IF(Q84="",0,Q84),
    IF(
        AND(J83="",J84=""),
        R83-_xlpm.avgJ+_xlpm.addship,
        IF(
            J84="",
            J83-_xlpm.avgJ+_xlpm.addship,
            ""
        )
    )
),J84)</f>
        <v>3877635.2857142859</v>
      </c>
      <c r="S84" s="4" t="str">
        <f t="shared" si="20"/>
        <v>Petrol over capacity | Diesel over capacity</v>
      </c>
      <c r="AB84" s="44">
        <f t="shared" si="21"/>
        <v>16085</v>
      </c>
      <c r="AC84" s="44">
        <f t="shared" si="22"/>
        <v>325936</v>
      </c>
      <c r="AD84" s="44">
        <f t="shared" si="23"/>
        <v>72571</v>
      </c>
      <c r="AE84" s="44">
        <f t="shared" si="24"/>
        <v>1832778</v>
      </c>
    </row>
    <row r="85" spans="7:31" ht="18" customHeight="1" x14ac:dyDescent="0.35">
      <c r="G85" s="37">
        <f t="shared" si="10"/>
        <v>46178</v>
      </c>
      <c r="H85" s="32"/>
      <c r="I85" s="32"/>
      <c r="J85" s="32"/>
      <c r="K85" s="32"/>
      <c r="L85" s="32"/>
      <c r="M85" s="52">
        <f t="shared" si="25"/>
        <v>0</v>
      </c>
      <c r="O85" s="27">
        <f t="shared" si="18"/>
        <v>405000</v>
      </c>
      <c r="P85" s="27" cm="1">
        <f t="array" ref="P85">IF(H85="",_xlfn.LET(
    _xlpm.vals,_xlfn._xlws.FILTER($I$5:I84,$I$5:I84&lt;&gt;"",""),
    _xlpm.avgJ,IF(COUNTA(_xlpm.vals)=0,0,AVERAGE(_xlfn.TAKE(_xlpm.vals,-MIN(7,ROWS(_xlpm.vals))))),
    _xlpm.addship,IF(O85="",0,O85),
    IF(
        AND(H84="",H85=""),
        P84-_xlpm.avgJ+_xlpm.addship,
        IF(
            H85="",
            H84-_xlpm.avgJ+_xlpm.addship,
            ""
        )
    )
),H85)</f>
        <v>1154111</v>
      </c>
      <c r="Q85" s="27">
        <f t="shared" si="19"/>
        <v>1700000</v>
      </c>
      <c r="R85" s="27" cm="1">
        <f t="array" ref="R85">IF(J85="",_xlfn.LET(
    _xlpm.vals,_xlfn._xlws.FILTER($M$5:M84,$M$5:M84&lt;&gt;"",""),
    _xlpm.avgJ,IF(COUNTA(_xlpm.vals)=0,0,AVERAGE(_xlfn.TAKE(_xlpm.vals,-MIN(7,ROWS(_xlpm.vals))))),
    _xlpm.addship,IF(Q85="",0,Q85),
    IF(
        AND(J84="",J85=""),
        R84-_xlpm.avgJ+_xlpm.addship,
        IF(
            J85="",
            J84-_xlpm.avgJ+_xlpm.addship,
            ""
        )
    )
),J85)</f>
        <v>5577635.2857142854</v>
      </c>
      <c r="S85" s="4" t="str">
        <f t="shared" si="20"/>
        <v>Petrol over capacity | Diesel over capacity</v>
      </c>
      <c r="AB85" s="44">
        <f t="shared" si="21"/>
        <v>16085</v>
      </c>
      <c r="AC85" s="44">
        <f t="shared" si="22"/>
        <v>325936</v>
      </c>
      <c r="AD85" s="44">
        <f t="shared" si="23"/>
        <v>72571</v>
      </c>
      <c r="AE85" s="44">
        <f t="shared" si="24"/>
        <v>1832778</v>
      </c>
    </row>
    <row r="86" spans="7:31" ht="18" customHeight="1" x14ac:dyDescent="0.35">
      <c r="G86" s="37">
        <f t="shared" si="10"/>
        <v>46179</v>
      </c>
      <c r="H86" s="32"/>
      <c r="I86" s="32"/>
      <c r="J86" s="32"/>
      <c r="K86" s="32"/>
      <c r="L86" s="32"/>
      <c r="M86" s="52">
        <f t="shared" si="25"/>
        <v>0</v>
      </c>
      <c r="O86" s="27" t="str">
        <f t="shared" si="18"/>
        <v/>
      </c>
      <c r="P86" s="27" cm="1">
        <f t="array" ref="P86">IF(H86="",_xlfn.LET(
    _xlpm.vals,_xlfn._xlws.FILTER($I$5:I85,$I$5:I85&lt;&gt;"",""),
    _xlpm.avgJ,IF(COUNTA(_xlpm.vals)=0,0,AVERAGE(_xlfn.TAKE(_xlpm.vals,-MIN(7,ROWS(_xlpm.vals))))),
    _xlpm.addship,IF(O86="",0,O86),
    IF(
        AND(H85="",H86=""),
        P85-_xlpm.avgJ+_xlpm.addship,
        IF(
            H86="",
            H85-_xlpm.avgJ+_xlpm.addship,
            ""
        )
    )
),H86)</f>
        <v>1140081</v>
      </c>
      <c r="Q86" s="27" t="str">
        <f t="shared" si="19"/>
        <v/>
      </c>
      <c r="R86" s="27" cm="1">
        <f t="array" ref="R86">IF(J86="",_xlfn.LET(
    _xlpm.vals,_xlfn._xlws.FILTER($M$5:M85,$M$5:M85&lt;&gt;"",""),
    _xlpm.avgJ,IF(COUNTA(_xlpm.vals)=0,0,AVERAGE(_xlfn.TAKE(_xlpm.vals,-MIN(7,ROWS(_xlpm.vals))))),
    _xlpm.addship,IF(Q86="",0,Q86),
    IF(
        AND(J85="",J86=""),
        R85-_xlpm.avgJ+_xlpm.addship,
        IF(
            J86="",
            J85-_xlpm.avgJ+_xlpm.addship,
            ""
        )
    )
),J86)</f>
        <v>5577635.2857142854</v>
      </c>
      <c r="S86" s="4" t="str">
        <f t="shared" si="20"/>
        <v>Petrol over capacity | Diesel over capacity</v>
      </c>
      <c r="AB86" s="44">
        <f t="shared" si="21"/>
        <v>16085</v>
      </c>
      <c r="AC86" s="44">
        <f t="shared" si="22"/>
        <v>325936</v>
      </c>
      <c r="AD86" s="44">
        <f t="shared" si="23"/>
        <v>72571</v>
      </c>
      <c r="AE86" s="44">
        <f t="shared" si="24"/>
        <v>1832778</v>
      </c>
    </row>
    <row r="87" spans="7:31" ht="18" customHeight="1" x14ac:dyDescent="0.35">
      <c r="G87" s="37">
        <f t="shared" si="10"/>
        <v>46180</v>
      </c>
      <c r="H87" s="32"/>
      <c r="I87" s="32"/>
      <c r="J87" s="32"/>
      <c r="K87" s="32"/>
      <c r="L87" s="32"/>
      <c r="M87" s="52">
        <f t="shared" si="25"/>
        <v>0</v>
      </c>
      <c r="O87" s="27" t="str">
        <f t="shared" si="18"/>
        <v/>
      </c>
      <c r="P87" s="27" cm="1">
        <f t="array" ref="P87">IF(H87="",_xlfn.LET(
    _xlpm.vals,_xlfn._xlws.FILTER($I$5:I86,$I$5:I86&lt;&gt;"",""),
    _xlpm.avgJ,IF(COUNTA(_xlpm.vals)=0,0,AVERAGE(_xlfn.TAKE(_xlpm.vals,-MIN(7,ROWS(_xlpm.vals))))),
    _xlpm.addship,IF(O87="",0,O87),
    IF(
        AND(H86="",H87=""),
        P86-_xlpm.avgJ+_xlpm.addship,
        IF(
            H87="",
            H86-_xlpm.avgJ+_xlpm.addship,
            ""
        )
    )
),H87)</f>
        <v>1126051</v>
      </c>
      <c r="Q87" s="27" t="str">
        <f t="shared" si="19"/>
        <v/>
      </c>
      <c r="R87" s="27" cm="1">
        <f t="array" ref="R87">IF(J87="",_xlfn.LET(
    _xlpm.vals,_xlfn._xlws.FILTER($M$5:M86,$M$5:M86&lt;&gt;"",""),
    _xlpm.avgJ,IF(COUNTA(_xlpm.vals)=0,0,AVERAGE(_xlfn.TAKE(_xlpm.vals,-MIN(7,ROWS(_xlpm.vals))))),
    _xlpm.addship,IF(Q87="",0,Q87),
    IF(
        AND(J86="",J87=""),
        R86-_xlpm.avgJ+_xlpm.addship,
        IF(
            J87="",
            J86-_xlpm.avgJ+_xlpm.addship,
            ""
        )
    )
),J87)</f>
        <v>5577635.2857142854</v>
      </c>
      <c r="S87" s="4" t="str">
        <f t="shared" si="20"/>
        <v>Petrol over capacity | Diesel over capacity</v>
      </c>
      <c r="AB87" s="44">
        <f t="shared" si="21"/>
        <v>16085</v>
      </c>
      <c r="AC87" s="44">
        <f t="shared" si="22"/>
        <v>325936</v>
      </c>
      <c r="AD87" s="44">
        <f t="shared" si="23"/>
        <v>72571</v>
      </c>
      <c r="AE87" s="44">
        <f t="shared" si="24"/>
        <v>1832778</v>
      </c>
    </row>
    <row r="88" spans="7:31" ht="18" customHeight="1" x14ac:dyDescent="0.35">
      <c r="G88" s="37">
        <f t="shared" si="10"/>
        <v>46181</v>
      </c>
      <c r="H88" s="32"/>
      <c r="I88" s="32"/>
      <c r="J88" s="32"/>
      <c r="K88" s="32"/>
      <c r="L88" s="32"/>
      <c r="M88" s="52">
        <f t="shared" si="25"/>
        <v>0</v>
      </c>
      <c r="O88" s="27" t="str">
        <f t="shared" si="18"/>
        <v/>
      </c>
      <c r="P88" s="27" cm="1">
        <f t="array" ref="P88">IF(H88="",_xlfn.LET(
    _xlpm.vals,_xlfn._xlws.FILTER($I$5:I87,$I$5:I87&lt;&gt;"",""),
    _xlpm.avgJ,IF(COUNTA(_xlpm.vals)=0,0,AVERAGE(_xlfn.TAKE(_xlpm.vals,-MIN(7,ROWS(_xlpm.vals))))),
    _xlpm.addship,IF(O88="",0,O88),
    IF(
        AND(H87="",H88=""),
        P87-_xlpm.avgJ+_xlpm.addship,
        IF(
            H88="",
            H87-_xlpm.avgJ+_xlpm.addship,
            ""
        )
    )
),H88)</f>
        <v>1112021</v>
      </c>
      <c r="Q88" s="27" t="str">
        <f t="shared" si="19"/>
        <v/>
      </c>
      <c r="R88" s="27" cm="1">
        <f t="array" ref="R88">IF(J88="",_xlfn.LET(
    _xlpm.vals,_xlfn._xlws.FILTER($M$5:M87,$M$5:M87&lt;&gt;"",""),
    _xlpm.avgJ,IF(COUNTA(_xlpm.vals)=0,0,AVERAGE(_xlfn.TAKE(_xlpm.vals,-MIN(7,ROWS(_xlpm.vals))))),
    _xlpm.addship,IF(Q88="",0,Q88),
    IF(
        AND(J87="",J88=""),
        R87-_xlpm.avgJ+_xlpm.addship,
        IF(
            J88="",
            J87-_xlpm.avgJ+_xlpm.addship,
            ""
        )
    )
),J88)</f>
        <v>5577635.2857142854</v>
      </c>
      <c r="S88" s="4" t="str">
        <f t="shared" si="20"/>
        <v>Petrol over capacity | Diesel over capacity</v>
      </c>
      <c r="AB88" s="44">
        <f t="shared" si="21"/>
        <v>16085</v>
      </c>
      <c r="AC88" s="44">
        <f t="shared" si="22"/>
        <v>325936</v>
      </c>
      <c r="AD88" s="44">
        <f t="shared" si="23"/>
        <v>72571</v>
      </c>
      <c r="AE88" s="44">
        <f t="shared" si="24"/>
        <v>1832778</v>
      </c>
    </row>
    <row r="89" spans="7:31" ht="18" customHeight="1" x14ac:dyDescent="0.35">
      <c r="G89" s="37">
        <f t="shared" si="10"/>
        <v>46182</v>
      </c>
      <c r="H89" s="32"/>
      <c r="I89" s="32"/>
      <c r="J89" s="32"/>
      <c r="K89" s="32"/>
      <c r="L89" s="32"/>
      <c r="M89" s="52">
        <f t="shared" si="25"/>
        <v>0</v>
      </c>
      <c r="O89" s="27" t="str">
        <f t="shared" si="18"/>
        <v/>
      </c>
      <c r="P89" s="27" cm="1">
        <f t="array" ref="P89">IF(H89="",_xlfn.LET(
    _xlpm.vals,_xlfn._xlws.FILTER($I$5:I88,$I$5:I88&lt;&gt;"",""),
    _xlpm.avgJ,IF(COUNTA(_xlpm.vals)=0,0,AVERAGE(_xlfn.TAKE(_xlpm.vals,-MIN(7,ROWS(_xlpm.vals))))),
    _xlpm.addship,IF(O89="",0,O89),
    IF(
        AND(H88="",H89=""),
        P88-_xlpm.avgJ+_xlpm.addship,
        IF(
            H89="",
            H88-_xlpm.avgJ+_xlpm.addship,
            ""
        )
    )
),H89)</f>
        <v>1097991</v>
      </c>
      <c r="Q89" s="27" t="str">
        <f t="shared" si="19"/>
        <v/>
      </c>
      <c r="R89" s="27" cm="1">
        <f t="array" ref="R89">IF(J89="",_xlfn.LET(
    _xlpm.vals,_xlfn._xlws.FILTER($M$5:M88,$M$5:M88&lt;&gt;"",""),
    _xlpm.avgJ,IF(COUNTA(_xlpm.vals)=0,0,AVERAGE(_xlfn.TAKE(_xlpm.vals,-MIN(7,ROWS(_xlpm.vals))))),
    _xlpm.addship,IF(Q89="",0,Q89),
    IF(
        AND(J88="",J89=""),
        R88-_xlpm.avgJ+_xlpm.addship,
        IF(
            J89="",
            J88-_xlpm.avgJ+_xlpm.addship,
            ""
        )
    )
),J89)</f>
        <v>5577635.2857142854</v>
      </c>
      <c r="S89" s="4" t="str">
        <f t="shared" si="20"/>
        <v>Petrol over capacity | Diesel over capacity</v>
      </c>
      <c r="AB89" s="44">
        <f t="shared" si="21"/>
        <v>16085</v>
      </c>
      <c r="AC89" s="44">
        <f t="shared" si="22"/>
        <v>325936</v>
      </c>
      <c r="AD89" s="44">
        <f t="shared" si="23"/>
        <v>72571</v>
      </c>
      <c r="AE89" s="44">
        <f t="shared" si="24"/>
        <v>1832778</v>
      </c>
    </row>
    <row r="90" spans="7:31" ht="18" customHeight="1" x14ac:dyDescent="0.35">
      <c r="G90" s="37">
        <f t="shared" si="10"/>
        <v>46183</v>
      </c>
      <c r="H90" s="32"/>
      <c r="I90" s="32"/>
      <c r="J90" s="32"/>
      <c r="K90" s="32"/>
      <c r="L90" s="32"/>
      <c r="M90" s="52">
        <f t="shared" si="25"/>
        <v>0</v>
      </c>
      <c r="O90" s="27" t="str">
        <f t="shared" si="18"/>
        <v/>
      </c>
      <c r="P90" s="27" cm="1">
        <f t="array" ref="P90">IF(H90="",_xlfn.LET(
    _xlpm.vals,_xlfn._xlws.FILTER($I$5:I89,$I$5:I89&lt;&gt;"",""),
    _xlpm.avgJ,IF(COUNTA(_xlpm.vals)=0,0,AVERAGE(_xlfn.TAKE(_xlpm.vals,-MIN(7,ROWS(_xlpm.vals))))),
    _xlpm.addship,IF(O90="",0,O90),
    IF(
        AND(H89="",H90=""),
        P89-_xlpm.avgJ+_xlpm.addship,
        IF(
            H90="",
            H89-_xlpm.avgJ+_xlpm.addship,
            ""
        )
    )
),H90)</f>
        <v>1083961</v>
      </c>
      <c r="Q90" s="27" t="str">
        <f t="shared" si="19"/>
        <v/>
      </c>
      <c r="R90" s="27" cm="1">
        <f t="array" ref="R90">IF(J90="",_xlfn.LET(
    _xlpm.vals,_xlfn._xlws.FILTER($M$5:M89,$M$5:M89&lt;&gt;"",""),
    _xlpm.avgJ,IF(COUNTA(_xlpm.vals)=0,0,AVERAGE(_xlfn.TAKE(_xlpm.vals,-MIN(7,ROWS(_xlpm.vals))))),
    _xlpm.addship,IF(Q90="",0,Q90),
    IF(
        AND(J89="",J90=""),
        R89-_xlpm.avgJ+_xlpm.addship,
        IF(
            J90="",
            J89-_xlpm.avgJ+_xlpm.addship,
            ""
        )
    )
),J90)</f>
        <v>5577635.2857142854</v>
      </c>
      <c r="S90" s="4" t="str">
        <f t="shared" si="20"/>
        <v>Petrol over capacity | Diesel over capacity</v>
      </c>
      <c r="AB90" s="44">
        <f t="shared" si="21"/>
        <v>16085</v>
      </c>
      <c r="AC90" s="44">
        <f t="shared" si="22"/>
        <v>325936</v>
      </c>
      <c r="AD90" s="44">
        <f t="shared" si="23"/>
        <v>72571</v>
      </c>
      <c r="AE90" s="44">
        <f t="shared" si="24"/>
        <v>1832778</v>
      </c>
    </row>
    <row r="91" spans="7:31" ht="18" customHeight="1" x14ac:dyDescent="0.35">
      <c r="G91" s="37">
        <f t="shared" si="10"/>
        <v>46184</v>
      </c>
      <c r="H91" s="32"/>
      <c r="I91" s="32"/>
      <c r="J91" s="32"/>
      <c r="K91" s="32"/>
      <c r="L91" s="32"/>
      <c r="M91" s="52">
        <f t="shared" si="25"/>
        <v>0</v>
      </c>
      <c r="O91" s="27" t="str">
        <f t="shared" si="18"/>
        <v/>
      </c>
      <c r="P91" s="27" cm="1">
        <f t="array" ref="P91">IF(H91="",_xlfn.LET(
    _xlpm.vals,_xlfn._xlws.FILTER($I$5:I90,$I$5:I90&lt;&gt;"",""),
    _xlpm.avgJ,IF(COUNTA(_xlpm.vals)=0,0,AVERAGE(_xlfn.TAKE(_xlpm.vals,-MIN(7,ROWS(_xlpm.vals))))),
    _xlpm.addship,IF(O91="",0,O91),
    IF(
        AND(H90="",H91=""),
        P90-_xlpm.avgJ+_xlpm.addship,
        IF(
            H91="",
            H90-_xlpm.avgJ+_xlpm.addship,
            ""
        )
    )
),H91)</f>
        <v>1069931</v>
      </c>
      <c r="Q91" s="27" t="str">
        <f t="shared" si="19"/>
        <v/>
      </c>
      <c r="R91" s="27" cm="1">
        <f t="array" ref="R91">IF(J91="",_xlfn.LET(
    _xlpm.vals,_xlfn._xlws.FILTER($M$5:M90,$M$5:M90&lt;&gt;"",""),
    _xlpm.avgJ,IF(COUNTA(_xlpm.vals)=0,0,AVERAGE(_xlfn.TAKE(_xlpm.vals,-MIN(7,ROWS(_xlpm.vals))))),
    _xlpm.addship,IF(Q91="",0,Q91),
    IF(
        AND(J90="",J91=""),
        R90-_xlpm.avgJ+_xlpm.addship,
        IF(
            J91="",
            J90-_xlpm.avgJ+_xlpm.addship,
            ""
        )
    )
),J91)</f>
        <v>5577635.2857142854</v>
      </c>
      <c r="S91" s="4" t="str">
        <f t="shared" si="20"/>
        <v>Petrol over capacity | Diesel over capacity</v>
      </c>
      <c r="AB91" s="44">
        <f t="shared" si="21"/>
        <v>16085</v>
      </c>
      <c r="AC91" s="44">
        <f t="shared" si="22"/>
        <v>325936</v>
      </c>
      <c r="AD91" s="44">
        <f t="shared" si="23"/>
        <v>72571</v>
      </c>
      <c r="AE91" s="44">
        <f t="shared" si="24"/>
        <v>1832778</v>
      </c>
    </row>
    <row r="92" spans="7:31" ht="18" customHeight="1" x14ac:dyDescent="0.35">
      <c r="G92" s="37">
        <f t="shared" si="10"/>
        <v>46185</v>
      </c>
      <c r="H92" s="32"/>
      <c r="I92" s="32"/>
      <c r="J92" s="32"/>
      <c r="K92" s="32"/>
      <c r="L92" s="32"/>
      <c r="M92" s="52">
        <f t="shared" si="25"/>
        <v>0</v>
      </c>
      <c r="O92" s="27" t="str">
        <f t="shared" si="18"/>
        <v/>
      </c>
      <c r="P92" s="27" cm="1">
        <f t="array" ref="P92">IF(H92="",_xlfn.LET(
    _xlpm.vals,_xlfn._xlws.FILTER($I$5:I91,$I$5:I91&lt;&gt;"",""),
    _xlpm.avgJ,IF(COUNTA(_xlpm.vals)=0,0,AVERAGE(_xlfn.TAKE(_xlpm.vals,-MIN(7,ROWS(_xlpm.vals))))),
    _xlpm.addship,IF(O92="",0,O92),
    IF(
        AND(H91="",H92=""),
        P91-_xlpm.avgJ+_xlpm.addship,
        IF(
            H92="",
            H91-_xlpm.avgJ+_xlpm.addship,
            ""
        )
    )
),H92)</f>
        <v>1055901</v>
      </c>
      <c r="Q92" s="27" t="str">
        <f t="shared" si="19"/>
        <v/>
      </c>
      <c r="R92" s="27" cm="1">
        <f t="array" ref="R92">IF(J92="",_xlfn.LET(
    _xlpm.vals,_xlfn._xlws.FILTER($M$5:M91,$M$5:M91&lt;&gt;"",""),
    _xlpm.avgJ,IF(COUNTA(_xlpm.vals)=0,0,AVERAGE(_xlfn.TAKE(_xlpm.vals,-MIN(7,ROWS(_xlpm.vals))))),
    _xlpm.addship,IF(Q92="",0,Q92),
    IF(
        AND(J91="",J92=""),
        R91-_xlpm.avgJ+_xlpm.addship,
        IF(
            J92="",
            J91-_xlpm.avgJ+_xlpm.addship,
            ""
        )
    )
),J92)</f>
        <v>5577635.2857142854</v>
      </c>
      <c r="S92" s="4" t="str">
        <f t="shared" si="20"/>
        <v>Petrol over capacity | Diesel over capacity</v>
      </c>
      <c r="AB92" s="44">
        <f t="shared" si="21"/>
        <v>16085</v>
      </c>
      <c r="AC92" s="44">
        <f t="shared" si="22"/>
        <v>325936</v>
      </c>
      <c r="AD92" s="44">
        <f t="shared" si="23"/>
        <v>72571</v>
      </c>
      <c r="AE92" s="44">
        <f t="shared" si="24"/>
        <v>1832778</v>
      </c>
    </row>
    <row r="93" spans="7:31" ht="18" customHeight="1" x14ac:dyDescent="0.35">
      <c r="G93" s="37">
        <f t="shared" ref="G93:G110" si="26">G92+1</f>
        <v>46186</v>
      </c>
      <c r="H93" s="32"/>
      <c r="I93" s="32"/>
      <c r="J93" s="32"/>
      <c r="K93" s="32"/>
      <c r="L93" s="32"/>
      <c r="M93" s="52">
        <f t="shared" si="25"/>
        <v>0</v>
      </c>
      <c r="O93" s="27" t="str">
        <f t="shared" si="18"/>
        <v/>
      </c>
      <c r="P93" s="27" cm="1">
        <f t="array" ref="P93">IF(H93="",_xlfn.LET(
    _xlpm.vals,_xlfn._xlws.FILTER($I$5:I92,$I$5:I92&lt;&gt;"",""),
    _xlpm.avgJ,IF(COUNTA(_xlpm.vals)=0,0,AVERAGE(_xlfn.TAKE(_xlpm.vals,-MIN(7,ROWS(_xlpm.vals))))),
    _xlpm.addship,IF(O93="",0,O93),
    IF(
        AND(H92="",H93=""),
        P92-_xlpm.avgJ+_xlpm.addship,
        IF(
            H93="",
            H92-_xlpm.avgJ+_xlpm.addship,
            ""
        )
    )
),H93)</f>
        <v>1041871</v>
      </c>
      <c r="Q93" s="27" t="str">
        <f t="shared" si="19"/>
        <v/>
      </c>
      <c r="R93" s="27" cm="1">
        <f t="array" ref="R93">IF(J93="",_xlfn.LET(
    _xlpm.vals,_xlfn._xlws.FILTER($M$5:M92,$M$5:M92&lt;&gt;"",""),
    _xlpm.avgJ,IF(COUNTA(_xlpm.vals)=0,0,AVERAGE(_xlfn.TAKE(_xlpm.vals,-MIN(7,ROWS(_xlpm.vals))))),
    _xlpm.addship,IF(Q93="",0,Q93),
    IF(
        AND(J92="",J93=""),
        R92-_xlpm.avgJ+_xlpm.addship,
        IF(
            J93="",
            J92-_xlpm.avgJ+_xlpm.addship,
            ""
        )
    )
),J93)</f>
        <v>5577635.2857142854</v>
      </c>
      <c r="S93" s="4" t="str">
        <f t="shared" si="20"/>
        <v>Petrol over capacity | Diesel over capacity</v>
      </c>
      <c r="AB93" s="44">
        <f t="shared" si="21"/>
        <v>16085</v>
      </c>
      <c r="AC93" s="44">
        <f t="shared" si="22"/>
        <v>325936</v>
      </c>
      <c r="AD93" s="44">
        <f t="shared" si="23"/>
        <v>72571</v>
      </c>
      <c r="AE93" s="44">
        <f t="shared" si="24"/>
        <v>1832778</v>
      </c>
    </row>
    <row r="94" spans="7:31" ht="18" customHeight="1" x14ac:dyDescent="0.35">
      <c r="G94" s="37">
        <f t="shared" si="26"/>
        <v>46187</v>
      </c>
      <c r="H94" s="32"/>
      <c r="I94" s="32"/>
      <c r="J94" s="32"/>
      <c r="K94" s="32"/>
      <c r="L94" s="32"/>
      <c r="M94" s="52">
        <f t="shared" si="25"/>
        <v>0</v>
      </c>
      <c r="O94" s="27" t="str">
        <f t="shared" si="18"/>
        <v/>
      </c>
      <c r="P94" s="27" cm="1">
        <f t="array" ref="P94">IF(H94="",_xlfn.LET(
    _xlpm.vals,_xlfn._xlws.FILTER($I$5:I93,$I$5:I93&lt;&gt;"",""),
    _xlpm.avgJ,IF(COUNTA(_xlpm.vals)=0,0,AVERAGE(_xlfn.TAKE(_xlpm.vals,-MIN(7,ROWS(_xlpm.vals))))),
    _xlpm.addship,IF(O94="",0,O94),
    IF(
        AND(H93="",H94=""),
        P93-_xlpm.avgJ+_xlpm.addship,
        IF(
            H94="",
            H93-_xlpm.avgJ+_xlpm.addship,
            ""
        )
    )
),H94)</f>
        <v>1027841</v>
      </c>
      <c r="Q94" s="27" t="str">
        <f t="shared" si="19"/>
        <v/>
      </c>
      <c r="R94" s="27" cm="1">
        <f t="array" ref="R94">IF(J94="",_xlfn.LET(
    _xlpm.vals,_xlfn._xlws.FILTER($M$5:M93,$M$5:M93&lt;&gt;"",""),
    _xlpm.avgJ,IF(COUNTA(_xlpm.vals)=0,0,AVERAGE(_xlfn.TAKE(_xlpm.vals,-MIN(7,ROWS(_xlpm.vals))))),
    _xlpm.addship,IF(Q94="",0,Q94),
    IF(
        AND(J93="",J94=""),
        R93-_xlpm.avgJ+_xlpm.addship,
        IF(
            J94="",
            J93-_xlpm.avgJ+_xlpm.addship,
            ""
        )
    )
),J94)</f>
        <v>5577635.2857142854</v>
      </c>
      <c r="S94" s="4" t="str">
        <f t="shared" si="20"/>
        <v>Petrol over capacity | Diesel over capacity</v>
      </c>
      <c r="AB94" s="44">
        <f t="shared" si="21"/>
        <v>16085</v>
      </c>
      <c r="AC94" s="44">
        <f t="shared" si="22"/>
        <v>325936</v>
      </c>
      <c r="AD94" s="44">
        <f t="shared" si="23"/>
        <v>72571</v>
      </c>
      <c r="AE94" s="44">
        <f t="shared" si="24"/>
        <v>1832778</v>
      </c>
    </row>
    <row r="95" spans="7:31" ht="18" customHeight="1" x14ac:dyDescent="0.35">
      <c r="G95" s="37">
        <f t="shared" si="26"/>
        <v>46188</v>
      </c>
      <c r="H95" s="32"/>
      <c r="I95" s="32"/>
      <c r="J95" s="32"/>
      <c r="K95" s="32"/>
      <c r="L95" s="32"/>
      <c r="M95" s="52">
        <f t="shared" si="25"/>
        <v>0</v>
      </c>
      <c r="O95" s="27" t="str">
        <f t="shared" si="18"/>
        <v/>
      </c>
      <c r="P95" s="27" cm="1">
        <f t="array" ref="P95">IF(H95="",_xlfn.LET(
    _xlpm.vals,_xlfn._xlws.FILTER($I$5:I94,$I$5:I94&lt;&gt;"",""),
    _xlpm.avgJ,IF(COUNTA(_xlpm.vals)=0,0,AVERAGE(_xlfn.TAKE(_xlpm.vals,-MIN(7,ROWS(_xlpm.vals))))),
    _xlpm.addship,IF(O95="",0,O95),
    IF(
        AND(H94="",H95=""),
        P94-_xlpm.avgJ+_xlpm.addship,
        IF(
            H95="",
            H94-_xlpm.avgJ+_xlpm.addship,
            ""
        )
    )
),H95)</f>
        <v>1013811</v>
      </c>
      <c r="Q95" s="27" t="str">
        <f t="shared" si="19"/>
        <v/>
      </c>
      <c r="R95" s="27" cm="1">
        <f t="array" ref="R95">IF(J95="",_xlfn.LET(
    _xlpm.vals,_xlfn._xlws.FILTER($M$5:M94,$M$5:M94&lt;&gt;"",""),
    _xlpm.avgJ,IF(COUNTA(_xlpm.vals)=0,0,AVERAGE(_xlfn.TAKE(_xlpm.vals,-MIN(7,ROWS(_xlpm.vals))))),
    _xlpm.addship,IF(Q95="",0,Q95),
    IF(
        AND(J94="",J95=""),
        R94-_xlpm.avgJ+_xlpm.addship,
        IF(
            J95="",
            J94-_xlpm.avgJ+_xlpm.addship,
            ""
        )
    )
),J95)</f>
        <v>5577635.2857142854</v>
      </c>
      <c r="S95" s="4" t="str">
        <f t="shared" si="20"/>
        <v>Petrol over capacity | Diesel over capacity</v>
      </c>
      <c r="AB95" s="44">
        <f t="shared" si="21"/>
        <v>16085</v>
      </c>
      <c r="AC95" s="44">
        <f t="shared" si="22"/>
        <v>325936</v>
      </c>
      <c r="AD95" s="44">
        <f t="shared" si="23"/>
        <v>72571</v>
      </c>
      <c r="AE95" s="44">
        <f t="shared" si="24"/>
        <v>1832778</v>
      </c>
    </row>
    <row r="96" spans="7:31" ht="18" customHeight="1" x14ac:dyDescent="0.35">
      <c r="G96" s="37">
        <f t="shared" si="26"/>
        <v>46189</v>
      </c>
      <c r="H96" s="32"/>
      <c r="I96" s="32"/>
      <c r="J96" s="32"/>
      <c r="K96" s="32"/>
      <c r="L96" s="32"/>
      <c r="M96" s="52">
        <f t="shared" si="25"/>
        <v>0</v>
      </c>
      <c r="O96" s="27" t="str">
        <f t="shared" si="18"/>
        <v/>
      </c>
      <c r="P96" s="27" cm="1">
        <f t="array" ref="P96">IF(H96="",_xlfn.LET(
    _xlpm.vals,_xlfn._xlws.FILTER($I$5:I95,$I$5:I95&lt;&gt;"",""),
    _xlpm.avgJ,IF(COUNTA(_xlpm.vals)=0,0,AVERAGE(_xlfn.TAKE(_xlpm.vals,-MIN(7,ROWS(_xlpm.vals))))),
    _xlpm.addship,IF(O96="",0,O96),
    IF(
        AND(H95="",H96=""),
        P95-_xlpm.avgJ+_xlpm.addship,
        IF(
            H96="",
            H95-_xlpm.avgJ+_xlpm.addship,
            ""
        )
    )
),H96)</f>
        <v>999781</v>
      </c>
      <c r="Q96" s="27" t="str">
        <f t="shared" si="19"/>
        <v/>
      </c>
      <c r="R96" s="27" cm="1">
        <f t="array" ref="R96">IF(J96="",_xlfn.LET(
    _xlpm.vals,_xlfn._xlws.FILTER($M$5:M95,$M$5:M95&lt;&gt;"",""),
    _xlpm.avgJ,IF(COUNTA(_xlpm.vals)=0,0,AVERAGE(_xlfn.TAKE(_xlpm.vals,-MIN(7,ROWS(_xlpm.vals))))),
    _xlpm.addship,IF(Q96="",0,Q96),
    IF(
        AND(J95="",J96=""),
        R95-_xlpm.avgJ+_xlpm.addship,
        IF(
            J96="",
            J95-_xlpm.avgJ+_xlpm.addship,
            ""
        )
    )
),J96)</f>
        <v>5577635.2857142854</v>
      </c>
      <c r="S96" s="4" t="str">
        <f t="shared" si="20"/>
        <v>Petrol over capacity | Diesel over capacity</v>
      </c>
      <c r="AB96" s="44">
        <f t="shared" si="21"/>
        <v>16085</v>
      </c>
      <c r="AC96" s="44">
        <f t="shared" si="22"/>
        <v>325936</v>
      </c>
      <c r="AD96" s="44">
        <f t="shared" si="23"/>
        <v>72571</v>
      </c>
      <c r="AE96" s="44">
        <f t="shared" si="24"/>
        <v>1832778</v>
      </c>
    </row>
    <row r="97" spans="7:31" ht="18" customHeight="1" x14ac:dyDescent="0.35">
      <c r="G97" s="37">
        <f t="shared" si="26"/>
        <v>46190</v>
      </c>
      <c r="H97" s="32"/>
      <c r="I97" s="32"/>
      <c r="J97" s="32"/>
      <c r="K97" s="32"/>
      <c r="L97" s="32"/>
      <c r="M97" s="52">
        <f t="shared" si="25"/>
        <v>0</v>
      </c>
      <c r="O97" s="27" t="str">
        <f t="shared" si="18"/>
        <v/>
      </c>
      <c r="P97" s="27" cm="1">
        <f t="array" ref="P97">IF(H97="",_xlfn.LET(
    _xlpm.vals,_xlfn._xlws.FILTER($I$5:I96,$I$5:I96&lt;&gt;"",""),
    _xlpm.avgJ,IF(COUNTA(_xlpm.vals)=0,0,AVERAGE(_xlfn.TAKE(_xlpm.vals,-MIN(7,ROWS(_xlpm.vals))))),
    _xlpm.addship,IF(O97="",0,O97),
    IF(
        AND(H96="",H97=""),
        P96-_xlpm.avgJ+_xlpm.addship,
        IF(
            H97="",
            H96-_xlpm.avgJ+_xlpm.addship,
            ""
        )
    )
),H97)</f>
        <v>985751</v>
      </c>
      <c r="Q97" s="27" t="str">
        <f t="shared" si="19"/>
        <v/>
      </c>
      <c r="R97" s="27" cm="1">
        <f t="array" ref="R97">IF(J97="",_xlfn.LET(
    _xlpm.vals,_xlfn._xlws.FILTER($M$5:M96,$M$5:M96&lt;&gt;"",""),
    _xlpm.avgJ,IF(COUNTA(_xlpm.vals)=0,0,AVERAGE(_xlfn.TAKE(_xlpm.vals,-MIN(7,ROWS(_xlpm.vals))))),
    _xlpm.addship,IF(Q97="",0,Q97),
    IF(
        AND(J96="",J97=""),
        R96-_xlpm.avgJ+_xlpm.addship,
        IF(
            J97="",
            J96-_xlpm.avgJ+_xlpm.addship,
            ""
        )
    )
),J97)</f>
        <v>5577635.2857142854</v>
      </c>
      <c r="S97" s="4" t="str">
        <f t="shared" si="20"/>
        <v>Petrol over capacity | Diesel over capacity</v>
      </c>
      <c r="AB97" s="44">
        <f t="shared" si="21"/>
        <v>16085</v>
      </c>
      <c r="AC97" s="44">
        <f t="shared" si="22"/>
        <v>325936</v>
      </c>
      <c r="AD97" s="44">
        <f t="shared" si="23"/>
        <v>72571</v>
      </c>
      <c r="AE97" s="44">
        <f t="shared" si="24"/>
        <v>1832778</v>
      </c>
    </row>
    <row r="98" spans="7:31" ht="18" customHeight="1" x14ac:dyDescent="0.35">
      <c r="G98" s="37">
        <f t="shared" si="26"/>
        <v>46191</v>
      </c>
      <c r="H98" s="32"/>
      <c r="I98" s="32"/>
      <c r="J98" s="32"/>
      <c r="K98" s="32"/>
      <c r="L98" s="32"/>
      <c r="M98" s="52">
        <f t="shared" si="25"/>
        <v>0</v>
      </c>
      <c r="O98" s="27" t="str">
        <f t="shared" si="18"/>
        <v/>
      </c>
      <c r="P98" s="27" cm="1">
        <f t="array" ref="P98">IF(H98="",_xlfn.LET(
    _xlpm.vals,_xlfn._xlws.FILTER($I$5:I97,$I$5:I97&lt;&gt;"",""),
    _xlpm.avgJ,IF(COUNTA(_xlpm.vals)=0,0,AVERAGE(_xlfn.TAKE(_xlpm.vals,-MIN(7,ROWS(_xlpm.vals))))),
    _xlpm.addship,IF(O98="",0,O98),
    IF(
        AND(H97="",H98=""),
        P97-_xlpm.avgJ+_xlpm.addship,
        IF(
            H98="",
            H97-_xlpm.avgJ+_xlpm.addship,
            ""
        )
    )
),H98)</f>
        <v>971721</v>
      </c>
      <c r="Q98" s="27" t="str">
        <f t="shared" si="19"/>
        <v/>
      </c>
      <c r="R98" s="27" cm="1">
        <f t="array" ref="R98">IF(J98="",_xlfn.LET(
    _xlpm.vals,_xlfn._xlws.FILTER($M$5:M97,$M$5:M97&lt;&gt;"",""),
    _xlpm.avgJ,IF(COUNTA(_xlpm.vals)=0,0,AVERAGE(_xlfn.TAKE(_xlpm.vals,-MIN(7,ROWS(_xlpm.vals))))),
    _xlpm.addship,IF(Q98="",0,Q98),
    IF(
        AND(J97="",J98=""),
        R97-_xlpm.avgJ+_xlpm.addship,
        IF(
            J98="",
            J97-_xlpm.avgJ+_xlpm.addship,
            ""
        )
    )
),J98)</f>
        <v>5577635.2857142854</v>
      </c>
      <c r="S98" s="4" t="str">
        <f t="shared" si="20"/>
        <v>Petrol over capacity | Diesel over capacity</v>
      </c>
      <c r="AB98" s="44">
        <f t="shared" si="21"/>
        <v>16085</v>
      </c>
      <c r="AC98" s="44">
        <f t="shared" si="22"/>
        <v>325936</v>
      </c>
      <c r="AD98" s="44">
        <f t="shared" si="23"/>
        <v>72571</v>
      </c>
      <c r="AE98" s="44">
        <f t="shared" si="24"/>
        <v>1832778</v>
      </c>
    </row>
    <row r="99" spans="7:31" ht="18" customHeight="1" x14ac:dyDescent="0.35">
      <c r="G99" s="37">
        <f t="shared" si="26"/>
        <v>46192</v>
      </c>
      <c r="H99" s="32"/>
      <c r="I99" s="32"/>
      <c r="J99" s="32"/>
      <c r="K99" s="32"/>
      <c r="L99" s="32"/>
      <c r="M99" s="52">
        <f t="shared" si="25"/>
        <v>0</v>
      </c>
      <c r="O99" s="27" t="str">
        <f t="shared" si="18"/>
        <v/>
      </c>
      <c r="P99" s="27" cm="1">
        <f t="array" ref="P99">IF(H99="",_xlfn.LET(
    _xlpm.vals,_xlfn._xlws.FILTER($I$5:I98,$I$5:I98&lt;&gt;"",""),
    _xlpm.avgJ,IF(COUNTA(_xlpm.vals)=0,0,AVERAGE(_xlfn.TAKE(_xlpm.vals,-MIN(7,ROWS(_xlpm.vals))))),
    _xlpm.addship,IF(O99="",0,O99),
    IF(
        AND(H98="",H99=""),
        P98-_xlpm.avgJ+_xlpm.addship,
        IF(
            H99="",
            H98-_xlpm.avgJ+_xlpm.addship,
            ""
        )
    )
),H99)</f>
        <v>957691</v>
      </c>
      <c r="Q99" s="27" t="str">
        <f t="shared" si="19"/>
        <v/>
      </c>
      <c r="R99" s="27" cm="1">
        <f t="array" ref="R99">IF(J99="",_xlfn.LET(
    _xlpm.vals,_xlfn._xlws.FILTER($M$5:M98,$M$5:M98&lt;&gt;"",""),
    _xlpm.avgJ,IF(COUNTA(_xlpm.vals)=0,0,AVERAGE(_xlfn.TAKE(_xlpm.vals,-MIN(7,ROWS(_xlpm.vals))))),
    _xlpm.addship,IF(Q99="",0,Q99),
    IF(
        AND(J98="",J99=""),
        R98-_xlpm.avgJ+_xlpm.addship,
        IF(
            J99="",
            J98-_xlpm.avgJ+_xlpm.addship,
            ""
        )
    )
),J99)</f>
        <v>5577635.2857142854</v>
      </c>
      <c r="S99" s="4" t="str">
        <f t="shared" si="20"/>
        <v>Petrol over capacity | Diesel over capacity</v>
      </c>
      <c r="AB99" s="44">
        <f t="shared" si="21"/>
        <v>16085</v>
      </c>
      <c r="AC99" s="44">
        <f t="shared" si="22"/>
        <v>325936</v>
      </c>
      <c r="AD99" s="44">
        <f t="shared" si="23"/>
        <v>72571</v>
      </c>
      <c r="AE99" s="44">
        <f t="shared" si="24"/>
        <v>1832778</v>
      </c>
    </row>
    <row r="100" spans="7:31" ht="18" customHeight="1" x14ac:dyDescent="0.35">
      <c r="G100" s="37">
        <f t="shared" si="26"/>
        <v>46193</v>
      </c>
      <c r="H100" s="32"/>
      <c r="I100" s="32"/>
      <c r="J100" s="32"/>
      <c r="K100" s="32"/>
      <c r="L100" s="32"/>
      <c r="M100" s="52">
        <f t="shared" si="25"/>
        <v>0</v>
      </c>
      <c r="O100" s="27" t="str">
        <f t="shared" si="18"/>
        <v/>
      </c>
      <c r="P100" s="27" cm="1">
        <f t="array" ref="P100">IF(H100="",_xlfn.LET(
    _xlpm.vals,_xlfn._xlws.FILTER($I$5:I99,$I$5:I99&lt;&gt;"",""),
    _xlpm.avgJ,IF(COUNTA(_xlpm.vals)=0,0,AVERAGE(_xlfn.TAKE(_xlpm.vals,-MIN(7,ROWS(_xlpm.vals))))),
    _xlpm.addship,IF(O100="",0,O100),
    IF(
        AND(H99="",H100=""),
        P99-_xlpm.avgJ+_xlpm.addship,
        IF(
            H100="",
            H99-_xlpm.avgJ+_xlpm.addship,
            ""
        )
    )
),H100)</f>
        <v>943661</v>
      </c>
      <c r="Q100" s="27" t="str">
        <f t="shared" si="19"/>
        <v/>
      </c>
      <c r="R100" s="27" cm="1">
        <f t="array" ref="R100">IF(J100="",_xlfn.LET(
    _xlpm.vals,_xlfn._xlws.FILTER($M$5:M99,$M$5:M99&lt;&gt;"",""),
    _xlpm.avgJ,IF(COUNTA(_xlpm.vals)=0,0,AVERAGE(_xlfn.TAKE(_xlpm.vals,-MIN(7,ROWS(_xlpm.vals))))),
    _xlpm.addship,IF(Q100="",0,Q100),
    IF(
        AND(J99="",J100=""),
        R99-_xlpm.avgJ+_xlpm.addship,
        IF(
            J100="",
            J99-_xlpm.avgJ+_xlpm.addship,
            ""
        )
    )
),J100)</f>
        <v>5577635.2857142854</v>
      </c>
      <c r="S100" s="4" t="str">
        <f t="shared" si="20"/>
        <v>Petrol over capacity | Diesel over capacity</v>
      </c>
      <c r="AB100" s="44">
        <f t="shared" si="21"/>
        <v>16085</v>
      </c>
      <c r="AC100" s="44">
        <f t="shared" si="22"/>
        <v>325936</v>
      </c>
      <c r="AD100" s="44">
        <f t="shared" si="23"/>
        <v>72571</v>
      </c>
      <c r="AE100" s="44">
        <f t="shared" si="24"/>
        <v>1832778</v>
      </c>
    </row>
    <row r="101" spans="7:31" ht="18" customHeight="1" x14ac:dyDescent="0.35">
      <c r="G101" s="37">
        <f t="shared" si="26"/>
        <v>46194</v>
      </c>
      <c r="H101" s="32"/>
      <c r="I101" s="32"/>
      <c r="J101" s="32"/>
      <c r="K101" s="32"/>
      <c r="L101" s="32"/>
      <c r="M101" s="52">
        <f t="shared" si="25"/>
        <v>0</v>
      </c>
      <c r="O101" s="27" t="str">
        <f t="shared" ref="O101:O110" si="27">IF(H101="",IFERROR(_xlfn.XLOOKUP(G101,$B$8:$B$12,$C$8:$C$12,""),""),"")</f>
        <v/>
      </c>
      <c r="P101" s="27" cm="1">
        <f t="array" ref="P101">IF(H101="",_xlfn.LET(
    _xlpm.vals,_xlfn._xlws.FILTER($I$5:I100,$I$5:I100&lt;&gt;"",""),
    _xlpm.avgJ,IF(COUNTA(_xlpm.vals)=0,0,AVERAGE(_xlfn.TAKE(_xlpm.vals,-MIN(7,ROWS(_xlpm.vals))))),
    _xlpm.addship,IF(O101="",0,O101),
    IF(
        AND(H100="",H101=""),
        P100-_xlpm.avgJ+_xlpm.addship,
        IF(
            H101="",
            H100-_xlpm.avgJ+_xlpm.addship,
            ""
        )
    )
),H101)</f>
        <v>929631</v>
      </c>
      <c r="Q101" s="27" t="str">
        <f t="shared" ref="Q101:Q110" si="28">IF(J101="",IFERROR(_xlfn.XLOOKUP(G101,$B$8:$B$12,$D$8:$D$12,""),""),"")</f>
        <v/>
      </c>
      <c r="R101" s="27" cm="1">
        <f t="array" ref="R101">IF(J101="",_xlfn.LET(
    _xlpm.vals,_xlfn._xlws.FILTER($M$5:M100,$M$5:M100&lt;&gt;"",""),
    _xlpm.avgJ,IF(COUNTA(_xlpm.vals)=0,0,AVERAGE(_xlfn.TAKE(_xlpm.vals,-MIN(7,ROWS(_xlpm.vals))))),
    _xlpm.addship,IF(Q101="",0,Q101),
    IF(
        AND(J100="",J101=""),
        R100-_xlpm.avgJ+_xlpm.addship,
        IF(
            J101="",
            J100-_xlpm.avgJ+_xlpm.addship,
            ""
        )
    )
),J101)</f>
        <v>5577635.2857142854</v>
      </c>
      <c r="S101" s="4" t="str">
        <f t="shared" ref="S101:S110" si="29">IF(AND(P101="",R101=""),"",
_xlfn.LET(
_xlpm.msgs,
_xlfn.TEXTJOIN(" | ",TRUE,
IF(P101&gt;$C$21,"Petrol over capacity",""),
IF(P101&lt;$C$22,"Petrol stock out",""),
IF(R101&gt;$D$21,"Diesel over capacity",""),
IF(R101&lt;$D$22,"Diesel stock out","")
),
IF(_xlpm.msgs="","",_xlpm.msgs)
))</f>
        <v>Petrol over capacity | Diesel over capacity</v>
      </c>
      <c r="AB101" s="44">
        <f t="shared" ref="AB101:AB110" si="30">$C$22</f>
        <v>16085</v>
      </c>
      <c r="AC101" s="44">
        <f t="shared" ref="AC101:AC110" si="31">$C$21</f>
        <v>325936</v>
      </c>
      <c r="AD101" s="44">
        <f t="shared" ref="AD101:AD110" si="32">$D$22</f>
        <v>72571</v>
      </c>
      <c r="AE101" s="44">
        <f t="shared" ref="AE101:AE110" si="33">$D$21</f>
        <v>1832778</v>
      </c>
    </row>
    <row r="102" spans="7:31" ht="18" customHeight="1" x14ac:dyDescent="0.35">
      <c r="G102" s="37">
        <f t="shared" si="26"/>
        <v>46195</v>
      </c>
      <c r="H102" s="32"/>
      <c r="I102" s="32"/>
      <c r="J102" s="32"/>
      <c r="K102" s="32"/>
      <c r="L102" s="32"/>
      <c r="M102" s="52">
        <f t="shared" si="25"/>
        <v>0</v>
      </c>
      <c r="O102" s="27" t="str">
        <f t="shared" si="27"/>
        <v/>
      </c>
      <c r="P102" s="27" cm="1">
        <f t="array" ref="P102">IF(H102="",_xlfn.LET(
    _xlpm.vals,_xlfn._xlws.FILTER($I$5:I101,$I$5:I101&lt;&gt;"",""),
    _xlpm.avgJ,IF(COUNTA(_xlpm.vals)=0,0,AVERAGE(_xlfn.TAKE(_xlpm.vals,-MIN(7,ROWS(_xlpm.vals))))),
    _xlpm.addship,IF(O102="",0,O102),
    IF(
        AND(H101="",H102=""),
        P101-_xlpm.avgJ+_xlpm.addship,
        IF(
            H102="",
            H101-_xlpm.avgJ+_xlpm.addship,
            ""
        )
    )
),H102)</f>
        <v>915601</v>
      </c>
      <c r="Q102" s="27" t="str">
        <f t="shared" si="28"/>
        <v/>
      </c>
      <c r="R102" s="27" cm="1">
        <f t="array" ref="R102">IF(J102="",_xlfn.LET(
    _xlpm.vals,_xlfn._xlws.FILTER($M$5:M101,$M$5:M101&lt;&gt;"",""),
    _xlpm.avgJ,IF(COUNTA(_xlpm.vals)=0,0,AVERAGE(_xlfn.TAKE(_xlpm.vals,-MIN(7,ROWS(_xlpm.vals))))),
    _xlpm.addship,IF(Q102="",0,Q102),
    IF(
        AND(J101="",J102=""),
        R101-_xlpm.avgJ+_xlpm.addship,
        IF(
            J102="",
            J101-_xlpm.avgJ+_xlpm.addship,
            ""
        )
    )
),J102)</f>
        <v>5577635.2857142854</v>
      </c>
      <c r="S102" s="4" t="str">
        <f t="shared" si="29"/>
        <v>Petrol over capacity | Diesel over capacity</v>
      </c>
      <c r="AB102" s="44">
        <f t="shared" si="30"/>
        <v>16085</v>
      </c>
      <c r="AC102" s="44">
        <f t="shared" si="31"/>
        <v>325936</v>
      </c>
      <c r="AD102" s="44">
        <f t="shared" si="32"/>
        <v>72571</v>
      </c>
      <c r="AE102" s="44">
        <f t="shared" si="33"/>
        <v>1832778</v>
      </c>
    </row>
    <row r="103" spans="7:31" ht="18" customHeight="1" x14ac:dyDescent="0.35">
      <c r="G103" s="37">
        <f t="shared" si="26"/>
        <v>46196</v>
      </c>
      <c r="H103" s="32"/>
      <c r="I103" s="32"/>
      <c r="J103" s="32"/>
      <c r="K103" s="32"/>
      <c r="L103" s="32"/>
      <c r="M103" s="52">
        <f t="shared" si="25"/>
        <v>0</v>
      </c>
      <c r="O103" s="27" t="str">
        <f t="shared" si="27"/>
        <v/>
      </c>
      <c r="P103" s="27" cm="1">
        <f t="array" ref="P103">IF(H103="",_xlfn.LET(
    _xlpm.vals,_xlfn._xlws.FILTER($I$5:I102,$I$5:I102&lt;&gt;"",""),
    _xlpm.avgJ,IF(COUNTA(_xlpm.vals)=0,0,AVERAGE(_xlfn.TAKE(_xlpm.vals,-MIN(7,ROWS(_xlpm.vals))))),
    _xlpm.addship,IF(O103="",0,O103),
    IF(
        AND(H102="",H103=""),
        P102-_xlpm.avgJ+_xlpm.addship,
        IF(
            H103="",
            H102-_xlpm.avgJ+_xlpm.addship,
            ""
        )
    )
),H103)</f>
        <v>901571</v>
      </c>
      <c r="Q103" s="27" t="str">
        <f t="shared" si="28"/>
        <v/>
      </c>
      <c r="R103" s="27" cm="1">
        <f t="array" ref="R103">IF(J103="",_xlfn.LET(
    _xlpm.vals,_xlfn._xlws.FILTER($M$5:M102,$M$5:M102&lt;&gt;"",""),
    _xlpm.avgJ,IF(COUNTA(_xlpm.vals)=0,0,AVERAGE(_xlfn.TAKE(_xlpm.vals,-MIN(7,ROWS(_xlpm.vals))))),
    _xlpm.addship,IF(Q103="",0,Q103),
    IF(
        AND(J102="",J103=""),
        R102-_xlpm.avgJ+_xlpm.addship,
        IF(
            J103="",
            J102-_xlpm.avgJ+_xlpm.addship,
            ""
        )
    )
),J103)</f>
        <v>5577635.2857142854</v>
      </c>
      <c r="S103" s="4" t="str">
        <f t="shared" si="29"/>
        <v>Petrol over capacity | Diesel over capacity</v>
      </c>
      <c r="AB103" s="44">
        <f t="shared" si="30"/>
        <v>16085</v>
      </c>
      <c r="AC103" s="44">
        <f t="shared" si="31"/>
        <v>325936</v>
      </c>
      <c r="AD103" s="44">
        <f t="shared" si="32"/>
        <v>72571</v>
      </c>
      <c r="AE103" s="44">
        <f t="shared" si="33"/>
        <v>1832778</v>
      </c>
    </row>
    <row r="104" spans="7:31" ht="18" customHeight="1" x14ac:dyDescent="0.35">
      <c r="G104" s="37">
        <f t="shared" si="26"/>
        <v>46197</v>
      </c>
      <c r="H104" s="32"/>
      <c r="I104" s="32"/>
      <c r="J104" s="32"/>
      <c r="K104" s="32"/>
      <c r="L104" s="32"/>
      <c r="M104" s="52">
        <f t="shared" si="25"/>
        <v>0</v>
      </c>
      <c r="O104" s="27" t="str">
        <f t="shared" si="27"/>
        <v/>
      </c>
      <c r="P104" s="27" cm="1">
        <f t="array" ref="P104">IF(H104="",_xlfn.LET(
    _xlpm.vals,_xlfn._xlws.FILTER($I$5:I103,$I$5:I103&lt;&gt;"",""),
    _xlpm.avgJ,IF(COUNTA(_xlpm.vals)=0,0,AVERAGE(_xlfn.TAKE(_xlpm.vals,-MIN(7,ROWS(_xlpm.vals))))),
    _xlpm.addship,IF(O104="",0,O104),
    IF(
        AND(H103="",H104=""),
        P103-_xlpm.avgJ+_xlpm.addship,
        IF(
            H104="",
            H103-_xlpm.avgJ+_xlpm.addship,
            ""
        )
    )
),H104)</f>
        <v>887541</v>
      </c>
      <c r="Q104" s="27" t="str">
        <f t="shared" si="28"/>
        <v/>
      </c>
      <c r="R104" s="27" cm="1">
        <f t="array" ref="R104">IF(J104="",_xlfn.LET(
    _xlpm.vals,_xlfn._xlws.FILTER($M$5:M103,$M$5:M103&lt;&gt;"",""),
    _xlpm.avgJ,IF(COUNTA(_xlpm.vals)=0,0,AVERAGE(_xlfn.TAKE(_xlpm.vals,-MIN(7,ROWS(_xlpm.vals))))),
    _xlpm.addship,IF(Q104="",0,Q104),
    IF(
        AND(J103="",J104=""),
        R103-_xlpm.avgJ+_xlpm.addship,
        IF(
            J104="",
            J103-_xlpm.avgJ+_xlpm.addship,
            ""
        )
    )
),J104)</f>
        <v>5577635.2857142854</v>
      </c>
      <c r="S104" s="4" t="str">
        <f t="shared" si="29"/>
        <v>Petrol over capacity | Diesel over capacity</v>
      </c>
      <c r="AB104" s="44">
        <f t="shared" si="30"/>
        <v>16085</v>
      </c>
      <c r="AC104" s="44">
        <f t="shared" si="31"/>
        <v>325936</v>
      </c>
      <c r="AD104" s="44">
        <f t="shared" si="32"/>
        <v>72571</v>
      </c>
      <c r="AE104" s="44">
        <f t="shared" si="33"/>
        <v>1832778</v>
      </c>
    </row>
    <row r="105" spans="7:31" ht="18" customHeight="1" x14ac:dyDescent="0.35">
      <c r="G105" s="37">
        <f t="shared" si="26"/>
        <v>46198</v>
      </c>
      <c r="H105" s="32"/>
      <c r="I105" s="32"/>
      <c r="J105" s="32"/>
      <c r="K105" s="32"/>
      <c r="L105" s="32"/>
      <c r="M105" s="52">
        <f t="shared" si="25"/>
        <v>0</v>
      </c>
      <c r="O105" s="27" t="str">
        <f t="shared" si="27"/>
        <v/>
      </c>
      <c r="P105" s="27" cm="1">
        <f t="array" ref="P105">IF(H105="",_xlfn.LET(
    _xlpm.vals,_xlfn._xlws.FILTER($I$5:I104,$I$5:I104&lt;&gt;"",""),
    _xlpm.avgJ,IF(COUNTA(_xlpm.vals)=0,0,AVERAGE(_xlfn.TAKE(_xlpm.vals,-MIN(7,ROWS(_xlpm.vals))))),
    _xlpm.addship,IF(O105="",0,O105),
    IF(
        AND(H104="",H105=""),
        P104-_xlpm.avgJ+_xlpm.addship,
        IF(
            H105="",
            H104-_xlpm.avgJ+_xlpm.addship,
            ""
        )
    )
),H105)</f>
        <v>873511</v>
      </c>
      <c r="Q105" s="27" t="str">
        <f t="shared" si="28"/>
        <v/>
      </c>
      <c r="R105" s="27" cm="1">
        <f t="array" ref="R105">IF(J105="",_xlfn.LET(
    _xlpm.vals,_xlfn._xlws.FILTER($M$5:M104,$M$5:M104&lt;&gt;"",""),
    _xlpm.avgJ,IF(COUNTA(_xlpm.vals)=0,0,AVERAGE(_xlfn.TAKE(_xlpm.vals,-MIN(7,ROWS(_xlpm.vals))))),
    _xlpm.addship,IF(Q105="",0,Q105),
    IF(
        AND(J104="",J105=""),
        R104-_xlpm.avgJ+_xlpm.addship,
        IF(
            J105="",
            J104-_xlpm.avgJ+_xlpm.addship,
            ""
        )
    )
),J105)</f>
        <v>5577635.2857142854</v>
      </c>
      <c r="S105" s="4" t="str">
        <f t="shared" si="29"/>
        <v>Petrol over capacity | Diesel over capacity</v>
      </c>
      <c r="AB105" s="44">
        <f t="shared" si="30"/>
        <v>16085</v>
      </c>
      <c r="AC105" s="44">
        <f t="shared" si="31"/>
        <v>325936</v>
      </c>
      <c r="AD105" s="44">
        <f t="shared" si="32"/>
        <v>72571</v>
      </c>
      <c r="AE105" s="44">
        <f t="shared" si="33"/>
        <v>1832778</v>
      </c>
    </row>
    <row r="106" spans="7:31" ht="18" customHeight="1" x14ac:dyDescent="0.35">
      <c r="G106" s="37">
        <f t="shared" si="26"/>
        <v>46199</v>
      </c>
      <c r="H106" s="32"/>
      <c r="I106" s="32"/>
      <c r="J106" s="32"/>
      <c r="K106" s="32"/>
      <c r="L106" s="32"/>
      <c r="M106" s="52">
        <f t="shared" si="25"/>
        <v>0</v>
      </c>
      <c r="O106" s="27" t="str">
        <f t="shared" si="27"/>
        <v/>
      </c>
      <c r="P106" s="27" cm="1">
        <f t="array" ref="P106">IF(H106="",_xlfn.LET(
    _xlpm.vals,_xlfn._xlws.FILTER($I$5:I105,$I$5:I105&lt;&gt;"",""),
    _xlpm.avgJ,IF(COUNTA(_xlpm.vals)=0,0,AVERAGE(_xlfn.TAKE(_xlpm.vals,-MIN(7,ROWS(_xlpm.vals))))),
    _xlpm.addship,IF(O106="",0,O106),
    IF(
        AND(H105="",H106=""),
        P105-_xlpm.avgJ+_xlpm.addship,
        IF(
            H106="",
            H105-_xlpm.avgJ+_xlpm.addship,
            ""
        )
    )
),H106)</f>
        <v>859481</v>
      </c>
      <c r="Q106" s="27" t="str">
        <f t="shared" si="28"/>
        <v/>
      </c>
      <c r="R106" s="27" cm="1">
        <f t="array" ref="R106">IF(J106="",_xlfn.LET(
    _xlpm.vals,_xlfn._xlws.FILTER($M$5:M105,$M$5:M105&lt;&gt;"",""),
    _xlpm.avgJ,IF(COUNTA(_xlpm.vals)=0,0,AVERAGE(_xlfn.TAKE(_xlpm.vals,-MIN(7,ROWS(_xlpm.vals))))),
    _xlpm.addship,IF(Q106="",0,Q106),
    IF(
        AND(J105="",J106=""),
        R105-_xlpm.avgJ+_xlpm.addship,
        IF(
            J106="",
            J105-_xlpm.avgJ+_xlpm.addship,
            ""
        )
    )
),J106)</f>
        <v>5577635.2857142854</v>
      </c>
      <c r="S106" s="4" t="str">
        <f t="shared" si="29"/>
        <v>Petrol over capacity | Diesel over capacity</v>
      </c>
      <c r="AB106" s="44">
        <f t="shared" si="30"/>
        <v>16085</v>
      </c>
      <c r="AC106" s="44">
        <f t="shared" si="31"/>
        <v>325936</v>
      </c>
      <c r="AD106" s="44">
        <f t="shared" si="32"/>
        <v>72571</v>
      </c>
      <c r="AE106" s="44">
        <f t="shared" si="33"/>
        <v>1832778</v>
      </c>
    </row>
    <row r="107" spans="7:31" ht="18" customHeight="1" x14ac:dyDescent="0.35">
      <c r="G107" s="37">
        <f t="shared" si="26"/>
        <v>46200</v>
      </c>
      <c r="H107" s="32"/>
      <c r="I107" s="32"/>
      <c r="J107" s="32"/>
      <c r="K107" s="32"/>
      <c r="L107" s="32"/>
      <c r="M107" s="52">
        <f t="shared" si="25"/>
        <v>0</v>
      </c>
      <c r="O107" s="27" t="str">
        <f t="shared" si="27"/>
        <v/>
      </c>
      <c r="P107" s="27" cm="1">
        <f t="array" ref="P107">IF(H107="",_xlfn.LET(
    _xlpm.vals,_xlfn._xlws.FILTER($I$5:I106,$I$5:I106&lt;&gt;"",""),
    _xlpm.avgJ,IF(COUNTA(_xlpm.vals)=0,0,AVERAGE(_xlfn.TAKE(_xlpm.vals,-MIN(7,ROWS(_xlpm.vals))))),
    _xlpm.addship,IF(O107="",0,O107),
    IF(
        AND(H106="",H107=""),
        P106-_xlpm.avgJ+_xlpm.addship,
        IF(
            H107="",
            H106-_xlpm.avgJ+_xlpm.addship,
            ""
        )
    )
),H107)</f>
        <v>845451</v>
      </c>
      <c r="Q107" s="27" t="str">
        <f t="shared" si="28"/>
        <v/>
      </c>
      <c r="R107" s="27" cm="1">
        <f t="array" ref="R107">IF(J107="",_xlfn.LET(
    _xlpm.vals,_xlfn._xlws.FILTER($M$5:M106,$M$5:M106&lt;&gt;"",""),
    _xlpm.avgJ,IF(COUNTA(_xlpm.vals)=0,0,AVERAGE(_xlfn.TAKE(_xlpm.vals,-MIN(7,ROWS(_xlpm.vals))))),
    _xlpm.addship,IF(Q107="",0,Q107),
    IF(
        AND(J106="",J107=""),
        R106-_xlpm.avgJ+_xlpm.addship,
        IF(
            J107="",
            J106-_xlpm.avgJ+_xlpm.addship,
            ""
        )
    )
),J107)</f>
        <v>5577635.2857142854</v>
      </c>
      <c r="S107" s="4" t="str">
        <f t="shared" si="29"/>
        <v>Petrol over capacity | Diesel over capacity</v>
      </c>
      <c r="AB107" s="44">
        <f t="shared" si="30"/>
        <v>16085</v>
      </c>
      <c r="AC107" s="44">
        <f t="shared" si="31"/>
        <v>325936</v>
      </c>
      <c r="AD107" s="44">
        <f t="shared" si="32"/>
        <v>72571</v>
      </c>
      <c r="AE107" s="44">
        <f t="shared" si="33"/>
        <v>1832778</v>
      </c>
    </row>
    <row r="108" spans="7:31" ht="18" customHeight="1" x14ac:dyDescent="0.35">
      <c r="G108" s="37">
        <f t="shared" si="26"/>
        <v>46201</v>
      </c>
      <c r="H108" s="32"/>
      <c r="I108" s="32"/>
      <c r="J108" s="32"/>
      <c r="K108" s="32"/>
      <c r="L108" s="32"/>
      <c r="M108" s="52">
        <f t="shared" si="25"/>
        <v>0</v>
      </c>
      <c r="O108" s="27" t="str">
        <f t="shared" si="27"/>
        <v/>
      </c>
      <c r="P108" s="27" cm="1">
        <f t="array" ref="P108">IF(H108="",_xlfn.LET(
    _xlpm.vals,_xlfn._xlws.FILTER($I$5:I107,$I$5:I107&lt;&gt;"",""),
    _xlpm.avgJ,IF(COUNTA(_xlpm.vals)=0,0,AVERAGE(_xlfn.TAKE(_xlpm.vals,-MIN(7,ROWS(_xlpm.vals))))),
    _xlpm.addship,IF(O108="",0,O108),
    IF(
        AND(H107="",H108=""),
        P107-_xlpm.avgJ+_xlpm.addship,
        IF(
            H108="",
            H107-_xlpm.avgJ+_xlpm.addship,
            ""
        )
    )
),H108)</f>
        <v>831421</v>
      </c>
      <c r="Q108" s="27" t="str">
        <f t="shared" si="28"/>
        <v/>
      </c>
      <c r="R108" s="27" cm="1">
        <f t="array" ref="R108">IF(J108="",_xlfn.LET(
    _xlpm.vals,_xlfn._xlws.FILTER($M$5:M107,$M$5:M107&lt;&gt;"",""),
    _xlpm.avgJ,IF(COUNTA(_xlpm.vals)=0,0,AVERAGE(_xlfn.TAKE(_xlpm.vals,-MIN(7,ROWS(_xlpm.vals))))),
    _xlpm.addship,IF(Q108="",0,Q108),
    IF(
        AND(J107="",J108=""),
        R107-_xlpm.avgJ+_xlpm.addship,
        IF(
            J108="",
            J107-_xlpm.avgJ+_xlpm.addship,
            ""
        )
    )
),J108)</f>
        <v>5577635.2857142854</v>
      </c>
      <c r="S108" s="4" t="str">
        <f t="shared" si="29"/>
        <v>Petrol over capacity | Diesel over capacity</v>
      </c>
      <c r="AB108" s="44">
        <f t="shared" si="30"/>
        <v>16085</v>
      </c>
      <c r="AC108" s="44">
        <f t="shared" si="31"/>
        <v>325936</v>
      </c>
      <c r="AD108" s="44">
        <f t="shared" si="32"/>
        <v>72571</v>
      </c>
      <c r="AE108" s="44">
        <f t="shared" si="33"/>
        <v>1832778</v>
      </c>
    </row>
    <row r="109" spans="7:31" ht="18" customHeight="1" x14ac:dyDescent="0.35">
      <c r="G109" s="37">
        <f t="shared" si="26"/>
        <v>46202</v>
      </c>
      <c r="H109" s="32"/>
      <c r="I109" s="32"/>
      <c r="J109" s="32"/>
      <c r="K109" s="32"/>
      <c r="L109" s="32"/>
      <c r="M109" s="52">
        <f t="shared" si="25"/>
        <v>0</v>
      </c>
      <c r="O109" s="27" t="str">
        <f t="shared" si="27"/>
        <v/>
      </c>
      <c r="P109" s="27" cm="1">
        <f t="array" ref="P109">IF(H109="",_xlfn.LET(
    _xlpm.vals,_xlfn._xlws.FILTER($I$5:I108,$I$5:I108&lt;&gt;"",""),
    _xlpm.avgJ,IF(COUNTA(_xlpm.vals)=0,0,AVERAGE(_xlfn.TAKE(_xlpm.vals,-MIN(7,ROWS(_xlpm.vals))))),
    _xlpm.addship,IF(O109="",0,O109),
    IF(
        AND(H108="",H109=""),
        P108-_xlpm.avgJ+_xlpm.addship,
        IF(
            H109="",
            H108-_xlpm.avgJ+_xlpm.addship,
            ""
        )
    )
),H109)</f>
        <v>817391</v>
      </c>
      <c r="Q109" s="27" t="str">
        <f t="shared" si="28"/>
        <v/>
      </c>
      <c r="R109" s="27" cm="1">
        <f t="array" ref="R109">IF(J109="",_xlfn.LET(
    _xlpm.vals,_xlfn._xlws.FILTER($M$5:M108,$M$5:M108&lt;&gt;"",""),
    _xlpm.avgJ,IF(COUNTA(_xlpm.vals)=0,0,AVERAGE(_xlfn.TAKE(_xlpm.vals,-MIN(7,ROWS(_xlpm.vals))))),
    _xlpm.addship,IF(Q109="",0,Q109),
    IF(
        AND(J108="",J109=""),
        R108-_xlpm.avgJ+_xlpm.addship,
        IF(
            J109="",
            J108-_xlpm.avgJ+_xlpm.addship,
            ""
        )
    )
),J109)</f>
        <v>5577635.2857142854</v>
      </c>
      <c r="S109" s="4" t="str">
        <f t="shared" si="29"/>
        <v>Petrol over capacity | Diesel over capacity</v>
      </c>
      <c r="AB109" s="44">
        <f t="shared" si="30"/>
        <v>16085</v>
      </c>
      <c r="AC109" s="44">
        <f t="shared" si="31"/>
        <v>325936</v>
      </c>
      <c r="AD109" s="44">
        <f t="shared" si="32"/>
        <v>72571</v>
      </c>
      <c r="AE109" s="44">
        <f t="shared" si="33"/>
        <v>1832778</v>
      </c>
    </row>
    <row r="110" spans="7:31" ht="18" customHeight="1" x14ac:dyDescent="0.35">
      <c r="G110" s="37">
        <f t="shared" si="26"/>
        <v>46203</v>
      </c>
      <c r="H110" s="32"/>
      <c r="I110" s="32"/>
      <c r="J110" s="32"/>
      <c r="K110" s="32"/>
      <c r="L110" s="32"/>
      <c r="M110" s="52">
        <f t="shared" si="25"/>
        <v>0</v>
      </c>
      <c r="O110" s="27" t="str">
        <f t="shared" si="27"/>
        <v/>
      </c>
      <c r="P110" s="27" cm="1">
        <f t="array" ref="P110">IF(H110="",_xlfn.LET(
    _xlpm.vals,_xlfn._xlws.FILTER($I$5:I109,$I$5:I109&lt;&gt;"",""),
    _xlpm.avgJ,IF(COUNTA(_xlpm.vals)=0,0,AVERAGE(_xlfn.TAKE(_xlpm.vals,-MIN(7,ROWS(_xlpm.vals))))),
    _xlpm.addship,IF(O110="",0,O110),
    IF(
        AND(H109="",H110=""),
        P109-_xlpm.avgJ+_xlpm.addship,
        IF(
            H110="",
            H109-_xlpm.avgJ+_xlpm.addship,
            ""
        )
    )
),H110)</f>
        <v>803361</v>
      </c>
      <c r="Q110" s="27" t="str">
        <f t="shared" si="28"/>
        <v/>
      </c>
      <c r="R110" s="27" cm="1">
        <f t="array" ref="R110">IF(J110="",_xlfn.LET(
    _xlpm.vals,_xlfn._xlws.FILTER($M$5:M109,$M$5:M109&lt;&gt;"",""),
    _xlpm.avgJ,IF(COUNTA(_xlpm.vals)=0,0,AVERAGE(_xlfn.TAKE(_xlpm.vals,-MIN(7,ROWS(_xlpm.vals))))),
    _xlpm.addship,IF(Q110="",0,Q110),
    IF(
        AND(J109="",J110=""),
        R109-_xlpm.avgJ+_xlpm.addship,
        IF(
            J110="",
            J109-_xlpm.avgJ+_xlpm.addship,
            ""
        )
    )
),J110)</f>
        <v>5577635.2857142854</v>
      </c>
      <c r="S110" s="4" t="str">
        <f t="shared" si="29"/>
        <v>Petrol over capacity | Diesel over capacity</v>
      </c>
      <c r="AB110" s="44">
        <f t="shared" si="30"/>
        <v>16085</v>
      </c>
      <c r="AC110" s="44">
        <f t="shared" si="31"/>
        <v>325936</v>
      </c>
      <c r="AD110" s="44">
        <f t="shared" si="32"/>
        <v>72571</v>
      </c>
      <c r="AE110" s="44">
        <f t="shared" si="33"/>
        <v>1832778</v>
      </c>
    </row>
  </sheetData>
  <sheetProtection algorithmName="SHA-512" hashValue="J5m2dlamgO+IgOTMKtgeEzJeGarfO/NF9cFyOpvzD1LIb5BOjco72BEgxgeiO4oaimGgk/ojlQw8ObnDIzZOiQ==" saltValue="WqfGX0Hl011+MTUA3rw28A==" spinCount="100000" sheet="1" objects="1" scenarios="1" formatColumns="0"/>
  <mergeCells count="6">
    <mergeCell ref="C19:D19"/>
    <mergeCell ref="J2:M2"/>
    <mergeCell ref="Q2:R2"/>
    <mergeCell ref="B3:D3"/>
    <mergeCell ref="H2:I2"/>
    <mergeCell ref="O2:P2"/>
  </mergeCells>
  <phoneticPr fontId="9" type="noConversion"/>
  <conditionalFormatting sqref="P5:P110">
    <cfRule type="expression" dxfId="3" priority="32">
      <formula>AND(P5&gt;$C$21,P5&lt;&gt;"")</formula>
    </cfRule>
    <cfRule type="expression" dxfId="2" priority="33">
      <formula>AND(P5&lt;$C$22,P5&lt;&gt;"")</formula>
    </cfRule>
  </conditionalFormatting>
  <conditionalFormatting sqref="R5:R110">
    <cfRule type="expression" dxfId="1" priority="34">
      <formula>AND(R5&gt;$D$21,R5&lt;&gt;"")</formula>
    </cfRule>
    <cfRule type="expression" dxfId="0" priority="35">
      <formula>AND(R5&lt;$D$22,R5&lt;&gt;"")</formula>
    </cfRule>
  </conditionalFormatting>
  <pageMargins left="0.7" right="0.7" top="0.75" bottom="0.75" header="0.3" footer="0.3"/>
  <pageSetup orientation="portrait" horizontalDpi="1200" verticalDpi="1200" r:id="rId1"/>
  <customProperties>
    <customPr name="GU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5861A10A-4008-4C3B-A66B-7EAD047A99BF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Jull</dc:creator>
  <cp:lastModifiedBy>Mataele FIEFIA</cp:lastModifiedBy>
  <dcterms:created xsi:type="dcterms:W3CDTF">2025-11-06T03:57:08Z</dcterms:created>
  <dcterms:modified xsi:type="dcterms:W3CDTF">2026-04-20T03:59:54Z</dcterms:modified>
</cp:coreProperties>
</file>