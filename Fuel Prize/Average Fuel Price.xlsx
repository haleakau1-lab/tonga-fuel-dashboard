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alea\Nextcloud\Documents\Petroleum\"/>
    </mc:Choice>
  </mc:AlternateContent>
  <xr:revisionPtr revIDLastSave="0" documentId="8_{D2C0D85D-B99E-4524-973E-AB7A964CC0B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31" i="1" l="1"/>
  <c r="O30" i="1"/>
  <c r="O41" i="1"/>
  <c r="N41" i="1"/>
  <c r="O40" i="1"/>
  <c r="N40" i="1"/>
  <c r="O39" i="1"/>
  <c r="N39" i="1"/>
  <c r="E37" i="1"/>
  <c r="A141" i="1"/>
  <c r="A136" i="1"/>
  <c r="A137" i="1"/>
  <c r="A138" i="1"/>
  <c r="A139" i="1"/>
  <c r="A140" i="1"/>
  <c r="E3" i="1"/>
  <c r="N28" i="1" s="1"/>
  <c r="F3" i="1"/>
  <c r="G3" i="1"/>
  <c r="O28" i="1" s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N29" i="1" s="1"/>
  <c r="F15" i="1"/>
  <c r="G15" i="1"/>
  <c r="O29" i="1" s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N30" i="1" s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F37" i="1"/>
  <c r="G37" i="1"/>
  <c r="E38" i="1"/>
  <c r="F38" i="1"/>
  <c r="G38" i="1"/>
  <c r="E39" i="1"/>
  <c r="F39" i="1"/>
  <c r="G39" i="1"/>
  <c r="O31" i="1" s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N32" i="1" s="1"/>
  <c r="F51" i="1"/>
  <c r="G51" i="1"/>
  <c r="E52" i="1"/>
  <c r="F52" i="1"/>
  <c r="G52" i="1"/>
  <c r="O32" i="1" s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E63" i="1"/>
  <c r="N33" i="1" s="1"/>
  <c r="F63" i="1"/>
  <c r="G63" i="1"/>
  <c r="E64" i="1"/>
  <c r="F64" i="1"/>
  <c r="G64" i="1"/>
  <c r="E65" i="1"/>
  <c r="F65" i="1"/>
  <c r="G65" i="1"/>
  <c r="E66" i="1"/>
  <c r="F66" i="1"/>
  <c r="G66" i="1"/>
  <c r="O33" i="1" s="1"/>
  <c r="E67" i="1"/>
  <c r="F67" i="1"/>
  <c r="G67" i="1"/>
  <c r="E68" i="1"/>
  <c r="F68" i="1"/>
  <c r="G68" i="1"/>
  <c r="E69" i="1"/>
  <c r="F69" i="1"/>
  <c r="G69" i="1"/>
  <c r="E70" i="1"/>
  <c r="F70" i="1"/>
  <c r="G70" i="1"/>
  <c r="E71" i="1"/>
  <c r="F71" i="1"/>
  <c r="G71" i="1"/>
  <c r="E72" i="1"/>
  <c r="F72" i="1"/>
  <c r="G72" i="1"/>
  <c r="E73" i="1"/>
  <c r="F73" i="1"/>
  <c r="G73" i="1"/>
  <c r="E74" i="1"/>
  <c r="F74" i="1"/>
  <c r="G74" i="1"/>
  <c r="E75" i="1"/>
  <c r="F75" i="1"/>
  <c r="G75" i="1"/>
  <c r="E76" i="1"/>
  <c r="F76" i="1"/>
  <c r="G76" i="1"/>
  <c r="E77" i="1"/>
  <c r="F77" i="1"/>
  <c r="G77" i="1"/>
  <c r="E78" i="1"/>
  <c r="F78" i="1"/>
  <c r="G78" i="1"/>
  <c r="E79" i="1"/>
  <c r="F79" i="1"/>
  <c r="G79" i="1"/>
  <c r="O34" i="1" s="1"/>
  <c r="E80" i="1"/>
  <c r="N34" i="1" s="1"/>
  <c r="F80" i="1"/>
  <c r="G80" i="1"/>
  <c r="E81" i="1"/>
  <c r="F81" i="1"/>
  <c r="G81" i="1"/>
  <c r="E82" i="1"/>
  <c r="F82" i="1"/>
  <c r="G82" i="1"/>
  <c r="E83" i="1"/>
  <c r="F83" i="1"/>
  <c r="G83" i="1"/>
  <c r="E84" i="1"/>
  <c r="F84" i="1"/>
  <c r="G84" i="1"/>
  <c r="E85" i="1"/>
  <c r="F85" i="1"/>
  <c r="G85" i="1"/>
  <c r="E86" i="1"/>
  <c r="F86" i="1"/>
  <c r="G86" i="1"/>
  <c r="E87" i="1"/>
  <c r="F87" i="1"/>
  <c r="G87" i="1"/>
  <c r="E88" i="1"/>
  <c r="N35" i="1" s="1"/>
  <c r="F88" i="1"/>
  <c r="G88" i="1"/>
  <c r="E89" i="1"/>
  <c r="F89" i="1"/>
  <c r="G89" i="1"/>
  <c r="E90" i="1"/>
  <c r="F90" i="1"/>
  <c r="G90" i="1"/>
  <c r="O35" i="1" s="1"/>
  <c r="E91" i="1"/>
  <c r="F91" i="1"/>
  <c r="G91" i="1"/>
  <c r="E92" i="1"/>
  <c r="F92" i="1"/>
  <c r="G92" i="1"/>
  <c r="E93" i="1"/>
  <c r="F93" i="1"/>
  <c r="G93" i="1"/>
  <c r="E94" i="1"/>
  <c r="F94" i="1"/>
  <c r="G94" i="1"/>
  <c r="E95" i="1"/>
  <c r="F95" i="1"/>
  <c r="G95" i="1"/>
  <c r="E96" i="1"/>
  <c r="F96" i="1"/>
  <c r="G96" i="1"/>
  <c r="E97" i="1"/>
  <c r="F97" i="1"/>
  <c r="G97" i="1"/>
  <c r="E98" i="1"/>
  <c r="F98" i="1"/>
  <c r="G98" i="1"/>
  <c r="E99" i="1"/>
  <c r="F99" i="1"/>
  <c r="G99" i="1"/>
  <c r="E100" i="1"/>
  <c r="N36" i="1" s="1"/>
  <c r="F100" i="1"/>
  <c r="G100" i="1"/>
  <c r="O36" i="1" s="1"/>
  <c r="E101" i="1"/>
  <c r="F101" i="1"/>
  <c r="G101" i="1"/>
  <c r="E102" i="1"/>
  <c r="F102" i="1"/>
  <c r="G102" i="1"/>
  <c r="E103" i="1"/>
  <c r="F103" i="1"/>
  <c r="G103" i="1"/>
  <c r="E104" i="1"/>
  <c r="F104" i="1"/>
  <c r="G104" i="1"/>
  <c r="E105" i="1"/>
  <c r="F105" i="1"/>
  <c r="G105" i="1"/>
  <c r="E106" i="1"/>
  <c r="F106" i="1"/>
  <c r="G106" i="1"/>
  <c r="E107" i="1"/>
  <c r="F107" i="1"/>
  <c r="G107" i="1"/>
  <c r="E108" i="1"/>
  <c r="F108" i="1"/>
  <c r="G108" i="1"/>
  <c r="E109" i="1"/>
  <c r="F109" i="1"/>
  <c r="G109" i="1"/>
  <c r="E110" i="1"/>
  <c r="F110" i="1"/>
  <c r="G110" i="1"/>
  <c r="E111" i="1"/>
  <c r="F111" i="1"/>
  <c r="G111" i="1"/>
  <c r="E112" i="1"/>
  <c r="N37" i="1" s="1"/>
  <c r="F112" i="1"/>
  <c r="G112" i="1"/>
  <c r="O37" i="1" s="1"/>
  <c r="E113" i="1"/>
  <c r="F113" i="1"/>
  <c r="G113" i="1"/>
  <c r="E114" i="1"/>
  <c r="F114" i="1"/>
  <c r="G114" i="1"/>
  <c r="E115" i="1"/>
  <c r="F115" i="1"/>
  <c r="G115" i="1"/>
  <c r="E116" i="1"/>
  <c r="F116" i="1"/>
  <c r="G116" i="1"/>
  <c r="E117" i="1"/>
  <c r="F117" i="1"/>
  <c r="G117" i="1"/>
  <c r="E118" i="1"/>
  <c r="F118" i="1"/>
  <c r="G118" i="1"/>
  <c r="E119" i="1"/>
  <c r="F119" i="1"/>
  <c r="G119" i="1"/>
  <c r="E120" i="1"/>
  <c r="F120" i="1"/>
  <c r="G120" i="1"/>
  <c r="E121" i="1"/>
  <c r="F121" i="1"/>
  <c r="G121" i="1"/>
  <c r="E122" i="1"/>
  <c r="F122" i="1"/>
  <c r="G122" i="1"/>
  <c r="E123" i="1"/>
  <c r="F123" i="1"/>
  <c r="G123" i="1"/>
  <c r="E124" i="1"/>
  <c r="F124" i="1"/>
  <c r="G124" i="1"/>
  <c r="E125" i="1"/>
  <c r="N38" i="1" s="1"/>
  <c r="F125" i="1"/>
  <c r="G125" i="1"/>
  <c r="E126" i="1"/>
  <c r="F126" i="1"/>
  <c r="G126" i="1"/>
  <c r="E127" i="1"/>
  <c r="F127" i="1"/>
  <c r="G127" i="1"/>
  <c r="E128" i="1"/>
  <c r="F128" i="1"/>
  <c r="G128" i="1"/>
  <c r="E129" i="1"/>
  <c r="F129" i="1"/>
  <c r="G129" i="1"/>
  <c r="E130" i="1"/>
  <c r="F130" i="1"/>
  <c r="G130" i="1"/>
  <c r="O38" i="1" s="1"/>
  <c r="E131" i="1"/>
  <c r="F131" i="1"/>
  <c r="G131" i="1"/>
  <c r="E132" i="1"/>
  <c r="F132" i="1"/>
  <c r="G132" i="1"/>
  <c r="E133" i="1"/>
  <c r="F133" i="1"/>
  <c r="G133" i="1"/>
  <c r="E134" i="1"/>
  <c r="F134" i="1"/>
  <c r="G134" i="1"/>
  <c r="E135" i="1"/>
  <c r="F135" i="1"/>
  <c r="G135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</calcChain>
</file>

<file path=xl/sharedStrings.xml><?xml version="1.0" encoding="utf-8"?>
<sst xmlns="http://schemas.openxmlformats.org/spreadsheetml/2006/main" count="15" uniqueCount="12">
  <si>
    <t>Jet</t>
  </si>
  <si>
    <t>Diesel</t>
  </si>
  <si>
    <t>Petrol</t>
  </si>
  <si>
    <t>Wholesale Prices</t>
  </si>
  <si>
    <t>Retail Prices</t>
  </si>
  <si>
    <t>Ad-hoc July 1st</t>
  </si>
  <si>
    <t>Average Petrol</t>
  </si>
  <si>
    <t>Average Diesel</t>
  </si>
  <si>
    <t>Year</t>
  </si>
  <si>
    <t xml:space="preserve">Number of Registered Vehicles </t>
  </si>
  <si>
    <t>Average Diesel Retail Price</t>
  </si>
  <si>
    <t>Average Petrol Retail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</si>
</sst>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0" fillId="0" borderId="1" xfId="0" applyBorder="1"/>
    <xf numFmtId="17" fontId="1" fillId="0" borderId="1" xfId="0" applyNumberFormat="1" applyFont="1" applyBorder="1"/>
    <xf numFmtId="2" fontId="0" fillId="0" borderId="1" xfId="0" applyNumberFormat="1" applyBorder="1"/>
    <xf numFmtId="0" fontId="0" fillId="0" borderId="2" xfId="0" applyBorder="1"/>
    <xf numFmtId="0" fontId="1" fillId="0" borderId="3" xfId="0" applyFont="1" applyBorder="1"/>
    <xf numFmtId="2" fontId="1" fillId="0" borderId="3" xfId="0" applyNumberFormat="1" applyFont="1" applyBorder="1"/>
    <xf numFmtId="17" fontId="1" fillId="0" borderId="4" xfId="0" applyNumberFormat="1" applyFont="1" applyBorder="1"/>
    <xf numFmtId="2" fontId="0" fillId="0" borderId="4" xfId="0" applyNumberFormat="1" applyBorder="1"/>
    <xf numFmtId="17" fontId="1" fillId="0" borderId="5" xfId="0" applyNumberFormat="1" applyFont="1" applyBorder="1"/>
    <xf numFmtId="2" fontId="0" fillId="0" borderId="6" xfId="0" applyNumberFormat="1" applyBorder="1"/>
    <xf numFmtId="2" fontId="0" fillId="0" borderId="7" xfId="0" applyNumberFormat="1" applyBorder="1"/>
    <xf numFmtId="17" fontId="1" fillId="0" borderId="8" xfId="0" applyNumberFormat="1" applyFont="1" applyBorder="1"/>
    <xf numFmtId="2" fontId="0" fillId="0" borderId="9" xfId="0" applyNumberFormat="1" applyBorder="1"/>
    <xf numFmtId="17" fontId="1" fillId="0" borderId="10" xfId="0" applyNumberFormat="1" applyFon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2" xfId="0" applyNumberFormat="1" applyBorder="1"/>
    <xf numFmtId="0" fontId="0" fillId="0" borderId="13" xfId="0" applyBorder="1"/>
    <xf numFmtId="0" fontId="0" fillId="0" borderId="3" xfId="0" applyBorder="1"/>
    <xf numFmtId="0" fontId="0" fillId="0" borderId="14" xfId="0" applyBorder="1"/>
    <xf numFmtId="0" fontId="0" fillId="0" borderId="4" xfId="0" applyBorder="1"/>
    <xf numFmtId="0" fontId="0" fillId="0" borderId="15" xfId="0" applyBorder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Petroleum Prices 2009-2020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Petrol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38"/>
              <c:pt idx="0">
                <c:v>January 2009</c:v>
              </c:pt>
              <c:pt idx="1">
                <c:v>February 2009</c:v>
              </c:pt>
              <c:pt idx="2">
                <c:v>March 2009</c:v>
              </c:pt>
              <c:pt idx="3">
                <c:v>April 2009</c:v>
              </c:pt>
              <c:pt idx="4">
                <c:v>May 2009</c:v>
              </c:pt>
              <c:pt idx="5">
                <c:v>June 2009</c:v>
              </c:pt>
              <c:pt idx="6">
                <c:v>July 2009</c:v>
              </c:pt>
              <c:pt idx="7">
                <c:v>August 2009</c:v>
              </c:pt>
              <c:pt idx="8">
                <c:v>September 2009</c:v>
              </c:pt>
              <c:pt idx="9">
                <c:v>October 2009</c:v>
              </c:pt>
              <c:pt idx="10">
                <c:v>November 2009</c:v>
              </c:pt>
              <c:pt idx="11">
                <c:v>December 2009</c:v>
              </c:pt>
              <c:pt idx="12">
                <c:v>January 2010</c:v>
              </c:pt>
              <c:pt idx="13">
                <c:v>February 2010</c:v>
              </c:pt>
              <c:pt idx="14">
                <c:v>March 2010</c:v>
              </c:pt>
              <c:pt idx="15">
                <c:v>April 2010</c:v>
              </c:pt>
              <c:pt idx="16">
                <c:v>May 2010</c:v>
              </c:pt>
              <c:pt idx="17">
                <c:v>June 2010</c:v>
              </c:pt>
              <c:pt idx="18">
                <c:v>July 2010</c:v>
              </c:pt>
              <c:pt idx="19">
                <c:v>August 2010</c:v>
              </c:pt>
              <c:pt idx="20">
                <c:v>September 2010</c:v>
              </c:pt>
              <c:pt idx="21">
                <c:v>October 2010</c:v>
              </c:pt>
              <c:pt idx="22">
                <c:v>November 2010</c:v>
              </c:pt>
              <c:pt idx="23">
                <c:v>December 2010</c:v>
              </c:pt>
              <c:pt idx="24">
                <c:v>January 2011</c:v>
              </c:pt>
              <c:pt idx="25">
                <c:v>February 2011</c:v>
              </c:pt>
              <c:pt idx="26">
                <c:v>March 2011</c:v>
              </c:pt>
              <c:pt idx="27">
                <c:v>April 2011</c:v>
              </c:pt>
              <c:pt idx="28">
                <c:v>May 2011</c:v>
              </c:pt>
              <c:pt idx="29">
                <c:v>June 2011</c:v>
              </c:pt>
              <c:pt idx="30">
                <c:v>July 2011</c:v>
              </c:pt>
              <c:pt idx="31">
                <c:v>August 2011</c:v>
              </c:pt>
              <c:pt idx="32">
                <c:v>September 2011</c:v>
              </c:pt>
              <c:pt idx="33">
                <c:v>October 2011</c:v>
              </c:pt>
              <c:pt idx="34">
                <c:v>November 2011</c:v>
              </c:pt>
              <c:pt idx="35">
                <c:v>December 2011</c:v>
              </c:pt>
              <c:pt idx="36">
                <c:v>January 2012</c:v>
              </c:pt>
              <c:pt idx="37">
                <c:v>February 2012</c:v>
              </c:pt>
              <c:pt idx="38">
                <c:v>March 2012</c:v>
              </c:pt>
              <c:pt idx="39">
                <c:v>April 2012</c:v>
              </c:pt>
              <c:pt idx="40">
                <c:v>May 2012</c:v>
              </c:pt>
              <c:pt idx="41">
                <c:v>June 2012</c:v>
              </c:pt>
              <c:pt idx="42">
                <c:v>July 2012</c:v>
              </c:pt>
              <c:pt idx="43">
                <c:v>August 2012</c:v>
              </c:pt>
              <c:pt idx="44">
                <c:v>September 2012</c:v>
              </c:pt>
              <c:pt idx="45">
                <c:v>October 2012</c:v>
              </c:pt>
              <c:pt idx="46">
                <c:v>November 2012</c:v>
              </c:pt>
              <c:pt idx="47">
                <c:v>December 2012</c:v>
              </c:pt>
              <c:pt idx="48">
                <c:v>January 2013</c:v>
              </c:pt>
              <c:pt idx="49">
                <c:v>February 2013</c:v>
              </c:pt>
              <c:pt idx="50">
                <c:v>March 2013</c:v>
              </c:pt>
              <c:pt idx="51">
                <c:v>April 2013</c:v>
              </c:pt>
              <c:pt idx="52">
                <c:v>May 2013</c:v>
              </c:pt>
              <c:pt idx="53">
                <c:v>June 2013</c:v>
              </c:pt>
              <c:pt idx="54">
                <c:v>July 2013</c:v>
              </c:pt>
              <c:pt idx="55">
                <c:v>August 2013</c:v>
              </c:pt>
              <c:pt idx="56">
                <c:v>September 2013</c:v>
              </c:pt>
              <c:pt idx="57">
                <c:v>October 2013</c:v>
              </c:pt>
              <c:pt idx="58">
                <c:v>November 2013</c:v>
              </c:pt>
              <c:pt idx="59">
                <c:v>December 2013</c:v>
              </c:pt>
              <c:pt idx="60">
                <c:v>January 2014</c:v>
              </c:pt>
              <c:pt idx="61">
                <c:v>February 2014</c:v>
              </c:pt>
              <c:pt idx="62">
                <c:v>March 2014</c:v>
              </c:pt>
              <c:pt idx="63">
                <c:v>April 2014</c:v>
              </c:pt>
              <c:pt idx="64">
                <c:v>May 2014</c:v>
              </c:pt>
              <c:pt idx="65">
                <c:v>June 2014</c:v>
              </c:pt>
              <c:pt idx="66">
                <c:v>July 2014</c:v>
              </c:pt>
              <c:pt idx="67">
                <c:v>August 2014</c:v>
              </c:pt>
              <c:pt idx="68">
                <c:v>September 2014</c:v>
              </c:pt>
              <c:pt idx="69">
                <c:v>October 2014</c:v>
              </c:pt>
              <c:pt idx="70">
                <c:v>November 2014</c:v>
              </c:pt>
              <c:pt idx="71">
                <c:v>December 2014</c:v>
              </c:pt>
              <c:pt idx="72">
                <c:v>January 2015</c:v>
              </c:pt>
              <c:pt idx="73">
                <c:v>February 2015</c:v>
              </c:pt>
              <c:pt idx="74">
                <c:v>March 2015</c:v>
              </c:pt>
              <c:pt idx="75">
                <c:v>April 2015</c:v>
              </c:pt>
              <c:pt idx="76">
                <c:v>May 2015</c:v>
              </c:pt>
              <c:pt idx="77">
                <c:v>June 2015</c:v>
              </c:pt>
              <c:pt idx="78">
                <c:v>July 2015</c:v>
              </c:pt>
              <c:pt idx="79">
                <c:v>August 2015</c:v>
              </c:pt>
              <c:pt idx="80">
                <c:v>September 2015</c:v>
              </c:pt>
              <c:pt idx="81">
                <c:v>October 2015</c:v>
              </c:pt>
              <c:pt idx="82">
                <c:v>November 2015</c:v>
              </c:pt>
              <c:pt idx="83">
                <c:v>December 2015</c:v>
              </c:pt>
              <c:pt idx="84">
                <c:v>January 2016</c:v>
              </c:pt>
              <c:pt idx="85">
                <c:v>February 2016</c:v>
              </c:pt>
              <c:pt idx="86">
                <c:v>March 2016</c:v>
              </c:pt>
              <c:pt idx="87">
                <c:v>April 2016</c:v>
              </c:pt>
              <c:pt idx="88">
                <c:v>May 2016</c:v>
              </c:pt>
              <c:pt idx="89">
                <c:v>June 2016</c:v>
              </c:pt>
              <c:pt idx="90">
                <c:v>Ad-hoc July 2016</c:v>
              </c:pt>
              <c:pt idx="91">
                <c:v>July 2016</c:v>
              </c:pt>
              <c:pt idx="92">
                <c:v>August 2016</c:v>
              </c:pt>
              <c:pt idx="93">
                <c:v>September 2016</c:v>
              </c:pt>
              <c:pt idx="94">
                <c:v>October 2016</c:v>
              </c:pt>
              <c:pt idx="95">
                <c:v>November 2016</c:v>
              </c:pt>
              <c:pt idx="96">
                <c:v>December 2016</c:v>
              </c:pt>
              <c:pt idx="97">
                <c:v>January 2017</c:v>
              </c:pt>
              <c:pt idx="98">
                <c:v>February 2017</c:v>
              </c:pt>
              <c:pt idx="99">
                <c:v>March 2017</c:v>
              </c:pt>
              <c:pt idx="100">
                <c:v>April 2017</c:v>
              </c:pt>
              <c:pt idx="101">
                <c:v>May 2017</c:v>
              </c:pt>
              <c:pt idx="102">
                <c:v>June 2017</c:v>
              </c:pt>
              <c:pt idx="103">
                <c:v>July 2017</c:v>
              </c:pt>
              <c:pt idx="104">
                <c:v>August 2017</c:v>
              </c:pt>
              <c:pt idx="105">
                <c:v>September 2017</c:v>
              </c:pt>
              <c:pt idx="106">
                <c:v>October 2017</c:v>
              </c:pt>
              <c:pt idx="107">
                <c:v>November 2017</c:v>
              </c:pt>
              <c:pt idx="108">
                <c:v>December 2017</c:v>
              </c:pt>
              <c:pt idx="109">
                <c:v>January 2018</c:v>
              </c:pt>
              <c:pt idx="110">
                <c:v>February 2018</c:v>
              </c:pt>
              <c:pt idx="111">
                <c:v>March 2018</c:v>
              </c:pt>
              <c:pt idx="112">
                <c:v>April 2018</c:v>
              </c:pt>
              <c:pt idx="113">
                <c:v>May 2018</c:v>
              </c:pt>
              <c:pt idx="114">
                <c:v>June 2018</c:v>
              </c:pt>
              <c:pt idx="115">
                <c:v>July 2018</c:v>
              </c:pt>
              <c:pt idx="116">
                <c:v>August 2018</c:v>
              </c:pt>
              <c:pt idx="117">
                <c:v>September 2018</c:v>
              </c:pt>
              <c:pt idx="118">
                <c:v>October 2018</c:v>
              </c:pt>
              <c:pt idx="119">
                <c:v>November 2018</c:v>
              </c:pt>
              <c:pt idx="120">
                <c:v>December 2018</c:v>
              </c:pt>
              <c:pt idx="121">
                <c:v>January 2019</c:v>
              </c:pt>
              <c:pt idx="122">
                <c:v>February 2019</c:v>
              </c:pt>
              <c:pt idx="123">
                <c:v>March 2019</c:v>
              </c:pt>
              <c:pt idx="124">
                <c:v>April 2019</c:v>
              </c:pt>
              <c:pt idx="125">
                <c:v>May 2019</c:v>
              </c:pt>
              <c:pt idx="126">
                <c:v>June 2019</c:v>
              </c:pt>
              <c:pt idx="127">
                <c:v>July 2019</c:v>
              </c:pt>
              <c:pt idx="128">
                <c:v>August 2019</c:v>
              </c:pt>
              <c:pt idx="129">
                <c:v>September 2019</c:v>
              </c:pt>
              <c:pt idx="130">
                <c:v>October 2019</c:v>
              </c:pt>
              <c:pt idx="131">
                <c:v>November 2019</c:v>
              </c:pt>
              <c:pt idx="132">
                <c:v>December 2019</c:v>
              </c:pt>
              <c:pt idx="133">
                <c:v>January 2020</c:v>
              </c:pt>
              <c:pt idx="134">
                <c:v>February 2020</c:v>
              </c:pt>
              <c:pt idx="135">
                <c:v>March 2020</c:v>
              </c:pt>
              <c:pt idx="136">
                <c:v>April 2020</c:v>
              </c:pt>
              <c:pt idx="137">
                <c:v>May 2020</c:v>
              </c:pt>
            </c:strLit>
          </c:cat>
          <c:val>
            <c:numRef>
              <c:f>Sheet1!$E$3:$E$140</c:f>
              <c:numCache>
                <c:formatCode>0.00</c:formatCode>
                <c:ptCount val="138"/>
                <c:pt idx="0">
                  <c:v>209.71981379782898</c:v>
                </c:pt>
                <c:pt idx="1">
                  <c:v>189.29181556151042</c:v>
                </c:pt>
                <c:pt idx="2">
                  <c:v>206.82547428622934</c:v>
                </c:pt>
                <c:pt idx="3">
                  <c:v>223.27449443970181</c:v>
                </c:pt>
                <c:pt idx="4">
                  <c:v>215.91683304693709</c:v>
                </c:pt>
                <c:pt idx="5">
                  <c:v>220.37615871992978</c:v>
                </c:pt>
                <c:pt idx="6">
                  <c:v>230.55280964407001</c:v>
                </c:pt>
                <c:pt idx="7">
                  <c:v>244.86425592446957</c:v>
                </c:pt>
                <c:pt idx="8">
                  <c:v>243.30152092446957</c:v>
                </c:pt>
                <c:pt idx="9">
                  <c:v>230.36960296526485</c:v>
                </c:pt>
                <c:pt idx="10">
                  <c:v>230.80767258701241</c:v>
                </c:pt>
                <c:pt idx="11">
                  <c:v>236.52266678801138</c:v>
                </c:pt>
                <c:pt idx="12">
                  <c:v>237.56032999999999</c:v>
                </c:pt>
                <c:pt idx="13">
                  <c:v>245.33529248478138</c:v>
                </c:pt>
                <c:pt idx="14">
                  <c:v>245.50645207189771</c:v>
                </c:pt>
                <c:pt idx="15">
                  <c:v>252.22149948666967</c:v>
                </c:pt>
                <c:pt idx="16">
                  <c:v>260.61285279142783</c:v>
                </c:pt>
                <c:pt idx="17">
                  <c:v>251.04004939557083</c:v>
                </c:pt>
                <c:pt idx="18">
                  <c:v>245.8940907585575</c:v>
                </c:pt>
                <c:pt idx="19">
                  <c:v>242.46886424911531</c:v>
                </c:pt>
                <c:pt idx="20">
                  <c:v>245.3790008281768</c:v>
                </c:pt>
                <c:pt idx="21">
                  <c:v>241.52472575116445</c:v>
                </c:pt>
                <c:pt idx="22">
                  <c:v>248.42706469468467</c:v>
                </c:pt>
                <c:pt idx="23">
                  <c:v>250.36820469004172</c:v>
                </c:pt>
                <c:pt idx="24">
                  <c:v>264.90550655106131</c:v>
                </c:pt>
                <c:pt idx="25">
                  <c:v>269.98867957623537</c:v>
                </c:pt>
                <c:pt idx="26">
                  <c:v>277.35700000000003</c:v>
                </c:pt>
                <c:pt idx="27">
                  <c:v>292.41050000000001</c:v>
                </c:pt>
                <c:pt idx="28">
                  <c:v>300.87450000000001</c:v>
                </c:pt>
                <c:pt idx="29">
                  <c:v>289.36276387827121</c:v>
                </c:pt>
                <c:pt idx="30">
                  <c:v>278.48115857201714</c:v>
                </c:pt>
                <c:pt idx="31">
                  <c:v>278.1023819972155</c:v>
                </c:pt>
                <c:pt idx="32">
                  <c:v>272.06616260724098</c:v>
                </c:pt>
                <c:pt idx="33">
                  <c:v>279.02861822303487</c:v>
                </c:pt>
                <c:pt idx="34">
                  <c:v>280.82965028489633</c:v>
                </c:pt>
                <c:pt idx="35">
                  <c:v>270.59178963317714</c:v>
                </c:pt>
                <c:pt idx="36">
                  <c:v>271.91428592868698</c:v>
                </c:pt>
                <c:pt idx="37">
                  <c:v>281.14152570797984</c:v>
                </c:pt>
                <c:pt idx="38">
                  <c:v>287.81049999999999</c:v>
                </c:pt>
                <c:pt idx="39">
                  <c:v>298.517</c:v>
                </c:pt>
                <c:pt idx="40">
                  <c:v>296.37799999999999</c:v>
                </c:pt>
                <c:pt idx="41">
                  <c:v>283.93694554752233</c:v>
                </c:pt>
                <c:pt idx="42">
                  <c:v>260.613</c:v>
                </c:pt>
                <c:pt idx="43">
                  <c:v>270.79050000000001</c:v>
                </c:pt>
                <c:pt idx="44">
                  <c:v>287.52300000000002</c:v>
                </c:pt>
                <c:pt idx="45">
                  <c:v>285.66000000000003</c:v>
                </c:pt>
                <c:pt idx="46">
                  <c:v>284.64800000000002</c:v>
                </c:pt>
                <c:pt idx="47">
                  <c:v>280.09399999999999</c:v>
                </c:pt>
                <c:pt idx="48">
                  <c:v>279.08199999999999</c:v>
                </c:pt>
                <c:pt idx="49">
                  <c:v>284.5675</c:v>
                </c:pt>
                <c:pt idx="50">
                  <c:v>297.62</c:v>
                </c:pt>
                <c:pt idx="51">
                  <c:v>287.63800000000003</c:v>
                </c:pt>
                <c:pt idx="52">
                  <c:v>272.26249999999999</c:v>
                </c:pt>
                <c:pt idx="53">
                  <c:v>275.45949999999999</c:v>
                </c:pt>
                <c:pt idx="54">
                  <c:v>285.06200000000001</c:v>
                </c:pt>
                <c:pt idx="55">
                  <c:v>290.68549999999999</c:v>
                </c:pt>
                <c:pt idx="56">
                  <c:v>285.89</c:v>
                </c:pt>
                <c:pt idx="57">
                  <c:v>283.72800000000001</c:v>
                </c:pt>
                <c:pt idx="58">
                  <c:v>277.173</c:v>
                </c:pt>
                <c:pt idx="59">
                  <c:v>279.53050000000002</c:v>
                </c:pt>
                <c:pt idx="60">
                  <c:v>288.15550000000002</c:v>
                </c:pt>
                <c:pt idx="61">
                  <c:v>286.95949999999999</c:v>
                </c:pt>
                <c:pt idx="62">
                  <c:v>289.75400000000002</c:v>
                </c:pt>
                <c:pt idx="63">
                  <c:v>288.04050000000001</c:v>
                </c:pt>
                <c:pt idx="64">
                  <c:v>287.93700000000001</c:v>
                </c:pt>
                <c:pt idx="65">
                  <c:v>288.54649999999998</c:v>
                </c:pt>
                <c:pt idx="66">
                  <c:v>291.98500000000001</c:v>
                </c:pt>
                <c:pt idx="67">
                  <c:v>285.98200000000003</c:v>
                </c:pt>
                <c:pt idx="68">
                  <c:v>274.36700000000002</c:v>
                </c:pt>
                <c:pt idx="69">
                  <c:v>277.55250000000001</c:v>
                </c:pt>
                <c:pt idx="70">
                  <c:v>266.69649999999996</c:v>
                </c:pt>
                <c:pt idx="71">
                  <c:v>253.20699999999999</c:v>
                </c:pt>
                <c:pt idx="72">
                  <c:v>226.32586499999999</c:v>
                </c:pt>
                <c:pt idx="73">
                  <c:v>203.40165000000002</c:v>
                </c:pt>
                <c:pt idx="74">
                  <c:v>225.20611</c:v>
                </c:pt>
                <c:pt idx="75">
                  <c:v>231.80158500430724</c:v>
                </c:pt>
                <c:pt idx="76">
                  <c:v>235.53000499999999</c:v>
                </c:pt>
                <c:pt idx="77">
                  <c:v>250.08253080885007</c:v>
                </c:pt>
                <c:pt idx="78">
                  <c:v>262.18849999999998</c:v>
                </c:pt>
                <c:pt idx="79">
                  <c:v>253.29051027994396</c:v>
                </c:pt>
                <c:pt idx="80">
                  <c:v>237.78288840663811</c:v>
                </c:pt>
                <c:pt idx="81">
                  <c:v>237.90486999999999</c:v>
                </c:pt>
                <c:pt idx="82">
                  <c:v>232.9694196355556</c:v>
                </c:pt>
                <c:pt idx="83">
                  <c:v>227.01032560207946</c:v>
                </c:pt>
                <c:pt idx="84">
                  <c:v>218.83008053949234</c:v>
                </c:pt>
                <c:pt idx="85">
                  <c:v>209.31908169653698</c:v>
                </c:pt>
                <c:pt idx="86">
                  <c:v>198.49152331359159</c:v>
                </c:pt>
                <c:pt idx="87">
                  <c:v>212.86919194640174</c:v>
                </c:pt>
                <c:pt idx="88">
                  <c:v>214.87400123609822</c:v>
                </c:pt>
                <c:pt idx="89">
                  <c:v>225.11869547312435</c:v>
                </c:pt>
                <c:pt idx="90">
                  <c:v>235.79611912133561</c:v>
                </c:pt>
                <c:pt idx="91">
                  <c:v>235.59001127212809</c:v>
                </c:pt>
                <c:pt idx="92">
                  <c:v>223.642558757031</c:v>
                </c:pt>
                <c:pt idx="93">
                  <c:v>227.06698283344642</c:v>
                </c:pt>
                <c:pt idx="94">
                  <c:v>233.31281198394583</c:v>
                </c:pt>
                <c:pt idx="95">
                  <c:v>242.67033924331471</c:v>
                </c:pt>
                <c:pt idx="96">
                  <c:v>236.72848263799693</c:v>
                </c:pt>
                <c:pt idx="97">
                  <c:v>252.7055753336364</c:v>
                </c:pt>
                <c:pt idx="98">
                  <c:v>257.13242900558424</c:v>
                </c:pt>
                <c:pt idx="99">
                  <c:v>256.25707375922082</c:v>
                </c:pt>
                <c:pt idx="100">
                  <c:v>248.66871949852649</c:v>
                </c:pt>
                <c:pt idx="101">
                  <c:v>254.27443794077223</c:v>
                </c:pt>
                <c:pt idx="102">
                  <c:v>249.52574672039279</c:v>
                </c:pt>
                <c:pt idx="103">
                  <c:v>239.57238016686171</c:v>
                </c:pt>
                <c:pt idx="104">
                  <c:v>237.6637094075657</c:v>
                </c:pt>
                <c:pt idx="105">
                  <c:v>246.87311273170891</c:v>
                </c:pt>
                <c:pt idx="106">
                  <c:v>253.13427014702779</c:v>
                </c:pt>
                <c:pt idx="107">
                  <c:v>255.07547014702777</c:v>
                </c:pt>
                <c:pt idx="108">
                  <c:v>267.85587831691106</c:v>
                </c:pt>
                <c:pt idx="109">
                  <c:v>267.85587831691106</c:v>
                </c:pt>
                <c:pt idx="110">
                  <c:v>270.26493037264845</c:v>
                </c:pt>
                <c:pt idx="111">
                  <c:v>267.39511557331048</c:v>
                </c:pt>
                <c:pt idx="112">
                  <c:v>267.30800851182136</c:v>
                </c:pt>
                <c:pt idx="113">
                  <c:v>275.5026677524325</c:v>
                </c:pt>
                <c:pt idx="114">
                  <c:v>290.43492429065918</c:v>
                </c:pt>
                <c:pt idx="115">
                  <c:v>283.62639370308301</c:v>
                </c:pt>
                <c:pt idx="116">
                  <c:v>284.98125084954233</c:v>
                </c:pt>
                <c:pt idx="117">
                  <c:v>284.81874727143781</c:v>
                </c:pt>
                <c:pt idx="118">
                  <c:v>294.27435050450862</c:v>
                </c:pt>
                <c:pt idx="119">
                  <c:v>291.01395151315597</c:v>
                </c:pt>
                <c:pt idx="120">
                  <c:v>257.25585569866217</c:v>
                </c:pt>
                <c:pt idx="121">
                  <c:v>242.78158450182116</c:v>
                </c:pt>
                <c:pt idx="122">
                  <c:v>249.37005309496899</c:v>
                </c:pt>
                <c:pt idx="123">
                  <c:v>257.05907019858398</c:v>
                </c:pt>
                <c:pt idx="124">
                  <c:v>270.75817915299768</c:v>
                </c:pt>
                <c:pt idx="125">
                  <c:v>282.36556474354529</c:v>
                </c:pt>
                <c:pt idx="126">
                  <c:v>275.89313915516033</c:v>
                </c:pt>
                <c:pt idx="127">
                  <c:v>260.45556111730201</c:v>
                </c:pt>
                <c:pt idx="128">
                  <c:v>270.31523466564727</c:v>
                </c:pt>
                <c:pt idx="129">
                  <c:v>270.73927470408302</c:v>
                </c:pt>
                <c:pt idx="130">
                  <c:v>279.65531789154596</c:v>
                </c:pt>
                <c:pt idx="131">
                  <c:v>279.85792653624327</c:v>
                </c:pt>
                <c:pt idx="132">
                  <c:v>283.17834009188874</c:v>
                </c:pt>
                <c:pt idx="133">
                  <c:v>280.03299042813052</c:v>
                </c:pt>
                <c:pt idx="134">
                  <c:v>273.64739587910316</c:v>
                </c:pt>
                <c:pt idx="135">
                  <c:v>261.56623808153597</c:v>
                </c:pt>
                <c:pt idx="136">
                  <c:v>249.07170310414082</c:v>
                </c:pt>
                <c:pt idx="137">
                  <c:v>187.58344906274399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3-400D-9E2A-58A0C04DB6F0}"/>
            </c:ext>
          </c:extLst>
        </c:ser>
        <c:ser>
          <c:idx val="1"/>
          <c:order val="1"/>
          <c:tx>
            <c:v>Kerosene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38"/>
              <c:pt idx="0">
                <c:v>January 2009</c:v>
              </c:pt>
              <c:pt idx="1">
                <c:v>February 2009</c:v>
              </c:pt>
              <c:pt idx="2">
                <c:v>March 2009</c:v>
              </c:pt>
              <c:pt idx="3">
                <c:v>April 2009</c:v>
              </c:pt>
              <c:pt idx="4">
                <c:v>May 2009</c:v>
              </c:pt>
              <c:pt idx="5">
                <c:v>June 2009</c:v>
              </c:pt>
              <c:pt idx="6">
                <c:v>July 2009</c:v>
              </c:pt>
              <c:pt idx="7">
                <c:v>August 2009</c:v>
              </c:pt>
              <c:pt idx="8">
                <c:v>September 2009</c:v>
              </c:pt>
              <c:pt idx="9">
                <c:v>October 2009</c:v>
              </c:pt>
              <c:pt idx="10">
                <c:v>November 2009</c:v>
              </c:pt>
              <c:pt idx="11">
                <c:v>December 2009</c:v>
              </c:pt>
              <c:pt idx="12">
                <c:v>January 2010</c:v>
              </c:pt>
              <c:pt idx="13">
                <c:v>February 2010</c:v>
              </c:pt>
              <c:pt idx="14">
                <c:v>March 2010</c:v>
              </c:pt>
              <c:pt idx="15">
                <c:v>April 2010</c:v>
              </c:pt>
              <c:pt idx="16">
                <c:v>May 2010</c:v>
              </c:pt>
              <c:pt idx="17">
                <c:v>June 2010</c:v>
              </c:pt>
              <c:pt idx="18">
                <c:v>July 2010</c:v>
              </c:pt>
              <c:pt idx="19">
                <c:v>August 2010</c:v>
              </c:pt>
              <c:pt idx="20">
                <c:v>September 2010</c:v>
              </c:pt>
              <c:pt idx="21">
                <c:v>October 2010</c:v>
              </c:pt>
              <c:pt idx="22">
                <c:v>November 2010</c:v>
              </c:pt>
              <c:pt idx="23">
                <c:v>December 2010</c:v>
              </c:pt>
              <c:pt idx="24">
                <c:v>January 2011</c:v>
              </c:pt>
              <c:pt idx="25">
                <c:v>February 2011</c:v>
              </c:pt>
              <c:pt idx="26">
                <c:v>March 2011</c:v>
              </c:pt>
              <c:pt idx="27">
                <c:v>April 2011</c:v>
              </c:pt>
              <c:pt idx="28">
                <c:v>May 2011</c:v>
              </c:pt>
              <c:pt idx="29">
                <c:v>June 2011</c:v>
              </c:pt>
              <c:pt idx="30">
                <c:v>July 2011</c:v>
              </c:pt>
              <c:pt idx="31">
                <c:v>August 2011</c:v>
              </c:pt>
              <c:pt idx="32">
                <c:v>September 2011</c:v>
              </c:pt>
              <c:pt idx="33">
                <c:v>October 2011</c:v>
              </c:pt>
              <c:pt idx="34">
                <c:v>November 2011</c:v>
              </c:pt>
              <c:pt idx="35">
                <c:v>December 2011</c:v>
              </c:pt>
              <c:pt idx="36">
                <c:v>January 2012</c:v>
              </c:pt>
              <c:pt idx="37">
                <c:v>February 2012</c:v>
              </c:pt>
              <c:pt idx="38">
                <c:v>March 2012</c:v>
              </c:pt>
              <c:pt idx="39">
                <c:v>April 2012</c:v>
              </c:pt>
              <c:pt idx="40">
                <c:v>May 2012</c:v>
              </c:pt>
              <c:pt idx="41">
                <c:v>June 2012</c:v>
              </c:pt>
              <c:pt idx="42">
                <c:v>July 2012</c:v>
              </c:pt>
              <c:pt idx="43">
                <c:v>August 2012</c:v>
              </c:pt>
              <c:pt idx="44">
                <c:v>September 2012</c:v>
              </c:pt>
              <c:pt idx="45">
                <c:v>October 2012</c:v>
              </c:pt>
              <c:pt idx="46">
                <c:v>November 2012</c:v>
              </c:pt>
              <c:pt idx="47">
                <c:v>December 2012</c:v>
              </c:pt>
              <c:pt idx="48">
                <c:v>January 2013</c:v>
              </c:pt>
              <c:pt idx="49">
                <c:v>February 2013</c:v>
              </c:pt>
              <c:pt idx="50">
                <c:v>March 2013</c:v>
              </c:pt>
              <c:pt idx="51">
                <c:v>April 2013</c:v>
              </c:pt>
              <c:pt idx="52">
                <c:v>May 2013</c:v>
              </c:pt>
              <c:pt idx="53">
                <c:v>June 2013</c:v>
              </c:pt>
              <c:pt idx="54">
                <c:v>July 2013</c:v>
              </c:pt>
              <c:pt idx="55">
                <c:v>August 2013</c:v>
              </c:pt>
              <c:pt idx="56">
                <c:v>September 2013</c:v>
              </c:pt>
              <c:pt idx="57">
                <c:v>October 2013</c:v>
              </c:pt>
              <c:pt idx="58">
                <c:v>November 2013</c:v>
              </c:pt>
              <c:pt idx="59">
                <c:v>December 2013</c:v>
              </c:pt>
              <c:pt idx="60">
                <c:v>January 2014</c:v>
              </c:pt>
              <c:pt idx="61">
                <c:v>February 2014</c:v>
              </c:pt>
              <c:pt idx="62">
                <c:v>March 2014</c:v>
              </c:pt>
              <c:pt idx="63">
                <c:v>April 2014</c:v>
              </c:pt>
              <c:pt idx="64">
                <c:v>May 2014</c:v>
              </c:pt>
              <c:pt idx="65">
                <c:v>June 2014</c:v>
              </c:pt>
              <c:pt idx="66">
                <c:v>July 2014</c:v>
              </c:pt>
              <c:pt idx="67">
                <c:v>August 2014</c:v>
              </c:pt>
              <c:pt idx="68">
                <c:v>September 2014</c:v>
              </c:pt>
              <c:pt idx="69">
                <c:v>October 2014</c:v>
              </c:pt>
              <c:pt idx="70">
                <c:v>November 2014</c:v>
              </c:pt>
              <c:pt idx="71">
                <c:v>December 2014</c:v>
              </c:pt>
              <c:pt idx="72">
                <c:v>January 2015</c:v>
              </c:pt>
              <c:pt idx="73">
                <c:v>February 2015</c:v>
              </c:pt>
              <c:pt idx="74">
                <c:v>March 2015</c:v>
              </c:pt>
              <c:pt idx="75">
                <c:v>April 2015</c:v>
              </c:pt>
              <c:pt idx="76">
                <c:v>May 2015</c:v>
              </c:pt>
              <c:pt idx="77">
                <c:v>June 2015</c:v>
              </c:pt>
              <c:pt idx="78">
                <c:v>July 2015</c:v>
              </c:pt>
              <c:pt idx="79">
                <c:v>August 2015</c:v>
              </c:pt>
              <c:pt idx="80">
                <c:v>September 2015</c:v>
              </c:pt>
              <c:pt idx="81">
                <c:v>October 2015</c:v>
              </c:pt>
              <c:pt idx="82">
                <c:v>November 2015</c:v>
              </c:pt>
              <c:pt idx="83">
                <c:v>December 2015</c:v>
              </c:pt>
              <c:pt idx="84">
                <c:v>January 2016</c:v>
              </c:pt>
              <c:pt idx="85">
                <c:v>February 2016</c:v>
              </c:pt>
              <c:pt idx="86">
                <c:v>March 2016</c:v>
              </c:pt>
              <c:pt idx="87">
                <c:v>April 2016</c:v>
              </c:pt>
              <c:pt idx="88">
                <c:v>May 2016</c:v>
              </c:pt>
              <c:pt idx="89">
                <c:v>June 2016</c:v>
              </c:pt>
              <c:pt idx="90">
                <c:v>Ad-hoc July 2016</c:v>
              </c:pt>
              <c:pt idx="91">
                <c:v>July 2016</c:v>
              </c:pt>
              <c:pt idx="92">
                <c:v>August 2016</c:v>
              </c:pt>
              <c:pt idx="93">
                <c:v>September 2016</c:v>
              </c:pt>
              <c:pt idx="94">
                <c:v>October 2016</c:v>
              </c:pt>
              <c:pt idx="95">
                <c:v>November 2016</c:v>
              </c:pt>
              <c:pt idx="96">
                <c:v>December 2016</c:v>
              </c:pt>
              <c:pt idx="97">
                <c:v>January 2017</c:v>
              </c:pt>
              <c:pt idx="98">
                <c:v>February 2017</c:v>
              </c:pt>
              <c:pt idx="99">
                <c:v>March 2017</c:v>
              </c:pt>
              <c:pt idx="100">
                <c:v>April 2017</c:v>
              </c:pt>
              <c:pt idx="101">
                <c:v>May 2017</c:v>
              </c:pt>
              <c:pt idx="102">
                <c:v>June 2017</c:v>
              </c:pt>
              <c:pt idx="103">
                <c:v>July 2017</c:v>
              </c:pt>
              <c:pt idx="104">
                <c:v>August 2017</c:v>
              </c:pt>
              <c:pt idx="105">
                <c:v>September 2017</c:v>
              </c:pt>
              <c:pt idx="106">
                <c:v>October 2017</c:v>
              </c:pt>
              <c:pt idx="107">
                <c:v>November 2017</c:v>
              </c:pt>
              <c:pt idx="108">
                <c:v>December 2017</c:v>
              </c:pt>
              <c:pt idx="109">
                <c:v>January 2018</c:v>
              </c:pt>
              <c:pt idx="110">
                <c:v>February 2018</c:v>
              </c:pt>
              <c:pt idx="111">
                <c:v>March 2018</c:v>
              </c:pt>
              <c:pt idx="112">
                <c:v>April 2018</c:v>
              </c:pt>
              <c:pt idx="113">
                <c:v>May 2018</c:v>
              </c:pt>
              <c:pt idx="114">
                <c:v>June 2018</c:v>
              </c:pt>
              <c:pt idx="115">
                <c:v>July 2018</c:v>
              </c:pt>
              <c:pt idx="116">
                <c:v>August 2018</c:v>
              </c:pt>
              <c:pt idx="117">
                <c:v>September 2018</c:v>
              </c:pt>
              <c:pt idx="118">
                <c:v>October 2018</c:v>
              </c:pt>
              <c:pt idx="119">
                <c:v>November 2018</c:v>
              </c:pt>
              <c:pt idx="120">
                <c:v>December 2018</c:v>
              </c:pt>
              <c:pt idx="121">
                <c:v>January 2019</c:v>
              </c:pt>
              <c:pt idx="122">
                <c:v>February 2019</c:v>
              </c:pt>
              <c:pt idx="123">
                <c:v>March 2019</c:v>
              </c:pt>
              <c:pt idx="124">
                <c:v>April 2019</c:v>
              </c:pt>
              <c:pt idx="125">
                <c:v>May 2019</c:v>
              </c:pt>
              <c:pt idx="126">
                <c:v>June 2019</c:v>
              </c:pt>
              <c:pt idx="127">
                <c:v>July 2019</c:v>
              </c:pt>
              <c:pt idx="128">
                <c:v>August 2019</c:v>
              </c:pt>
              <c:pt idx="129">
                <c:v>September 2019</c:v>
              </c:pt>
              <c:pt idx="130">
                <c:v>October 2019</c:v>
              </c:pt>
              <c:pt idx="131">
                <c:v>November 2019</c:v>
              </c:pt>
              <c:pt idx="132">
                <c:v>December 2019</c:v>
              </c:pt>
              <c:pt idx="133">
                <c:v>January 2020</c:v>
              </c:pt>
              <c:pt idx="134">
                <c:v>February 2020</c:v>
              </c:pt>
              <c:pt idx="135">
                <c:v>March 2020</c:v>
              </c:pt>
              <c:pt idx="136">
                <c:v>April 2020</c:v>
              </c:pt>
              <c:pt idx="137">
                <c:v>May 2020</c:v>
              </c:pt>
            </c:strLit>
          </c:cat>
          <c:val>
            <c:numRef>
              <c:f>Sheet1!$F$3:$F$140</c:f>
              <c:numCache>
                <c:formatCode>0.00</c:formatCode>
                <c:ptCount val="138"/>
                <c:pt idx="0">
                  <c:v>194.03297498704819</c:v>
                </c:pt>
                <c:pt idx="1">
                  <c:v>159.04025285755063</c:v>
                </c:pt>
                <c:pt idx="2">
                  <c:v>159.39861419249112</c:v>
                </c:pt>
                <c:pt idx="3">
                  <c:v>149.23097368179131</c:v>
                </c:pt>
                <c:pt idx="4">
                  <c:v>147.37302010288784</c:v>
                </c:pt>
                <c:pt idx="5">
                  <c:v>153.09921707744599</c:v>
                </c:pt>
                <c:pt idx="6">
                  <c:v>159.23279577147531</c:v>
                </c:pt>
                <c:pt idx="7">
                  <c:v>178.89685812581919</c:v>
                </c:pt>
                <c:pt idx="8">
                  <c:v>173.61801312581923</c:v>
                </c:pt>
                <c:pt idx="9">
                  <c:v>164.40031100005143</c:v>
                </c:pt>
                <c:pt idx="10">
                  <c:v>170.1084321741709</c:v>
                </c:pt>
                <c:pt idx="11">
                  <c:v>177.43446763760375</c:v>
                </c:pt>
                <c:pt idx="12">
                  <c:v>177.35196499999998</c:v>
                </c:pt>
                <c:pt idx="13">
                  <c:v>179.86475891400718</c:v>
                </c:pt>
                <c:pt idx="14">
                  <c:v>176.22786649157646</c:v>
                </c:pt>
                <c:pt idx="15">
                  <c:v>183.95105664252213</c:v>
                </c:pt>
                <c:pt idx="16">
                  <c:v>199.17494104017592</c:v>
                </c:pt>
                <c:pt idx="17">
                  <c:v>192.6494335062273</c:v>
                </c:pt>
                <c:pt idx="18">
                  <c:v>187.08793279360077</c:v>
                </c:pt>
                <c:pt idx="19">
                  <c:v>183.35835547640016</c:v>
                </c:pt>
                <c:pt idx="20">
                  <c:v>188.59989955385527</c:v>
                </c:pt>
                <c:pt idx="21">
                  <c:v>186.03869765222487</c:v>
                </c:pt>
                <c:pt idx="22">
                  <c:v>191.95380293257605</c:v>
                </c:pt>
                <c:pt idx="23">
                  <c:v>194.01094122934208</c:v>
                </c:pt>
                <c:pt idx="24">
                  <c:v>204.32761346236822</c:v>
                </c:pt>
                <c:pt idx="25">
                  <c:v>212.29995067115175</c:v>
                </c:pt>
                <c:pt idx="26">
                  <c:v>226.72749999999996</c:v>
                </c:pt>
                <c:pt idx="27">
                  <c:v>245.392</c:v>
                </c:pt>
                <c:pt idx="28">
                  <c:v>250.429</c:v>
                </c:pt>
                <c:pt idx="29">
                  <c:v>232.26994608122786</c:v>
                </c:pt>
                <c:pt idx="30">
                  <c:v>225.29310527834662</c:v>
                </c:pt>
                <c:pt idx="31">
                  <c:v>222.29529953543832</c:v>
                </c:pt>
                <c:pt idx="32">
                  <c:v>215.05168346350698</c:v>
                </c:pt>
                <c:pt idx="33">
                  <c:v>217.38150746006124</c:v>
                </c:pt>
                <c:pt idx="34">
                  <c:v>221.50442033870823</c:v>
                </c:pt>
                <c:pt idx="35">
                  <c:v>229.37783703174395</c:v>
                </c:pt>
                <c:pt idx="36">
                  <c:v>223.4886579277383</c:v>
                </c:pt>
                <c:pt idx="37">
                  <c:v>225.66989128813475</c:v>
                </c:pt>
                <c:pt idx="38">
                  <c:v>229.66</c:v>
                </c:pt>
                <c:pt idx="39">
                  <c:v>237.595</c:v>
                </c:pt>
                <c:pt idx="40">
                  <c:v>235.59399999999999</c:v>
                </c:pt>
                <c:pt idx="41">
                  <c:v>227.17970148228002</c:v>
                </c:pt>
                <c:pt idx="42">
                  <c:v>208.79899999999998</c:v>
                </c:pt>
                <c:pt idx="43">
                  <c:v>216.619</c:v>
                </c:pt>
                <c:pt idx="44">
                  <c:v>231.71849999999998</c:v>
                </c:pt>
                <c:pt idx="45">
                  <c:v>236.1</c:v>
                </c:pt>
                <c:pt idx="46">
                  <c:v>235.042</c:v>
                </c:pt>
                <c:pt idx="47">
                  <c:v>229.01599999999999</c:v>
                </c:pt>
                <c:pt idx="48">
                  <c:v>228.13049999999998</c:v>
                </c:pt>
                <c:pt idx="49">
                  <c:v>232.62699999999998</c:v>
                </c:pt>
                <c:pt idx="50">
                  <c:v>237.62950000000001</c:v>
                </c:pt>
                <c:pt idx="51">
                  <c:v>226.6815</c:v>
                </c:pt>
                <c:pt idx="52">
                  <c:v>214.75599999999997</c:v>
                </c:pt>
                <c:pt idx="53">
                  <c:v>216.38900000000001</c:v>
                </c:pt>
                <c:pt idx="54">
                  <c:v>222.82899999999998</c:v>
                </c:pt>
                <c:pt idx="55">
                  <c:v>230.94800000000001</c:v>
                </c:pt>
                <c:pt idx="56">
                  <c:v>237.07749999999999</c:v>
                </c:pt>
                <c:pt idx="57">
                  <c:v>234.17949999999999</c:v>
                </c:pt>
                <c:pt idx="58">
                  <c:v>230.0855</c:v>
                </c:pt>
                <c:pt idx="59">
                  <c:v>231.48849999999999</c:v>
                </c:pt>
                <c:pt idx="60">
                  <c:v>240.41249999999999</c:v>
                </c:pt>
                <c:pt idx="61">
                  <c:v>233.685</c:v>
                </c:pt>
                <c:pt idx="62">
                  <c:v>235.29499999999999</c:v>
                </c:pt>
                <c:pt idx="63">
                  <c:v>229.798</c:v>
                </c:pt>
                <c:pt idx="64">
                  <c:v>228.84349999999998</c:v>
                </c:pt>
                <c:pt idx="65">
                  <c:v>228.0385</c:v>
                </c:pt>
                <c:pt idx="66">
                  <c:v>229.1885</c:v>
                </c:pt>
                <c:pt idx="67">
                  <c:v>228.2225</c:v>
                </c:pt>
                <c:pt idx="68">
                  <c:v>228.23399999999998</c:v>
                </c:pt>
                <c:pt idx="69">
                  <c:v>226.3135</c:v>
                </c:pt>
                <c:pt idx="70">
                  <c:v>214.03149999999999</c:v>
                </c:pt>
                <c:pt idx="71">
                  <c:v>207.68349999999998</c:v>
                </c:pt>
                <c:pt idx="72">
                  <c:v>180.15750499999999</c:v>
                </c:pt>
                <c:pt idx="73">
                  <c:v>156.59343000000001</c:v>
                </c:pt>
                <c:pt idx="74">
                  <c:v>174.48490000000001</c:v>
                </c:pt>
                <c:pt idx="75">
                  <c:v>169.9906433921339</c:v>
                </c:pt>
                <c:pt idx="76">
                  <c:v>172.74989499999998</c:v>
                </c:pt>
                <c:pt idx="77">
                  <c:v>184.06449007049929</c:v>
                </c:pt>
                <c:pt idx="78">
                  <c:v>178.07796000000002</c:v>
                </c:pt>
                <c:pt idx="79">
                  <c:v>167.6666659606588</c:v>
                </c:pt>
                <c:pt idx="80">
                  <c:v>154.77714522400046</c:v>
                </c:pt>
                <c:pt idx="81">
                  <c:v>162.96742</c:v>
                </c:pt>
                <c:pt idx="82">
                  <c:v>160.55822412986987</c:v>
                </c:pt>
                <c:pt idx="83">
                  <c:v>158.30990933036605</c:v>
                </c:pt>
                <c:pt idx="84">
                  <c:v>138.23072760968594</c:v>
                </c:pt>
                <c:pt idx="85">
                  <c:v>120.19062570945945</c:v>
                </c:pt>
                <c:pt idx="86">
                  <c:v>125.81292031091746</c:v>
                </c:pt>
                <c:pt idx="87">
                  <c:v>137.53981830317161</c:v>
                </c:pt>
                <c:pt idx="88">
                  <c:v>140.43242495877834</c:v>
                </c:pt>
                <c:pt idx="89">
                  <c:v>153.06567061508085</c:v>
                </c:pt>
                <c:pt idx="90">
                  <c:v>152.42832051554572</c:v>
                </c:pt>
                <c:pt idx="91">
                  <c:v>157.33701837129286</c:v>
                </c:pt>
                <c:pt idx="92">
                  <c:v>150.55167499999999</c:v>
                </c:pt>
                <c:pt idx="93">
                  <c:v>148.59359052317382</c:v>
                </c:pt>
                <c:pt idx="94">
                  <c:v>150.43176132623358</c:v>
                </c:pt>
                <c:pt idx="95">
                  <c:v>162.07210073587447</c:v>
                </c:pt>
                <c:pt idx="96">
                  <c:v>154.11186122296365</c:v>
                </c:pt>
                <c:pt idx="97">
                  <c:v>170.696865535569</c:v>
                </c:pt>
                <c:pt idx="98">
                  <c:v>173.40052688542875</c:v>
                </c:pt>
                <c:pt idx="99">
                  <c:v>173.2594715003676</c:v>
                </c:pt>
                <c:pt idx="100">
                  <c:v>167.02540751604323</c:v>
                </c:pt>
                <c:pt idx="101">
                  <c:v>171.5702630671349</c:v>
                </c:pt>
                <c:pt idx="102">
                  <c:v>166.23255898574649</c:v>
                </c:pt>
                <c:pt idx="103">
                  <c:v>156.58357573397979</c:v>
                </c:pt>
                <c:pt idx="104">
                  <c:v>153.29233413047723</c:v>
                </c:pt>
                <c:pt idx="105">
                  <c:v>158.48427961026374</c:v>
                </c:pt>
                <c:pt idx="106">
                  <c:v>168.9540907396316</c:v>
                </c:pt>
                <c:pt idx="107">
                  <c:v>171.70794973963157</c:v>
                </c:pt>
                <c:pt idx="108">
                  <c:v>185.48337784285519</c:v>
                </c:pt>
                <c:pt idx="109">
                  <c:v>185.48337784285519</c:v>
                </c:pt>
                <c:pt idx="110">
                  <c:v>193.99111928146385</c:v>
                </c:pt>
                <c:pt idx="111">
                  <c:v>197.38360640955119</c:v>
                </c:pt>
                <c:pt idx="112">
                  <c:v>191.70000255840455</c:v>
                </c:pt>
                <c:pt idx="113">
                  <c:v>203.74002679637817</c:v>
                </c:pt>
                <c:pt idx="114">
                  <c:v>215.22396958740831</c:v>
                </c:pt>
                <c:pt idx="115">
                  <c:v>209.73563856781217</c:v>
                </c:pt>
                <c:pt idx="116">
                  <c:v>212.59412377960319</c:v>
                </c:pt>
                <c:pt idx="117">
                  <c:v>210.63381787998918</c:v>
                </c:pt>
                <c:pt idx="118">
                  <c:v>218.93126316503447</c:v>
                </c:pt>
                <c:pt idx="119">
                  <c:v>224.92691572572843</c:v>
                </c:pt>
                <c:pt idx="120">
                  <c:v>202.15531172666607</c:v>
                </c:pt>
                <c:pt idx="121">
                  <c:v>181.91133317406087</c:v>
                </c:pt>
                <c:pt idx="122">
                  <c:v>184.49372756251907</c:v>
                </c:pt>
                <c:pt idx="123">
                  <c:v>194.17337804118486</c:v>
                </c:pt>
                <c:pt idx="124">
                  <c:v>197.43835252949927</c:v>
                </c:pt>
                <c:pt idx="125">
                  <c:v>203.02691141130288</c:v>
                </c:pt>
                <c:pt idx="126">
                  <c:v>202.38778463739726</c:v>
                </c:pt>
                <c:pt idx="127">
                  <c:v>189.54932070630619</c:v>
                </c:pt>
                <c:pt idx="128">
                  <c:v>195.72045636624705</c:v>
                </c:pt>
                <c:pt idx="129">
                  <c:v>196.92232038479182</c:v>
                </c:pt>
                <c:pt idx="130">
                  <c:v>203.40462344530911</c:v>
                </c:pt>
                <c:pt idx="131">
                  <c:v>200.79116579301018</c:v>
                </c:pt>
                <c:pt idx="132">
                  <c:v>199.2629571316173</c:v>
                </c:pt>
                <c:pt idx="133">
                  <c:v>203.73305992583698</c:v>
                </c:pt>
                <c:pt idx="134">
                  <c:v>199.34192125436047</c:v>
                </c:pt>
                <c:pt idx="135">
                  <c:v>177.29628374966282</c:v>
                </c:pt>
                <c:pt idx="136">
                  <c:v>163.36614289515262</c:v>
                </c:pt>
                <c:pt idx="137">
                  <c:v>111.7510879789332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E3-400D-9E2A-58A0C04DB6F0}"/>
            </c:ext>
          </c:extLst>
        </c:ser>
        <c:ser>
          <c:idx val="2"/>
          <c:order val="2"/>
          <c:tx>
            <c:v>Diesel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38"/>
              <c:pt idx="0">
                <c:v>January 2009</c:v>
              </c:pt>
              <c:pt idx="1">
                <c:v>February 2009</c:v>
              </c:pt>
              <c:pt idx="2">
                <c:v>March 2009</c:v>
              </c:pt>
              <c:pt idx="3">
                <c:v>April 2009</c:v>
              </c:pt>
              <c:pt idx="4">
                <c:v>May 2009</c:v>
              </c:pt>
              <c:pt idx="5">
                <c:v>June 2009</c:v>
              </c:pt>
              <c:pt idx="6">
                <c:v>July 2009</c:v>
              </c:pt>
              <c:pt idx="7">
                <c:v>August 2009</c:v>
              </c:pt>
              <c:pt idx="8">
                <c:v>September 2009</c:v>
              </c:pt>
              <c:pt idx="9">
                <c:v>October 2009</c:v>
              </c:pt>
              <c:pt idx="10">
                <c:v>November 2009</c:v>
              </c:pt>
              <c:pt idx="11">
                <c:v>December 2009</c:v>
              </c:pt>
              <c:pt idx="12">
                <c:v>January 2010</c:v>
              </c:pt>
              <c:pt idx="13">
                <c:v>February 2010</c:v>
              </c:pt>
              <c:pt idx="14">
                <c:v>March 2010</c:v>
              </c:pt>
              <c:pt idx="15">
                <c:v>April 2010</c:v>
              </c:pt>
              <c:pt idx="16">
                <c:v>May 2010</c:v>
              </c:pt>
              <c:pt idx="17">
                <c:v>June 2010</c:v>
              </c:pt>
              <c:pt idx="18">
                <c:v>July 2010</c:v>
              </c:pt>
              <c:pt idx="19">
                <c:v>August 2010</c:v>
              </c:pt>
              <c:pt idx="20">
                <c:v>September 2010</c:v>
              </c:pt>
              <c:pt idx="21">
                <c:v>October 2010</c:v>
              </c:pt>
              <c:pt idx="22">
                <c:v>November 2010</c:v>
              </c:pt>
              <c:pt idx="23">
                <c:v>December 2010</c:v>
              </c:pt>
              <c:pt idx="24">
                <c:v>January 2011</c:v>
              </c:pt>
              <c:pt idx="25">
                <c:v>February 2011</c:v>
              </c:pt>
              <c:pt idx="26">
                <c:v>March 2011</c:v>
              </c:pt>
              <c:pt idx="27">
                <c:v>April 2011</c:v>
              </c:pt>
              <c:pt idx="28">
                <c:v>May 2011</c:v>
              </c:pt>
              <c:pt idx="29">
                <c:v>June 2011</c:v>
              </c:pt>
              <c:pt idx="30">
                <c:v>July 2011</c:v>
              </c:pt>
              <c:pt idx="31">
                <c:v>August 2011</c:v>
              </c:pt>
              <c:pt idx="32">
                <c:v>September 2011</c:v>
              </c:pt>
              <c:pt idx="33">
                <c:v>October 2011</c:v>
              </c:pt>
              <c:pt idx="34">
                <c:v>November 2011</c:v>
              </c:pt>
              <c:pt idx="35">
                <c:v>December 2011</c:v>
              </c:pt>
              <c:pt idx="36">
                <c:v>January 2012</c:v>
              </c:pt>
              <c:pt idx="37">
                <c:v>February 2012</c:v>
              </c:pt>
              <c:pt idx="38">
                <c:v>March 2012</c:v>
              </c:pt>
              <c:pt idx="39">
                <c:v>April 2012</c:v>
              </c:pt>
              <c:pt idx="40">
                <c:v>May 2012</c:v>
              </c:pt>
              <c:pt idx="41">
                <c:v>June 2012</c:v>
              </c:pt>
              <c:pt idx="42">
                <c:v>July 2012</c:v>
              </c:pt>
              <c:pt idx="43">
                <c:v>August 2012</c:v>
              </c:pt>
              <c:pt idx="44">
                <c:v>September 2012</c:v>
              </c:pt>
              <c:pt idx="45">
                <c:v>October 2012</c:v>
              </c:pt>
              <c:pt idx="46">
                <c:v>November 2012</c:v>
              </c:pt>
              <c:pt idx="47">
                <c:v>December 2012</c:v>
              </c:pt>
              <c:pt idx="48">
                <c:v>January 2013</c:v>
              </c:pt>
              <c:pt idx="49">
                <c:v>February 2013</c:v>
              </c:pt>
              <c:pt idx="50">
                <c:v>March 2013</c:v>
              </c:pt>
              <c:pt idx="51">
                <c:v>April 2013</c:v>
              </c:pt>
              <c:pt idx="52">
                <c:v>May 2013</c:v>
              </c:pt>
              <c:pt idx="53">
                <c:v>June 2013</c:v>
              </c:pt>
              <c:pt idx="54">
                <c:v>July 2013</c:v>
              </c:pt>
              <c:pt idx="55">
                <c:v>August 2013</c:v>
              </c:pt>
              <c:pt idx="56">
                <c:v>September 2013</c:v>
              </c:pt>
              <c:pt idx="57">
                <c:v>October 2013</c:v>
              </c:pt>
              <c:pt idx="58">
                <c:v>November 2013</c:v>
              </c:pt>
              <c:pt idx="59">
                <c:v>December 2013</c:v>
              </c:pt>
              <c:pt idx="60">
                <c:v>January 2014</c:v>
              </c:pt>
              <c:pt idx="61">
                <c:v>February 2014</c:v>
              </c:pt>
              <c:pt idx="62">
                <c:v>March 2014</c:v>
              </c:pt>
              <c:pt idx="63">
                <c:v>April 2014</c:v>
              </c:pt>
              <c:pt idx="64">
                <c:v>May 2014</c:v>
              </c:pt>
              <c:pt idx="65">
                <c:v>June 2014</c:v>
              </c:pt>
              <c:pt idx="66">
                <c:v>July 2014</c:v>
              </c:pt>
              <c:pt idx="67">
                <c:v>August 2014</c:v>
              </c:pt>
              <c:pt idx="68">
                <c:v>September 2014</c:v>
              </c:pt>
              <c:pt idx="69">
                <c:v>October 2014</c:v>
              </c:pt>
              <c:pt idx="70">
                <c:v>November 2014</c:v>
              </c:pt>
              <c:pt idx="71">
                <c:v>December 2014</c:v>
              </c:pt>
              <c:pt idx="72">
                <c:v>January 2015</c:v>
              </c:pt>
              <c:pt idx="73">
                <c:v>February 2015</c:v>
              </c:pt>
              <c:pt idx="74">
                <c:v>March 2015</c:v>
              </c:pt>
              <c:pt idx="75">
                <c:v>April 2015</c:v>
              </c:pt>
              <c:pt idx="76">
                <c:v>May 2015</c:v>
              </c:pt>
              <c:pt idx="77">
                <c:v>June 2015</c:v>
              </c:pt>
              <c:pt idx="78">
                <c:v>July 2015</c:v>
              </c:pt>
              <c:pt idx="79">
                <c:v>August 2015</c:v>
              </c:pt>
              <c:pt idx="80">
                <c:v>September 2015</c:v>
              </c:pt>
              <c:pt idx="81">
                <c:v>October 2015</c:v>
              </c:pt>
              <c:pt idx="82">
                <c:v>November 2015</c:v>
              </c:pt>
              <c:pt idx="83">
                <c:v>December 2015</c:v>
              </c:pt>
              <c:pt idx="84">
                <c:v>January 2016</c:v>
              </c:pt>
              <c:pt idx="85">
                <c:v>February 2016</c:v>
              </c:pt>
              <c:pt idx="86">
                <c:v>March 2016</c:v>
              </c:pt>
              <c:pt idx="87">
                <c:v>April 2016</c:v>
              </c:pt>
              <c:pt idx="88">
                <c:v>May 2016</c:v>
              </c:pt>
              <c:pt idx="89">
                <c:v>June 2016</c:v>
              </c:pt>
              <c:pt idx="90">
                <c:v>Ad-hoc July 2016</c:v>
              </c:pt>
              <c:pt idx="91">
                <c:v>July 2016</c:v>
              </c:pt>
              <c:pt idx="92">
                <c:v>August 2016</c:v>
              </c:pt>
              <c:pt idx="93">
                <c:v>September 2016</c:v>
              </c:pt>
              <c:pt idx="94">
                <c:v>October 2016</c:v>
              </c:pt>
              <c:pt idx="95">
                <c:v>November 2016</c:v>
              </c:pt>
              <c:pt idx="96">
                <c:v>December 2016</c:v>
              </c:pt>
              <c:pt idx="97">
                <c:v>January 2017</c:v>
              </c:pt>
              <c:pt idx="98">
                <c:v>February 2017</c:v>
              </c:pt>
              <c:pt idx="99">
                <c:v>March 2017</c:v>
              </c:pt>
              <c:pt idx="100">
                <c:v>April 2017</c:v>
              </c:pt>
              <c:pt idx="101">
                <c:v>May 2017</c:v>
              </c:pt>
              <c:pt idx="102">
                <c:v>June 2017</c:v>
              </c:pt>
              <c:pt idx="103">
                <c:v>July 2017</c:v>
              </c:pt>
              <c:pt idx="104">
                <c:v>August 2017</c:v>
              </c:pt>
              <c:pt idx="105">
                <c:v>September 2017</c:v>
              </c:pt>
              <c:pt idx="106">
                <c:v>October 2017</c:v>
              </c:pt>
              <c:pt idx="107">
                <c:v>November 2017</c:v>
              </c:pt>
              <c:pt idx="108">
                <c:v>December 2017</c:v>
              </c:pt>
              <c:pt idx="109">
                <c:v>January 2018</c:v>
              </c:pt>
              <c:pt idx="110">
                <c:v>February 2018</c:v>
              </c:pt>
              <c:pt idx="111">
                <c:v>March 2018</c:v>
              </c:pt>
              <c:pt idx="112">
                <c:v>April 2018</c:v>
              </c:pt>
              <c:pt idx="113">
                <c:v>May 2018</c:v>
              </c:pt>
              <c:pt idx="114">
                <c:v>June 2018</c:v>
              </c:pt>
              <c:pt idx="115">
                <c:v>July 2018</c:v>
              </c:pt>
              <c:pt idx="116">
                <c:v>August 2018</c:v>
              </c:pt>
              <c:pt idx="117">
                <c:v>September 2018</c:v>
              </c:pt>
              <c:pt idx="118">
                <c:v>October 2018</c:v>
              </c:pt>
              <c:pt idx="119">
                <c:v>November 2018</c:v>
              </c:pt>
              <c:pt idx="120">
                <c:v>December 2018</c:v>
              </c:pt>
              <c:pt idx="121">
                <c:v>January 2019</c:v>
              </c:pt>
              <c:pt idx="122">
                <c:v>February 2019</c:v>
              </c:pt>
              <c:pt idx="123">
                <c:v>March 2019</c:v>
              </c:pt>
              <c:pt idx="124">
                <c:v>April 2019</c:v>
              </c:pt>
              <c:pt idx="125">
                <c:v>May 2019</c:v>
              </c:pt>
              <c:pt idx="126">
                <c:v>June 2019</c:v>
              </c:pt>
              <c:pt idx="127">
                <c:v>July 2019</c:v>
              </c:pt>
              <c:pt idx="128">
                <c:v>August 2019</c:v>
              </c:pt>
              <c:pt idx="129">
                <c:v>September 2019</c:v>
              </c:pt>
              <c:pt idx="130">
                <c:v>October 2019</c:v>
              </c:pt>
              <c:pt idx="131">
                <c:v>November 2019</c:v>
              </c:pt>
              <c:pt idx="132">
                <c:v>December 2019</c:v>
              </c:pt>
              <c:pt idx="133">
                <c:v>January 2020</c:v>
              </c:pt>
              <c:pt idx="134">
                <c:v>February 2020</c:v>
              </c:pt>
              <c:pt idx="135">
                <c:v>March 2020</c:v>
              </c:pt>
              <c:pt idx="136">
                <c:v>April 2020</c:v>
              </c:pt>
              <c:pt idx="137">
                <c:v>May 2020</c:v>
              </c:pt>
            </c:strLit>
          </c:cat>
          <c:val>
            <c:numRef>
              <c:f>Sheet1!$G$3:$G$140</c:f>
              <c:numCache>
                <c:formatCode>0.00</c:formatCode>
                <c:ptCount val="138"/>
                <c:pt idx="0">
                  <c:v>247.17956857182185</c:v>
                </c:pt>
                <c:pt idx="1">
                  <c:v>222.27123502167208</c:v>
                </c:pt>
                <c:pt idx="2">
                  <c:v>221.02329835835013</c:v>
                </c:pt>
                <c:pt idx="3">
                  <c:v>206.88058879384124</c:v>
                </c:pt>
                <c:pt idx="4">
                  <c:v>209.92852919852677</c:v>
                </c:pt>
                <c:pt idx="5">
                  <c:v>216.01536991454086</c:v>
                </c:pt>
                <c:pt idx="6">
                  <c:v>223.98735529222253</c:v>
                </c:pt>
                <c:pt idx="7">
                  <c:v>243.00207178081018</c:v>
                </c:pt>
                <c:pt idx="8">
                  <c:v>238.30156178081018</c:v>
                </c:pt>
                <c:pt idx="9">
                  <c:v>228.64226846186787</c:v>
                </c:pt>
                <c:pt idx="10">
                  <c:v>233.56162470774069</c:v>
                </c:pt>
                <c:pt idx="11">
                  <c:v>240.07911328113573</c:v>
                </c:pt>
                <c:pt idx="12">
                  <c:v>238.44629</c:v>
                </c:pt>
                <c:pt idx="13">
                  <c:v>241.42867465052507</c:v>
                </c:pt>
                <c:pt idx="14">
                  <c:v>240.45271340345698</c:v>
                </c:pt>
                <c:pt idx="15">
                  <c:v>248.36905609582232</c:v>
                </c:pt>
                <c:pt idx="16">
                  <c:v>262.10702225087294</c:v>
                </c:pt>
                <c:pt idx="17">
                  <c:v>255.8862073507085</c:v>
                </c:pt>
                <c:pt idx="18">
                  <c:v>249.48913745583516</c:v>
                </c:pt>
                <c:pt idx="19">
                  <c:v>246.48799407751221</c:v>
                </c:pt>
                <c:pt idx="20">
                  <c:v>252.39560038410448</c:v>
                </c:pt>
                <c:pt idx="21">
                  <c:v>248.82563017842489</c:v>
                </c:pt>
                <c:pt idx="22">
                  <c:v>253.34942668935196</c:v>
                </c:pt>
                <c:pt idx="23">
                  <c:v>255.43828584543184</c:v>
                </c:pt>
                <c:pt idx="24">
                  <c:v>266.08835458303651</c:v>
                </c:pt>
                <c:pt idx="25">
                  <c:v>272.96863226463819</c:v>
                </c:pt>
                <c:pt idx="26">
                  <c:v>285.93599999999998</c:v>
                </c:pt>
                <c:pt idx="27">
                  <c:v>306.31400000000002</c:v>
                </c:pt>
                <c:pt idx="28">
                  <c:v>312.58150000000001</c:v>
                </c:pt>
                <c:pt idx="29">
                  <c:v>293.78036431845453</c:v>
                </c:pt>
                <c:pt idx="30">
                  <c:v>287.1036361295354</c:v>
                </c:pt>
                <c:pt idx="31">
                  <c:v>284.09525389533758</c:v>
                </c:pt>
                <c:pt idx="32">
                  <c:v>275.46930624781567</c:v>
                </c:pt>
                <c:pt idx="33">
                  <c:v>279.12997149158241</c:v>
                </c:pt>
                <c:pt idx="34">
                  <c:v>281.77281467910638</c:v>
                </c:pt>
                <c:pt idx="35">
                  <c:v>292.13548158098541</c:v>
                </c:pt>
                <c:pt idx="36">
                  <c:v>287.20275826536732</c:v>
                </c:pt>
                <c:pt idx="37">
                  <c:v>290.63659490482803</c:v>
                </c:pt>
                <c:pt idx="38">
                  <c:v>293.089</c:v>
                </c:pt>
                <c:pt idx="39">
                  <c:v>300.334</c:v>
                </c:pt>
                <c:pt idx="40">
                  <c:v>297.91899999999998</c:v>
                </c:pt>
                <c:pt idx="41">
                  <c:v>289.00681317248507</c:v>
                </c:pt>
                <c:pt idx="42">
                  <c:v>270.79050000000001</c:v>
                </c:pt>
                <c:pt idx="43">
                  <c:v>278.69100000000003</c:v>
                </c:pt>
                <c:pt idx="44">
                  <c:v>294.22750000000002</c:v>
                </c:pt>
                <c:pt idx="45">
                  <c:v>296.19400000000002</c:v>
                </c:pt>
                <c:pt idx="46">
                  <c:v>294.28500000000003</c:v>
                </c:pt>
                <c:pt idx="47">
                  <c:v>289.92650000000003</c:v>
                </c:pt>
                <c:pt idx="48">
                  <c:v>288.96050000000002</c:v>
                </c:pt>
                <c:pt idx="49">
                  <c:v>293.84800000000001</c:v>
                </c:pt>
                <c:pt idx="50">
                  <c:v>298.54000000000002</c:v>
                </c:pt>
                <c:pt idx="51">
                  <c:v>289.22500000000002</c:v>
                </c:pt>
                <c:pt idx="52">
                  <c:v>277.82850000000002</c:v>
                </c:pt>
                <c:pt idx="53">
                  <c:v>280.4735</c:v>
                </c:pt>
                <c:pt idx="54">
                  <c:v>288.59249999999997</c:v>
                </c:pt>
                <c:pt idx="55">
                  <c:v>294.06650000000002</c:v>
                </c:pt>
                <c:pt idx="56">
                  <c:v>296.608</c:v>
                </c:pt>
                <c:pt idx="57">
                  <c:v>294.1585</c:v>
                </c:pt>
                <c:pt idx="58">
                  <c:v>291.58250000000004</c:v>
                </c:pt>
                <c:pt idx="59">
                  <c:v>292.85899999999998</c:v>
                </c:pt>
                <c:pt idx="60">
                  <c:v>300.23050000000001</c:v>
                </c:pt>
                <c:pt idx="61">
                  <c:v>294.04349999999999</c:v>
                </c:pt>
                <c:pt idx="62">
                  <c:v>296.72300000000001</c:v>
                </c:pt>
                <c:pt idx="63">
                  <c:v>292.61750000000001</c:v>
                </c:pt>
                <c:pt idx="64">
                  <c:v>292.64049999999997</c:v>
                </c:pt>
                <c:pt idx="65">
                  <c:v>292.04249999999996</c:v>
                </c:pt>
                <c:pt idx="66">
                  <c:v>290.42099999999999</c:v>
                </c:pt>
                <c:pt idx="67">
                  <c:v>283.47500000000002</c:v>
                </c:pt>
                <c:pt idx="68">
                  <c:v>283.46350000000001</c:v>
                </c:pt>
                <c:pt idx="69">
                  <c:v>280.91050000000001</c:v>
                </c:pt>
                <c:pt idx="70">
                  <c:v>268.09949999999998</c:v>
                </c:pt>
                <c:pt idx="71">
                  <c:v>260.31400000000002</c:v>
                </c:pt>
                <c:pt idx="72">
                  <c:v>236.46518499999996</c:v>
                </c:pt>
                <c:pt idx="73">
                  <c:v>214.27926999999997</c:v>
                </c:pt>
                <c:pt idx="74">
                  <c:v>229.78357000000003</c:v>
                </c:pt>
                <c:pt idx="75">
                  <c:v>230.38908782648514</c:v>
                </c:pt>
                <c:pt idx="76">
                  <c:v>232.281485</c:v>
                </c:pt>
                <c:pt idx="77">
                  <c:v>243.21391212564677</c:v>
                </c:pt>
                <c:pt idx="78">
                  <c:v>248.50349999999997</c:v>
                </c:pt>
                <c:pt idx="79">
                  <c:v>236.748259721371</c:v>
                </c:pt>
                <c:pt idx="80">
                  <c:v>225.32627728178127</c:v>
                </c:pt>
                <c:pt idx="81">
                  <c:v>231.61701499999998</c:v>
                </c:pt>
                <c:pt idx="82">
                  <c:v>227.79028203991078</c:v>
                </c:pt>
                <c:pt idx="83">
                  <c:v>226.10494495688059</c:v>
                </c:pt>
                <c:pt idx="84">
                  <c:v>205.0889774662644</c:v>
                </c:pt>
                <c:pt idx="85">
                  <c:v>185.9436230906993</c:v>
                </c:pt>
                <c:pt idx="86">
                  <c:v>189.81231707345586</c:v>
                </c:pt>
                <c:pt idx="87">
                  <c:v>202.32700654753452</c:v>
                </c:pt>
                <c:pt idx="88">
                  <c:v>205.67226484635549</c:v>
                </c:pt>
                <c:pt idx="89">
                  <c:v>219.92138549508493</c:v>
                </c:pt>
                <c:pt idx="90">
                  <c:v>230.67494667927448</c:v>
                </c:pt>
                <c:pt idx="91">
                  <c:v>235.58823721944447</c:v>
                </c:pt>
                <c:pt idx="92">
                  <c:v>228.14502239159373</c:v>
                </c:pt>
                <c:pt idx="93">
                  <c:v>226.34482711178561</c:v>
                </c:pt>
                <c:pt idx="94">
                  <c:v>227.75509965650616</c:v>
                </c:pt>
                <c:pt idx="95">
                  <c:v>240.5687136364522</c:v>
                </c:pt>
                <c:pt idx="96">
                  <c:v>233.15510723560968</c:v>
                </c:pt>
                <c:pt idx="97">
                  <c:v>246.41499147462613</c:v>
                </c:pt>
                <c:pt idx="98">
                  <c:v>250.51355866899988</c:v>
                </c:pt>
                <c:pt idx="99">
                  <c:v>251.05141760962383</c:v>
                </c:pt>
                <c:pt idx="100">
                  <c:v>246.45767243397407</c:v>
                </c:pt>
                <c:pt idx="101">
                  <c:v>250.10204595037234</c:v>
                </c:pt>
                <c:pt idx="102">
                  <c:v>244.55340423189756</c:v>
                </c:pt>
                <c:pt idx="103">
                  <c:v>235.60927876127434</c:v>
                </c:pt>
                <c:pt idx="104">
                  <c:v>237.47659196895978</c:v>
                </c:pt>
                <c:pt idx="105">
                  <c:v>241.1384444815582</c:v>
                </c:pt>
                <c:pt idx="106">
                  <c:v>251.31524661793108</c:v>
                </c:pt>
                <c:pt idx="107">
                  <c:v>253.68424661793108</c:v>
                </c:pt>
                <c:pt idx="108">
                  <c:v>264.5987807558987</c:v>
                </c:pt>
                <c:pt idx="109">
                  <c:v>264.5987807558987</c:v>
                </c:pt>
                <c:pt idx="110">
                  <c:v>273.66598573708478</c:v>
                </c:pt>
                <c:pt idx="111">
                  <c:v>272.75806297147875</c:v>
                </c:pt>
                <c:pt idx="112">
                  <c:v>269.78160867276785</c:v>
                </c:pt>
                <c:pt idx="113">
                  <c:v>281.08177827024883</c:v>
                </c:pt>
                <c:pt idx="114">
                  <c:v>294.2744528649834</c:v>
                </c:pt>
                <c:pt idx="115">
                  <c:v>289.40887601843167</c:v>
                </c:pt>
                <c:pt idx="116">
                  <c:v>289.19726193452436</c:v>
                </c:pt>
                <c:pt idx="117">
                  <c:v>292.24689712943444</c:v>
                </c:pt>
                <c:pt idx="118">
                  <c:v>301.99977901165437</c:v>
                </c:pt>
                <c:pt idx="119">
                  <c:v>307.26893662765372</c:v>
                </c:pt>
                <c:pt idx="120">
                  <c:v>280.98541331156616</c:v>
                </c:pt>
                <c:pt idx="121">
                  <c:v>260.40845199225726</c:v>
                </c:pt>
                <c:pt idx="122">
                  <c:v>264.78859516932238</c:v>
                </c:pt>
                <c:pt idx="123">
                  <c:v>277.27116827720442</c:v>
                </c:pt>
                <c:pt idx="124">
                  <c:v>280.59902368848606</c:v>
                </c:pt>
                <c:pt idx="125">
                  <c:v>285.3107203136156</c:v>
                </c:pt>
                <c:pt idx="126">
                  <c:v>285.48885544337242</c:v>
                </c:pt>
                <c:pt idx="127">
                  <c:v>272.05943446363312</c:v>
                </c:pt>
                <c:pt idx="128">
                  <c:v>277.5747323529759</c:v>
                </c:pt>
                <c:pt idx="129">
                  <c:v>279.93354954361678</c:v>
                </c:pt>
                <c:pt idx="130">
                  <c:v>285.4933860149568</c:v>
                </c:pt>
                <c:pt idx="131">
                  <c:v>285.40809944650152</c:v>
                </c:pt>
                <c:pt idx="132">
                  <c:v>282.83590051687986</c:v>
                </c:pt>
                <c:pt idx="133">
                  <c:v>287.94597851005159</c:v>
                </c:pt>
                <c:pt idx="134">
                  <c:v>282.9208521942216</c:v>
                </c:pt>
                <c:pt idx="135">
                  <c:v>264.00914774751936</c:v>
                </c:pt>
                <c:pt idx="136">
                  <c:v>252.08566797723509</c:v>
                </c:pt>
                <c:pt idx="137">
                  <c:v>214.2984796095854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E3-400D-9E2A-58A0C04DB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2973888"/>
        <c:axId val="1673388768"/>
      </c:lineChart>
      <c:catAx>
        <c:axId val="167297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388768"/>
        <c:crosses val="autoZero"/>
        <c:auto val="1"/>
        <c:lblAlgn val="ctr"/>
        <c:lblOffset val="100"/>
        <c:noMultiLvlLbl val="0"/>
      </c:catAx>
      <c:valAx>
        <c:axId val="167338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97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Petroleum</a:t>
            </a:r>
            <a:r>
              <a:rPr lang="en-US" baseline="0"/>
              <a:t> (Mogas&amp;Diesel) Retail Price Vs Vehicel Registration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Sheet1!$N$27</c:f>
              <c:strCache>
                <c:ptCount val="1"/>
                <c:pt idx="0">
                  <c:v>Average Petrol Retail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Sheet1!$M$28:$M$41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Sheet1!$N$28:$N$41</c:f>
              <c:numCache>
                <c:formatCode>0.00</c:formatCode>
                <c:ptCount val="14"/>
                <c:pt idx="0">
                  <c:v>223.48525989045291</c:v>
                </c:pt>
                <c:pt idx="1">
                  <c:v>247.19486893350734</c:v>
                </c:pt>
                <c:pt idx="2">
                  <c:v>279.49989261026246</c:v>
                </c:pt>
                <c:pt idx="3">
                  <c:v>282.41889643201574</c:v>
                </c:pt>
                <c:pt idx="4">
                  <c:v>283.22487499999994</c:v>
                </c:pt>
                <c:pt idx="5">
                  <c:v>281.59858333333335</c:v>
                </c:pt>
                <c:pt idx="6">
                  <c:v>235.29118831144783</c:v>
                </c:pt>
                <c:pt idx="7">
                  <c:v>224.17768308111101</c:v>
                </c:pt>
                <c:pt idx="8">
                  <c:v>251.5615669312696</c:v>
                </c:pt>
                <c:pt idx="9">
                  <c:v>277.89433952984774</c:v>
                </c:pt>
                <c:pt idx="10">
                  <c:v>268.53577048781568</c:v>
                </c:pt>
                <c:pt idx="11">
                  <c:v>238.10357413603646</c:v>
                </c:pt>
                <c:pt idx="12">
                  <c:v>291.94086804146013</c:v>
                </c:pt>
                <c:pt idx="13">
                  <c:v>370.49533579980852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4-4E3C-A532-AFD6B2E00E94}"/>
            </c:ext>
          </c:extLst>
        </c:ser>
        <c:ser>
          <c:idx val="1"/>
          <c:order val="1"/>
          <c:tx>
            <c:strRef>
              <c:f>Sheet1!$O$27</c:f>
              <c:strCache>
                <c:ptCount val="1"/>
                <c:pt idx="0">
                  <c:v>Average Diesel Retail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Sheet1!$M$28:$M$41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Sheet1!$O$28:$O$41</c:f>
              <c:numCache>
                <c:formatCode>0.00</c:formatCode>
                <c:ptCount val="14"/>
                <c:pt idx="0">
                  <c:v>227.57271543027832</c:v>
                </c:pt>
                <c:pt idx="1">
                  <c:v>249.38966986517053</c:v>
                </c:pt>
                <c:pt idx="2">
                  <c:v>286.44794293254097</c:v>
                </c:pt>
                <c:pt idx="3">
                  <c:v>290.19188886189005</c:v>
                </c:pt>
                <c:pt idx="4">
                  <c:v>290.56187500000004</c:v>
                </c:pt>
                <c:pt idx="5">
                  <c:v>286.24841666666663</c:v>
                </c:pt>
                <c:pt idx="6">
                  <c:v>231.87523241267294</c:v>
                </c:pt>
                <c:pt idx="7">
                  <c:v>217.76904065000465</c:v>
                </c:pt>
                <c:pt idx="8">
                  <c:v>247.74297329775391</c:v>
                </c:pt>
                <c:pt idx="9">
                  <c:v>284.7723194421439</c:v>
                </c:pt>
                <c:pt idx="10">
                  <c:v>278.09765976856852</c:v>
                </c:pt>
                <c:pt idx="11">
                  <c:v>242.72843503658584</c:v>
                </c:pt>
                <c:pt idx="12">
                  <c:v>283.4535654255094</c:v>
                </c:pt>
                <c:pt idx="13">
                  <c:v>395.86928835995622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24-4E3C-A532-AFD6B2E00E94}"/>
            </c:ext>
          </c:extLst>
        </c:ser>
        <c:ser>
          <c:idx val="2"/>
          <c:order val="2"/>
          <c:tx>
            <c:strRef>
              <c:f>Sheet1!$P$27</c:f>
              <c:strCache>
                <c:ptCount val="1"/>
                <c:pt idx="0">
                  <c:v>Number of Registered Vehicles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Sheet1!$M$28:$M$41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Sheet1!$P$28:$P$41</c:f>
              <c:numCache>
                <c:formatCode>General</c:formatCode>
                <c:ptCount val="14"/>
                <c:pt idx="0">
                  <c:v>2452</c:v>
                </c:pt>
                <c:pt idx="1">
                  <c:v>6163</c:v>
                </c:pt>
                <c:pt idx="2">
                  <c:v>1881</c:v>
                </c:pt>
                <c:pt idx="3">
                  <c:v>1786</c:v>
                </c:pt>
                <c:pt idx="4">
                  <c:v>1780</c:v>
                </c:pt>
                <c:pt idx="5">
                  <c:v>2181</c:v>
                </c:pt>
                <c:pt idx="6">
                  <c:v>2847</c:v>
                </c:pt>
                <c:pt idx="7">
                  <c:v>3695</c:v>
                </c:pt>
                <c:pt idx="8">
                  <c:v>4256</c:v>
                </c:pt>
                <c:pt idx="9">
                  <c:v>4144</c:v>
                </c:pt>
                <c:pt idx="10">
                  <c:v>3915</c:v>
                </c:pt>
                <c:pt idx="11">
                  <c:v>3577</c:v>
                </c:pt>
                <c:pt idx="12">
                  <c:v>3161</c:v>
                </c:pt>
                <c:pt idx="13">
                  <c:v>3092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24-4E3C-A532-AFD6B2E00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2951552"/>
        <c:axId val="1672953600"/>
      </c:barChart>
      <c:catAx>
        <c:axId val="167295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953600"/>
        <c:crosses val="autoZero"/>
        <c:auto val="1"/>
        <c:lblAlgn val="ctr"/>
        <c:lblOffset val="100"/>
        <c:noMultiLvlLbl val="0"/>
      </c:catAx>
      <c:valAx>
        <c:axId val="167295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95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644526</xdr:colOff>
      <xdr:row>7</xdr:row>
      <xdr:rowOff>1587</xdr:rowOff>
    </xdr:from>
    <xdr:to>
      <xdr:col>21</xdr:col>
      <xdr:colOff>415925</xdr:colOff>
      <xdr:row>21</xdr:row>
      <xdr:rowOff>77787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500942</xdr:colOff>
      <xdr:row>28</xdr:row>
      <xdr:rowOff>85372</xdr:rowOff>
    </xdr:from>
    <xdr:to>
      <xdr:col>24</xdr:col>
      <xdr:colOff>141109</xdr:colOff>
      <xdr:row>46</xdr:row>
      <xdr:rowOff>176389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ILAISAANEM/Desktop/Desktop/Petroleum/Petroleum%20Pricing/Petroleum%20Pricing/Petroleum%20Price%20Trend/Tonga%20price%20trend.xls" TargetMode="External"/><Relationship Id="rId1" Type="http://schemas.openxmlformats.org/officeDocument/2006/relationships/externalLinkPath" Target="/Users/ILAISAANEM/Desktop/Desktop/Petroleum/Petroleum%20Pricing/Petroleum%20Pricing/Petroleum%20Price%20Trend/Tonga%20price%20tren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iesel"/>
      <sheetName val="Exchange rate"/>
      <sheetName val="Data"/>
      <sheetName val="Sheet2"/>
      <sheetName val="Platts"/>
      <sheetName val="Template Information Petrol"/>
      <sheetName val="Temp Info Diesel"/>
      <sheetName val="Price Comp"/>
      <sheetName val="Petrol Chart"/>
      <sheetName val="Diesel Chart"/>
      <sheetName val="Chart3"/>
      <sheetName val="Chart2"/>
      <sheetName val="Annual Review Chart"/>
      <sheetName val="Chart1"/>
      <sheetName val="Sheet1"/>
    </sheetNames>
    <sheetDataSet>
      <sheetData sheetId="0" refreshError="1"/>
      <sheetData sheetId="1" refreshError="1"/>
      <sheetData sheetId="2">
        <row r="10">
          <cell r="B10">
            <v>39814</v>
          </cell>
          <cell r="AF10">
            <v>209.71981379782898</v>
          </cell>
          <cell r="AG10">
            <v>194.03297498704819</v>
          </cell>
          <cell r="AH10">
            <v>247.17956857182185</v>
          </cell>
        </row>
        <row r="11">
          <cell r="B11">
            <v>39845</v>
          </cell>
          <cell r="AF11">
            <v>189.29181556151042</v>
          </cell>
          <cell r="AG11">
            <v>159.04025285755063</v>
          </cell>
          <cell r="AH11">
            <v>222.27123502167208</v>
          </cell>
        </row>
        <row r="12">
          <cell r="B12">
            <v>39873</v>
          </cell>
          <cell r="AF12">
            <v>206.82547428622934</v>
          </cell>
          <cell r="AG12">
            <v>159.39861419249112</v>
          </cell>
          <cell r="AH12">
            <v>221.02329835835013</v>
          </cell>
        </row>
        <row r="13">
          <cell r="B13">
            <v>39904</v>
          </cell>
          <cell r="AF13">
            <v>223.27449443970181</v>
          </cell>
          <cell r="AG13">
            <v>149.23097368179131</v>
          </cell>
          <cell r="AH13">
            <v>206.88058879384124</v>
          </cell>
        </row>
        <row r="14">
          <cell r="B14">
            <v>39934</v>
          </cell>
          <cell r="AF14">
            <v>215.91683304693709</v>
          </cell>
          <cell r="AG14">
            <v>147.37302010288784</v>
          </cell>
          <cell r="AH14">
            <v>209.92852919852677</v>
          </cell>
        </row>
        <row r="15">
          <cell r="B15">
            <v>39965</v>
          </cell>
          <cell r="AF15">
            <v>220.37615871992978</v>
          </cell>
          <cell r="AG15">
            <v>153.09921707744599</v>
          </cell>
          <cell r="AH15">
            <v>216.01536991454086</v>
          </cell>
        </row>
        <row r="16">
          <cell r="B16">
            <v>39995</v>
          </cell>
          <cell r="AF16">
            <v>230.55280964407001</v>
          </cell>
          <cell r="AG16">
            <v>159.23279577147531</v>
          </cell>
          <cell r="AH16">
            <v>223.98735529222253</v>
          </cell>
        </row>
        <row r="17">
          <cell r="B17">
            <v>40026</v>
          </cell>
          <cell r="AF17">
            <v>244.86425592446957</v>
          </cell>
          <cell r="AG17">
            <v>178.89685812581919</v>
          </cell>
          <cell r="AH17">
            <v>243.00207178081018</v>
          </cell>
        </row>
        <row r="18">
          <cell r="B18">
            <v>40057</v>
          </cell>
          <cell r="AF18">
            <v>243.30152092446957</v>
          </cell>
          <cell r="AG18">
            <v>173.61801312581923</v>
          </cell>
          <cell r="AH18">
            <v>238.30156178081018</v>
          </cell>
        </row>
        <row r="19">
          <cell r="B19">
            <v>40087</v>
          </cell>
          <cell r="AF19">
            <v>230.36960296526485</v>
          </cell>
          <cell r="AG19">
            <v>164.40031100005143</v>
          </cell>
          <cell r="AH19">
            <v>228.64226846186787</v>
          </cell>
        </row>
        <row r="20">
          <cell r="B20">
            <v>40118</v>
          </cell>
          <cell r="AF20">
            <v>230.80767258701241</v>
          </cell>
          <cell r="AG20">
            <v>170.1084321741709</v>
          </cell>
          <cell r="AH20">
            <v>233.56162470774069</v>
          </cell>
        </row>
        <row r="21">
          <cell r="B21">
            <v>40148</v>
          </cell>
          <cell r="AF21">
            <v>236.52266678801138</v>
          </cell>
          <cell r="AG21">
            <v>177.43446763760375</v>
          </cell>
          <cell r="AH21">
            <v>240.07911328113573</v>
          </cell>
        </row>
        <row r="22">
          <cell r="B22">
            <v>40179</v>
          </cell>
          <cell r="AF22">
            <v>237.56032999999999</v>
          </cell>
          <cell r="AG22">
            <v>177.35196499999998</v>
          </cell>
          <cell r="AH22">
            <v>238.44629</v>
          </cell>
        </row>
        <row r="23">
          <cell r="B23">
            <v>40210</v>
          </cell>
          <cell r="AF23">
            <v>245.33529248478138</v>
          </cell>
          <cell r="AG23">
            <v>179.86475891400718</v>
          </cell>
          <cell r="AH23">
            <v>241.42867465052507</v>
          </cell>
        </row>
        <row r="24">
          <cell r="B24">
            <v>40238</v>
          </cell>
          <cell r="AF24">
            <v>245.50645207189771</v>
          </cell>
          <cell r="AG24">
            <v>176.22786649157646</v>
          </cell>
          <cell r="AH24">
            <v>240.45271340345698</v>
          </cell>
        </row>
        <row r="25">
          <cell r="B25">
            <v>40269</v>
          </cell>
          <cell r="AF25">
            <v>252.22149948666967</v>
          </cell>
          <cell r="AG25">
            <v>183.95105664252213</v>
          </cell>
          <cell r="AH25">
            <v>248.36905609582232</v>
          </cell>
        </row>
        <row r="26">
          <cell r="B26">
            <v>40299</v>
          </cell>
          <cell r="AF26">
            <v>260.61285279142783</v>
          </cell>
          <cell r="AG26">
            <v>199.17494104017592</v>
          </cell>
          <cell r="AH26">
            <v>262.10702225087294</v>
          </cell>
        </row>
        <row r="27">
          <cell r="B27">
            <v>40330</v>
          </cell>
          <cell r="AF27">
            <v>251.04004939557083</v>
          </cell>
          <cell r="AG27">
            <v>192.6494335062273</v>
          </cell>
          <cell r="AH27">
            <v>255.8862073507085</v>
          </cell>
        </row>
        <row r="28">
          <cell r="B28">
            <v>40360</v>
          </cell>
          <cell r="AF28">
            <v>245.8940907585575</v>
          </cell>
          <cell r="AG28">
            <v>187.08793279360077</v>
          </cell>
          <cell r="AH28">
            <v>249.48913745583516</v>
          </cell>
        </row>
        <row r="29">
          <cell r="B29">
            <v>40391</v>
          </cell>
          <cell r="AF29">
            <v>242.46886424911531</v>
          </cell>
          <cell r="AG29">
            <v>183.35835547640016</v>
          </cell>
          <cell r="AH29">
            <v>246.48799407751221</v>
          </cell>
        </row>
        <row r="30">
          <cell r="B30">
            <v>40422</v>
          </cell>
          <cell r="AF30">
            <v>245.3790008281768</v>
          </cell>
          <cell r="AG30">
            <v>188.59989955385527</v>
          </cell>
          <cell r="AH30">
            <v>252.39560038410448</v>
          </cell>
        </row>
        <row r="31">
          <cell r="B31">
            <v>40452</v>
          </cell>
          <cell r="AF31">
            <v>241.52472575116445</v>
          </cell>
          <cell r="AG31">
            <v>186.03869765222487</v>
          </cell>
          <cell r="AH31">
            <v>248.82563017842489</v>
          </cell>
        </row>
        <row r="32">
          <cell r="B32">
            <v>40483</v>
          </cell>
          <cell r="AF32">
            <v>248.42706469468467</v>
          </cell>
          <cell r="AG32">
            <v>191.95380293257605</v>
          </cell>
          <cell r="AH32">
            <v>253.34942668935196</v>
          </cell>
        </row>
        <row r="33">
          <cell r="B33">
            <v>40513</v>
          </cell>
          <cell r="AF33">
            <v>250.36820469004172</v>
          </cell>
          <cell r="AG33">
            <v>194.01094122934208</v>
          </cell>
          <cell r="AH33">
            <v>255.43828584543184</v>
          </cell>
        </row>
        <row r="34">
          <cell r="B34">
            <v>40544</v>
          </cell>
          <cell r="AF34">
            <v>264.90550655106131</v>
          </cell>
          <cell r="AG34">
            <v>204.32761346236822</v>
          </cell>
          <cell r="AH34">
            <v>266.08835458303651</v>
          </cell>
        </row>
        <row r="35">
          <cell r="B35">
            <v>40575</v>
          </cell>
          <cell r="AF35">
            <v>269.98867957623537</v>
          </cell>
          <cell r="AG35">
            <v>212.29995067115175</v>
          </cell>
          <cell r="AH35">
            <v>272.96863226463819</v>
          </cell>
        </row>
        <row r="36">
          <cell r="B36">
            <v>40603</v>
          </cell>
          <cell r="AF36">
            <v>277.35700000000003</v>
          </cell>
          <cell r="AG36">
            <v>226.72749999999996</v>
          </cell>
          <cell r="AH36">
            <v>285.93599999999998</v>
          </cell>
        </row>
        <row r="37">
          <cell r="B37">
            <v>40634</v>
          </cell>
          <cell r="AF37">
            <v>292.41050000000001</v>
          </cell>
          <cell r="AG37">
            <v>245.392</v>
          </cell>
          <cell r="AH37">
            <v>306.31400000000002</v>
          </cell>
        </row>
        <row r="38">
          <cell r="B38">
            <v>40664</v>
          </cell>
          <cell r="AF38">
            <v>300.87450000000001</v>
          </cell>
          <cell r="AG38">
            <v>250.429</v>
          </cell>
          <cell r="AH38">
            <v>312.58150000000001</v>
          </cell>
        </row>
        <row r="39">
          <cell r="B39">
            <v>40695</v>
          </cell>
          <cell r="AF39">
            <v>289.36276387827121</v>
          </cell>
          <cell r="AG39">
            <v>232.26994608122786</v>
          </cell>
          <cell r="AH39">
            <v>293.78036431845453</v>
          </cell>
        </row>
        <row r="40">
          <cell r="B40">
            <v>40725</v>
          </cell>
          <cell r="AF40">
            <v>278.48115857201714</v>
          </cell>
          <cell r="AG40">
            <v>225.29310527834662</v>
          </cell>
          <cell r="AH40">
            <v>287.1036361295354</v>
          </cell>
        </row>
        <row r="41">
          <cell r="B41">
            <v>40756</v>
          </cell>
          <cell r="AF41">
            <v>278.1023819972155</v>
          </cell>
          <cell r="AG41">
            <v>222.29529953543832</v>
          </cell>
          <cell r="AH41">
            <v>284.09525389533758</v>
          </cell>
        </row>
        <row r="42">
          <cell r="B42">
            <v>40787</v>
          </cell>
          <cell r="AF42">
            <v>272.06616260724098</v>
          </cell>
          <cell r="AG42">
            <v>215.05168346350698</v>
          </cell>
          <cell r="AH42">
            <v>275.46930624781567</v>
          </cell>
        </row>
        <row r="43">
          <cell r="B43">
            <v>40817</v>
          </cell>
          <cell r="AF43">
            <v>279.02861822303487</v>
          </cell>
          <cell r="AG43">
            <v>217.38150746006124</v>
          </cell>
          <cell r="AH43">
            <v>279.12997149158241</v>
          </cell>
        </row>
        <row r="44">
          <cell r="B44">
            <v>40848</v>
          </cell>
          <cell r="AF44">
            <v>280.82965028489633</v>
          </cell>
          <cell r="AG44">
            <v>221.50442033870823</v>
          </cell>
          <cell r="AH44">
            <v>281.77281467910638</v>
          </cell>
        </row>
        <row r="45">
          <cell r="B45">
            <v>40878</v>
          </cell>
          <cell r="AF45">
            <v>270.59178963317714</v>
          </cell>
          <cell r="AG45">
            <v>229.37783703174395</v>
          </cell>
          <cell r="AH45">
            <v>292.13548158098541</v>
          </cell>
        </row>
        <row r="46">
          <cell r="B46">
            <v>40909</v>
          </cell>
          <cell r="AF46">
            <v>271.91428592868698</v>
          </cell>
          <cell r="AG46">
            <v>223.4886579277383</v>
          </cell>
          <cell r="AH46">
            <v>287.20275826536732</v>
          </cell>
        </row>
        <row r="47">
          <cell r="B47">
            <v>40940</v>
          </cell>
          <cell r="AF47">
            <v>281.14152570797984</v>
          </cell>
          <cell r="AG47">
            <v>225.66989128813475</v>
          </cell>
          <cell r="AH47">
            <v>290.63659490482803</v>
          </cell>
        </row>
        <row r="48">
          <cell r="B48">
            <v>40969</v>
          </cell>
          <cell r="AF48">
            <v>287.81049999999999</v>
          </cell>
          <cell r="AG48">
            <v>229.66</v>
          </cell>
          <cell r="AH48">
            <v>293.089</v>
          </cell>
        </row>
        <row r="49">
          <cell r="B49">
            <v>41000</v>
          </cell>
          <cell r="AF49">
            <v>298.517</v>
          </cell>
          <cell r="AG49">
            <v>237.595</v>
          </cell>
          <cell r="AH49">
            <v>300.334</v>
          </cell>
        </row>
        <row r="50">
          <cell r="B50">
            <v>41030</v>
          </cell>
          <cell r="AF50">
            <v>296.37799999999999</v>
          </cell>
          <cell r="AG50">
            <v>235.59399999999999</v>
          </cell>
          <cell r="AH50">
            <v>297.91899999999998</v>
          </cell>
        </row>
        <row r="51">
          <cell r="B51">
            <v>41061</v>
          </cell>
          <cell r="AF51">
            <v>283.93694554752233</v>
          </cell>
          <cell r="AG51">
            <v>227.17970148228002</v>
          </cell>
          <cell r="AH51">
            <v>289.00681317248507</v>
          </cell>
        </row>
        <row r="52">
          <cell r="B52">
            <v>41091</v>
          </cell>
          <cell r="AF52">
            <v>260.613</v>
          </cell>
          <cell r="AG52">
            <v>208.79899999999998</v>
          </cell>
          <cell r="AH52">
            <v>270.79050000000001</v>
          </cell>
        </row>
        <row r="53">
          <cell r="B53">
            <v>41122</v>
          </cell>
          <cell r="AF53">
            <v>270.79050000000001</v>
          </cell>
          <cell r="AG53">
            <v>216.619</v>
          </cell>
          <cell r="AH53">
            <v>278.69100000000003</v>
          </cell>
        </row>
        <row r="54">
          <cell r="B54">
            <v>41153</v>
          </cell>
          <cell r="AF54">
            <v>287.52300000000002</v>
          </cell>
          <cell r="AG54">
            <v>231.71849999999998</v>
          </cell>
          <cell r="AH54">
            <v>294.22750000000002</v>
          </cell>
        </row>
        <row r="55">
          <cell r="B55">
            <v>41183</v>
          </cell>
          <cell r="AF55">
            <v>285.66000000000003</v>
          </cell>
          <cell r="AG55">
            <v>236.1</v>
          </cell>
          <cell r="AH55">
            <v>296.19400000000002</v>
          </cell>
        </row>
        <row r="56">
          <cell r="B56">
            <v>41214</v>
          </cell>
          <cell r="AF56">
            <v>284.64800000000002</v>
          </cell>
          <cell r="AG56">
            <v>235.042</v>
          </cell>
          <cell r="AH56">
            <v>294.28500000000003</v>
          </cell>
        </row>
        <row r="57">
          <cell r="B57">
            <v>41244</v>
          </cell>
          <cell r="AF57">
            <v>280.09399999999999</v>
          </cell>
          <cell r="AG57">
            <v>229.01599999999999</v>
          </cell>
          <cell r="AH57">
            <v>289.92650000000003</v>
          </cell>
        </row>
        <row r="58">
          <cell r="B58">
            <v>41275</v>
          </cell>
          <cell r="AF58">
            <v>279.08199999999999</v>
          </cell>
          <cell r="AG58">
            <v>228.13049999999998</v>
          </cell>
          <cell r="AH58">
            <v>288.96050000000002</v>
          </cell>
        </row>
        <row r="59">
          <cell r="B59">
            <v>41306</v>
          </cell>
          <cell r="AF59">
            <v>284.5675</v>
          </cell>
          <cell r="AG59">
            <v>232.62699999999998</v>
          </cell>
          <cell r="AH59">
            <v>293.84800000000001</v>
          </cell>
        </row>
        <row r="60">
          <cell r="B60">
            <v>41334</v>
          </cell>
          <cell r="AF60">
            <v>297.62</v>
          </cell>
          <cell r="AG60">
            <v>237.62950000000001</v>
          </cell>
          <cell r="AH60">
            <v>298.54000000000002</v>
          </cell>
        </row>
        <row r="61">
          <cell r="B61">
            <v>41365</v>
          </cell>
          <cell r="AF61">
            <v>287.63800000000003</v>
          </cell>
          <cell r="AG61">
            <v>226.6815</v>
          </cell>
          <cell r="AH61">
            <v>289.22500000000002</v>
          </cell>
        </row>
        <row r="62">
          <cell r="B62">
            <v>41395</v>
          </cell>
          <cell r="AF62">
            <v>272.26249999999999</v>
          </cell>
          <cell r="AG62">
            <v>214.75599999999997</v>
          </cell>
          <cell r="AH62">
            <v>277.82850000000002</v>
          </cell>
        </row>
        <row r="63">
          <cell r="B63">
            <v>41426</v>
          </cell>
          <cell r="AF63">
            <v>275.45949999999999</v>
          </cell>
          <cell r="AG63">
            <v>216.38900000000001</v>
          </cell>
          <cell r="AH63">
            <v>280.4735</v>
          </cell>
        </row>
        <row r="64">
          <cell r="B64">
            <v>41456</v>
          </cell>
          <cell r="AF64">
            <v>285.06200000000001</v>
          </cell>
          <cell r="AG64">
            <v>222.82899999999998</v>
          </cell>
          <cell r="AH64">
            <v>288.59249999999997</v>
          </cell>
        </row>
        <row r="65">
          <cell r="B65">
            <v>41487</v>
          </cell>
          <cell r="AF65">
            <v>290.68549999999999</v>
          </cell>
          <cell r="AG65">
            <v>230.94800000000001</v>
          </cell>
          <cell r="AH65">
            <v>294.06650000000002</v>
          </cell>
        </row>
        <row r="66">
          <cell r="B66">
            <v>41518</v>
          </cell>
          <cell r="AF66">
            <v>285.89</v>
          </cell>
          <cell r="AG66">
            <v>237.07749999999999</v>
          </cell>
          <cell r="AH66">
            <v>296.608</v>
          </cell>
        </row>
        <row r="67">
          <cell r="B67">
            <v>41548</v>
          </cell>
          <cell r="AF67">
            <v>283.72800000000001</v>
          </cell>
          <cell r="AG67">
            <v>234.17949999999999</v>
          </cell>
          <cell r="AH67">
            <v>294.1585</v>
          </cell>
        </row>
        <row r="68">
          <cell r="B68">
            <v>41579</v>
          </cell>
          <cell r="AF68">
            <v>277.173</v>
          </cell>
          <cell r="AG68">
            <v>230.0855</v>
          </cell>
          <cell r="AH68">
            <v>291.58250000000004</v>
          </cell>
        </row>
        <row r="69">
          <cell r="B69">
            <v>41609</v>
          </cell>
          <cell r="AF69">
            <v>279.53050000000002</v>
          </cell>
          <cell r="AG69">
            <v>231.48849999999999</v>
          </cell>
          <cell r="AH69">
            <v>292.85899999999998</v>
          </cell>
        </row>
        <row r="70">
          <cell r="B70">
            <v>41640</v>
          </cell>
          <cell r="AF70">
            <v>288.15550000000002</v>
          </cell>
          <cell r="AG70">
            <v>240.41249999999999</v>
          </cell>
          <cell r="AH70">
            <v>300.23050000000001</v>
          </cell>
        </row>
        <row r="71">
          <cell r="B71">
            <v>41671</v>
          </cell>
          <cell r="AF71">
            <v>286.95949999999999</v>
          </cell>
          <cell r="AG71">
            <v>233.685</v>
          </cell>
          <cell r="AH71">
            <v>294.04349999999999</v>
          </cell>
        </row>
        <row r="72">
          <cell r="B72">
            <v>41699</v>
          </cell>
          <cell r="AF72">
            <v>289.75400000000002</v>
          </cell>
          <cell r="AG72">
            <v>235.29499999999999</v>
          </cell>
          <cell r="AH72">
            <v>296.72300000000001</v>
          </cell>
        </row>
        <row r="73">
          <cell r="B73">
            <v>41730</v>
          </cell>
          <cell r="AF73">
            <v>288.04050000000001</v>
          </cell>
          <cell r="AG73">
            <v>229.798</v>
          </cell>
          <cell r="AH73">
            <v>292.61750000000001</v>
          </cell>
        </row>
        <row r="74">
          <cell r="B74">
            <v>41760</v>
          </cell>
          <cell r="AF74">
            <v>287.93700000000001</v>
          </cell>
          <cell r="AG74">
            <v>228.84349999999998</v>
          </cell>
          <cell r="AH74">
            <v>292.64049999999997</v>
          </cell>
        </row>
        <row r="75">
          <cell r="B75">
            <v>41791</v>
          </cell>
          <cell r="AF75">
            <v>288.54649999999998</v>
          </cell>
          <cell r="AG75">
            <v>228.0385</v>
          </cell>
          <cell r="AH75">
            <v>292.04249999999996</v>
          </cell>
        </row>
        <row r="76">
          <cell r="B76">
            <v>41821</v>
          </cell>
          <cell r="AF76">
            <v>291.98500000000001</v>
          </cell>
          <cell r="AG76">
            <v>229.1885</v>
          </cell>
          <cell r="AH76">
            <v>290.42099999999999</v>
          </cell>
        </row>
        <row r="77">
          <cell r="B77">
            <v>41852</v>
          </cell>
          <cell r="AF77">
            <v>285.98200000000003</v>
          </cell>
          <cell r="AG77">
            <v>228.2225</v>
          </cell>
          <cell r="AH77">
            <v>283.47500000000002</v>
          </cell>
        </row>
        <row r="78">
          <cell r="B78">
            <v>41883</v>
          </cell>
          <cell r="AF78">
            <v>274.36700000000002</v>
          </cell>
          <cell r="AG78">
            <v>228.23399999999998</v>
          </cell>
          <cell r="AH78">
            <v>283.46350000000001</v>
          </cell>
        </row>
        <row r="79">
          <cell r="B79">
            <v>41913</v>
          </cell>
          <cell r="AF79">
            <v>277.55250000000001</v>
          </cell>
          <cell r="AG79">
            <v>226.3135</v>
          </cell>
          <cell r="AH79">
            <v>280.91050000000001</v>
          </cell>
        </row>
        <row r="80">
          <cell r="B80">
            <v>41944</v>
          </cell>
          <cell r="AF80">
            <v>266.69649999999996</v>
          </cell>
          <cell r="AG80">
            <v>214.03149999999999</v>
          </cell>
          <cell r="AH80">
            <v>268.09949999999998</v>
          </cell>
        </row>
        <row r="81">
          <cell r="B81">
            <v>41974</v>
          </cell>
          <cell r="AF81">
            <v>253.20699999999999</v>
          </cell>
          <cell r="AG81">
            <v>207.68349999999998</v>
          </cell>
          <cell r="AH81">
            <v>260.31400000000002</v>
          </cell>
        </row>
        <row r="82">
          <cell r="B82">
            <v>42005</v>
          </cell>
          <cell r="AF82">
            <v>226.32586499999999</v>
          </cell>
          <cell r="AG82">
            <v>180.15750499999999</v>
          </cell>
          <cell r="AH82">
            <v>236.46518499999996</v>
          </cell>
        </row>
        <row r="83">
          <cell r="B83">
            <v>42036</v>
          </cell>
          <cell r="AF83">
            <v>203.40165000000002</v>
          </cell>
          <cell r="AG83">
            <v>156.59343000000001</v>
          </cell>
          <cell r="AH83">
            <v>214.27926999999997</v>
          </cell>
        </row>
        <row r="84">
          <cell r="B84">
            <v>42064</v>
          </cell>
          <cell r="AF84">
            <v>225.20611</v>
          </cell>
          <cell r="AG84">
            <v>174.48490000000001</v>
          </cell>
          <cell r="AH84">
            <v>229.78357000000003</v>
          </cell>
        </row>
        <row r="85">
          <cell r="B85">
            <v>42095</v>
          </cell>
          <cell r="AF85">
            <v>231.80158500430724</v>
          </cell>
          <cell r="AG85">
            <v>169.9906433921339</v>
          </cell>
          <cell r="AH85">
            <v>230.38908782648514</v>
          </cell>
        </row>
        <row r="86">
          <cell r="B86">
            <v>42125</v>
          </cell>
          <cell r="AF86">
            <v>235.53000499999999</v>
          </cell>
          <cell r="AG86">
            <v>172.74989499999998</v>
          </cell>
          <cell r="AH86">
            <v>232.281485</v>
          </cell>
        </row>
        <row r="87">
          <cell r="B87">
            <v>42156</v>
          </cell>
          <cell r="AF87">
            <v>250.08253080885007</v>
          </cell>
          <cell r="AG87">
            <v>184.06449007049929</v>
          </cell>
          <cell r="AH87">
            <v>243.21391212564677</v>
          </cell>
        </row>
        <row r="88">
          <cell r="B88">
            <v>42186</v>
          </cell>
          <cell r="AF88">
            <v>262.18849999999998</v>
          </cell>
          <cell r="AG88">
            <v>178.07796000000002</v>
          </cell>
          <cell r="AH88">
            <v>248.50349999999997</v>
          </cell>
        </row>
        <row r="89">
          <cell r="B89">
            <v>42217</v>
          </cell>
          <cell r="AF89">
            <v>253.29051027994396</v>
          </cell>
          <cell r="AG89">
            <v>167.6666659606588</v>
          </cell>
          <cell r="AH89">
            <v>236.748259721371</v>
          </cell>
        </row>
        <row r="90">
          <cell r="B90">
            <v>42248</v>
          </cell>
          <cell r="AF90">
            <v>237.78288840663811</v>
          </cell>
          <cell r="AG90">
            <v>154.77714522400046</v>
          </cell>
          <cell r="AH90">
            <v>225.32627728178127</v>
          </cell>
        </row>
        <row r="91">
          <cell r="B91">
            <v>42278</v>
          </cell>
          <cell r="AF91">
            <v>237.90486999999999</v>
          </cell>
          <cell r="AG91">
            <v>162.96742</v>
          </cell>
          <cell r="AH91">
            <v>231.61701499999998</v>
          </cell>
        </row>
        <row r="92">
          <cell r="B92">
            <v>42309</v>
          </cell>
          <cell r="AF92">
            <v>232.9694196355556</v>
          </cell>
          <cell r="AG92">
            <v>160.55822412986987</v>
          </cell>
          <cell r="AH92">
            <v>227.79028203991078</v>
          </cell>
        </row>
        <row r="93">
          <cell r="B93">
            <v>42339</v>
          </cell>
          <cell r="AF93">
            <v>227.01032560207946</v>
          </cell>
          <cell r="AG93">
            <v>158.30990933036605</v>
          </cell>
          <cell r="AH93">
            <v>226.10494495688059</v>
          </cell>
        </row>
        <row r="94">
          <cell r="B94">
            <v>42370</v>
          </cell>
          <cell r="AF94">
            <v>218.83008053949234</v>
          </cell>
          <cell r="AG94">
            <v>138.23072760968594</v>
          </cell>
          <cell r="AH94">
            <v>205.0889774662644</v>
          </cell>
        </row>
        <row r="95">
          <cell r="B95">
            <v>42401</v>
          </cell>
          <cell r="AF95">
            <v>209.31908169653698</v>
          </cell>
          <cell r="AG95">
            <v>120.19062570945945</v>
          </cell>
          <cell r="AH95">
            <v>185.9436230906993</v>
          </cell>
        </row>
        <row r="96">
          <cell r="B96">
            <v>42430</v>
          </cell>
          <cell r="AF96">
            <v>198.49152331359159</v>
          </cell>
          <cell r="AG96">
            <v>125.81292031091746</v>
          </cell>
          <cell r="AH96">
            <v>189.81231707345586</v>
          </cell>
        </row>
        <row r="97">
          <cell r="B97">
            <v>42461</v>
          </cell>
          <cell r="AF97">
            <v>212.86919194640174</v>
          </cell>
          <cell r="AG97">
            <v>137.53981830317161</v>
          </cell>
          <cell r="AH97">
            <v>202.32700654753452</v>
          </cell>
        </row>
        <row r="98">
          <cell r="B98">
            <v>42491</v>
          </cell>
          <cell r="AF98">
            <v>214.87400123609822</v>
          </cell>
          <cell r="AG98">
            <v>140.43242495877834</v>
          </cell>
          <cell r="AH98">
            <v>205.67226484635549</v>
          </cell>
        </row>
        <row r="99">
          <cell r="B99">
            <v>42522</v>
          </cell>
          <cell r="AF99">
            <v>225.11869547312435</v>
          </cell>
          <cell r="AG99">
            <v>153.06567061508085</v>
          </cell>
          <cell r="AH99">
            <v>219.92138549508493</v>
          </cell>
        </row>
        <row r="100">
          <cell r="B100">
            <v>42558</v>
          </cell>
          <cell r="AF100">
            <v>235.79611912133561</v>
          </cell>
          <cell r="AG100">
            <v>152.42832051554572</v>
          </cell>
          <cell r="AH100">
            <v>230.67494667927448</v>
          </cell>
        </row>
        <row r="101">
          <cell r="B101">
            <v>42552</v>
          </cell>
          <cell r="AF101">
            <v>235.59001127212809</v>
          </cell>
          <cell r="AG101">
            <v>157.33701837129286</v>
          </cell>
          <cell r="AH101">
            <v>235.58823721944447</v>
          </cell>
        </row>
        <row r="102">
          <cell r="B102">
            <v>42583</v>
          </cell>
          <cell r="AF102">
            <v>223.642558757031</v>
          </cell>
          <cell r="AG102">
            <v>150.55167499999999</v>
          </cell>
          <cell r="AH102">
            <v>228.14502239159373</v>
          </cell>
        </row>
        <row r="103">
          <cell r="B103">
            <v>42614</v>
          </cell>
          <cell r="AF103">
            <v>227.06698283344642</v>
          </cell>
          <cell r="AG103">
            <v>148.59359052317382</v>
          </cell>
          <cell r="AH103">
            <v>226.34482711178561</v>
          </cell>
        </row>
        <row r="104">
          <cell r="B104">
            <v>42644</v>
          </cell>
          <cell r="AF104">
            <v>233.31281198394583</v>
          </cell>
          <cell r="AG104">
            <v>150.43176132623358</v>
          </cell>
          <cell r="AH104">
            <v>227.75509965650616</v>
          </cell>
        </row>
        <row r="105">
          <cell r="B105">
            <v>42675</v>
          </cell>
          <cell r="AF105">
            <v>242.67033924331471</v>
          </cell>
          <cell r="AG105">
            <v>162.07210073587447</v>
          </cell>
          <cell r="AH105">
            <v>240.5687136364522</v>
          </cell>
        </row>
        <row r="106">
          <cell r="B106">
            <v>42705</v>
          </cell>
          <cell r="AF106">
            <v>236.72848263799693</v>
          </cell>
          <cell r="AG106">
            <v>154.11186122296365</v>
          </cell>
          <cell r="AH106">
            <v>233.15510723560968</v>
          </cell>
        </row>
        <row r="107">
          <cell r="B107">
            <v>42736</v>
          </cell>
          <cell r="AF107">
            <v>252.7055753336364</v>
          </cell>
          <cell r="AG107">
            <v>170.696865535569</v>
          </cell>
          <cell r="AH107">
            <v>246.41499147462613</v>
          </cell>
        </row>
        <row r="108">
          <cell r="B108">
            <v>42767</v>
          </cell>
          <cell r="AF108">
            <v>257.13242900558424</v>
          </cell>
          <cell r="AG108">
            <v>173.40052688542875</v>
          </cell>
          <cell r="AH108">
            <v>250.51355866899988</v>
          </cell>
        </row>
        <row r="109">
          <cell r="B109">
            <v>42795</v>
          </cell>
          <cell r="AF109">
            <v>256.25707375922082</v>
          </cell>
          <cell r="AG109">
            <v>173.2594715003676</v>
          </cell>
          <cell r="AH109">
            <v>251.05141760962383</v>
          </cell>
        </row>
        <row r="110">
          <cell r="B110">
            <v>42826</v>
          </cell>
          <cell r="AF110">
            <v>248.66871949852649</v>
          </cell>
          <cell r="AG110">
            <v>167.02540751604323</v>
          </cell>
          <cell r="AH110">
            <v>246.45767243397407</v>
          </cell>
        </row>
        <row r="111">
          <cell r="B111">
            <v>42856</v>
          </cell>
          <cell r="AF111">
            <v>254.27443794077223</v>
          </cell>
          <cell r="AG111">
            <v>171.5702630671349</v>
          </cell>
          <cell r="AH111">
            <v>250.10204595037234</v>
          </cell>
        </row>
        <row r="112">
          <cell r="B112">
            <v>42887</v>
          </cell>
          <cell r="AF112">
            <v>249.52574672039279</v>
          </cell>
          <cell r="AG112">
            <v>166.23255898574649</v>
          </cell>
          <cell r="AH112">
            <v>244.55340423189756</v>
          </cell>
        </row>
        <row r="113">
          <cell r="B113">
            <v>42917</v>
          </cell>
          <cell r="AF113">
            <v>239.57238016686171</v>
          </cell>
          <cell r="AG113">
            <v>156.58357573397979</v>
          </cell>
          <cell r="AH113">
            <v>235.60927876127434</v>
          </cell>
        </row>
        <row r="114">
          <cell r="B114">
            <v>42948</v>
          </cell>
          <cell r="AF114">
            <v>237.6637094075657</v>
          </cell>
          <cell r="AG114">
            <v>153.29233413047723</v>
          </cell>
          <cell r="AH114">
            <v>237.47659196895978</v>
          </cell>
        </row>
        <row r="115">
          <cell r="B115">
            <v>42979</v>
          </cell>
          <cell r="AF115">
            <v>246.87311273170891</v>
          </cell>
          <cell r="AG115">
            <v>158.48427961026374</v>
          </cell>
          <cell r="AH115">
            <v>241.1384444815582</v>
          </cell>
        </row>
        <row r="116">
          <cell r="B116">
            <v>43009</v>
          </cell>
          <cell r="AF116">
            <v>253.13427014702779</v>
          </cell>
          <cell r="AG116">
            <v>168.9540907396316</v>
          </cell>
          <cell r="AH116">
            <v>251.31524661793108</v>
          </cell>
        </row>
        <row r="117">
          <cell r="B117">
            <v>43040</v>
          </cell>
          <cell r="AF117">
            <v>255.07547014702777</v>
          </cell>
          <cell r="AG117">
            <v>171.70794973963157</v>
          </cell>
          <cell r="AH117">
            <v>253.68424661793108</v>
          </cell>
        </row>
        <row r="118">
          <cell r="B118">
            <v>43070</v>
          </cell>
          <cell r="AF118">
            <v>267.85587831691106</v>
          </cell>
          <cell r="AG118">
            <v>185.48337784285519</v>
          </cell>
          <cell r="AH118">
            <v>264.5987807558987</v>
          </cell>
        </row>
        <row r="119">
          <cell r="B119">
            <v>43101</v>
          </cell>
          <cell r="AF119">
            <v>267.85587831691106</v>
          </cell>
          <cell r="AG119">
            <v>185.48337784285519</v>
          </cell>
          <cell r="AH119">
            <v>264.5987807558987</v>
          </cell>
        </row>
        <row r="120">
          <cell r="B120">
            <v>43132</v>
          </cell>
          <cell r="AF120">
            <v>270.26493037264845</v>
          </cell>
          <cell r="AG120">
            <v>193.99111928146385</v>
          </cell>
          <cell r="AH120">
            <v>273.66598573708478</v>
          </cell>
        </row>
        <row r="121">
          <cell r="B121">
            <v>43160</v>
          </cell>
          <cell r="AF121">
            <v>267.39511557331048</v>
          </cell>
          <cell r="AG121">
            <v>197.38360640955119</v>
          </cell>
          <cell r="AH121">
            <v>272.75806297147875</v>
          </cell>
        </row>
        <row r="122">
          <cell r="B122">
            <v>43191</v>
          </cell>
          <cell r="AF122">
            <v>267.30800851182136</v>
          </cell>
          <cell r="AG122">
            <v>191.70000255840455</v>
          </cell>
          <cell r="AH122">
            <v>269.78160867276785</v>
          </cell>
        </row>
        <row r="123">
          <cell r="B123">
            <v>43221</v>
          </cell>
          <cell r="AF123">
            <v>275.5026677524325</v>
          </cell>
          <cell r="AG123">
            <v>203.74002679637817</v>
          </cell>
          <cell r="AH123">
            <v>281.08177827024883</v>
          </cell>
        </row>
        <row r="124">
          <cell r="B124">
            <v>43252</v>
          </cell>
          <cell r="AF124">
            <v>290.43492429065918</v>
          </cell>
          <cell r="AG124">
            <v>215.22396958740831</v>
          </cell>
          <cell r="AH124">
            <v>294.2744528649834</v>
          </cell>
        </row>
        <row r="125">
          <cell r="B125">
            <v>43282</v>
          </cell>
          <cell r="AF125">
            <v>283.62639370308301</v>
          </cell>
          <cell r="AG125">
            <v>209.73563856781217</v>
          </cell>
          <cell r="AH125">
            <v>289.40887601843167</v>
          </cell>
        </row>
        <row r="126">
          <cell r="B126">
            <v>43313</v>
          </cell>
          <cell r="AF126">
            <v>284.98125084954233</v>
          </cell>
          <cell r="AG126">
            <v>212.59412377960319</v>
          </cell>
          <cell r="AH126">
            <v>289.19726193452436</v>
          </cell>
        </row>
        <row r="127">
          <cell r="B127">
            <v>43344</v>
          </cell>
          <cell r="AF127">
            <v>284.81874727143781</v>
          </cell>
          <cell r="AG127">
            <v>210.63381787998918</v>
          </cell>
          <cell r="AH127">
            <v>292.24689712943444</v>
          </cell>
        </row>
        <row r="128">
          <cell r="B128">
            <v>43374</v>
          </cell>
          <cell r="AF128">
            <v>294.27435050450862</v>
          </cell>
          <cell r="AG128">
            <v>218.93126316503447</v>
          </cell>
          <cell r="AH128">
            <v>301.99977901165437</v>
          </cell>
        </row>
        <row r="129">
          <cell r="B129">
            <v>43405</v>
          </cell>
          <cell r="AF129">
            <v>291.01395151315597</v>
          </cell>
          <cell r="AG129">
            <v>224.92691572572843</v>
          </cell>
          <cell r="AH129">
            <v>307.26893662765372</v>
          </cell>
        </row>
        <row r="130">
          <cell r="B130">
            <v>43435</v>
          </cell>
          <cell r="AF130">
            <v>257.25585569866217</v>
          </cell>
          <cell r="AG130">
            <v>202.15531172666607</v>
          </cell>
          <cell r="AH130">
            <v>280.98541331156616</v>
          </cell>
        </row>
        <row r="131">
          <cell r="B131">
            <v>43466</v>
          </cell>
          <cell r="AF131">
            <v>242.78158450182116</v>
          </cell>
          <cell r="AG131">
            <v>181.91133317406087</v>
          </cell>
          <cell r="AH131">
            <v>260.40845199225726</v>
          </cell>
        </row>
        <row r="132">
          <cell r="B132">
            <v>43497</v>
          </cell>
          <cell r="AF132">
            <v>249.37005309496899</v>
          </cell>
          <cell r="AG132">
            <v>184.49372756251907</v>
          </cell>
          <cell r="AH132">
            <v>264.78859516932238</v>
          </cell>
        </row>
        <row r="133">
          <cell r="B133">
            <v>43525</v>
          </cell>
          <cell r="AF133">
            <v>257.05907019858398</v>
          </cell>
          <cell r="AG133">
            <v>194.17337804118486</v>
          </cell>
          <cell r="AH133">
            <v>277.27116827720442</v>
          </cell>
        </row>
        <row r="134">
          <cell r="B134">
            <v>43556</v>
          </cell>
          <cell r="AF134">
            <v>270.75817915299768</v>
          </cell>
          <cell r="AG134">
            <v>197.43835252949927</v>
          </cell>
          <cell r="AH134">
            <v>280.59902368848606</v>
          </cell>
        </row>
        <row r="135">
          <cell r="B135">
            <v>43586</v>
          </cell>
          <cell r="AF135">
            <v>282.36556474354529</v>
          </cell>
          <cell r="AG135">
            <v>203.02691141130288</v>
          </cell>
          <cell r="AH135">
            <v>285.3107203136156</v>
          </cell>
        </row>
        <row r="136">
          <cell r="B136">
            <v>43617</v>
          </cell>
          <cell r="AF136">
            <v>275.89313915516033</v>
          </cell>
          <cell r="AG136">
            <v>202.38778463739726</v>
          </cell>
          <cell r="AH136">
            <v>285.48885544337242</v>
          </cell>
        </row>
        <row r="137">
          <cell r="B137">
            <v>43647</v>
          </cell>
          <cell r="AF137">
            <v>260.45556111730201</v>
          </cell>
          <cell r="AG137">
            <v>189.54932070630619</v>
          </cell>
          <cell r="AH137">
            <v>272.05943446363312</v>
          </cell>
        </row>
        <row r="138">
          <cell r="B138">
            <v>43678</v>
          </cell>
          <cell r="AF138">
            <v>270.31523466564727</v>
          </cell>
          <cell r="AG138">
            <v>195.72045636624705</v>
          </cell>
          <cell r="AH138">
            <v>277.5747323529759</v>
          </cell>
        </row>
        <row r="139">
          <cell r="B139">
            <v>43709</v>
          </cell>
          <cell r="AF139">
            <v>270.73927470408302</v>
          </cell>
          <cell r="AG139">
            <v>196.92232038479182</v>
          </cell>
          <cell r="AH139">
            <v>279.93354954361678</v>
          </cell>
        </row>
        <row r="140">
          <cell r="B140">
            <v>43739</v>
          </cell>
          <cell r="AF140">
            <v>279.65531789154596</v>
          </cell>
          <cell r="AG140">
            <v>203.40462344530911</v>
          </cell>
          <cell r="AH140">
            <v>285.4933860149568</v>
          </cell>
        </row>
        <row r="141">
          <cell r="B141">
            <v>43770</v>
          </cell>
          <cell r="AF141">
            <v>279.85792653624327</v>
          </cell>
          <cell r="AG141">
            <v>200.79116579301018</v>
          </cell>
          <cell r="AH141">
            <v>285.40809944650152</v>
          </cell>
        </row>
        <row r="142">
          <cell r="B142">
            <v>43800</v>
          </cell>
          <cell r="AF142">
            <v>283.17834009188874</v>
          </cell>
          <cell r="AG142">
            <v>199.2629571316173</v>
          </cell>
          <cell r="AH142">
            <v>282.83590051687986</v>
          </cell>
        </row>
        <row r="143">
          <cell r="B143">
            <v>43831</v>
          </cell>
        </row>
        <row r="144">
          <cell r="B144">
            <v>43862</v>
          </cell>
        </row>
        <row r="145">
          <cell r="B145">
            <v>43891</v>
          </cell>
        </row>
        <row r="146">
          <cell r="B146">
            <v>43922</v>
          </cell>
        </row>
        <row r="147">
          <cell r="B147">
            <v>43952</v>
          </cell>
        </row>
        <row r="148">
          <cell r="B148">
            <v>43983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2"/>
  <sheetViews>
    <sheetView tabSelected="1" topLeftCell="P1" zoomScale="226" zoomScaleNormal="180" workbookViewId="0">
      <pane ySplit="2" topLeftCell="A28" activePane="bottomLeft" state="frozen"/>
      <selection pane="bottomLeft" activeCell="N28" sqref="N28"/>
    </sheetView>
  </sheetViews>
  <sheetFormatPr defaultColWidth="8.85546875" defaultRowHeight="15" x14ac:dyDescent="0.25"/>
  <cols>
    <col min="1" max="1" width="13.85546875" style="1" bestFit="1" customWidth="1"/>
    <col min="2" max="4" width="8.7109375" style="2" bestFit="1" customWidth="1"/>
    <col min="5" max="6" width="12" style="4" bestFit="1" customWidth="1"/>
    <col min="7" max="7" width="8.85546875" style="4"/>
    <col min="8" max="9" width="12.140625" style="2" bestFit="1" customWidth="1"/>
    <col min="10" max="13" width="8.85546875" style="2"/>
    <col min="14" max="15" width="12.140625" style="2" bestFit="1" customWidth="1"/>
    <col min="16" max="16384" width="8.85546875" style="2"/>
  </cols>
  <sheetData>
    <row r="1" spans="1:10" x14ac:dyDescent="0.25">
      <c r="B1" s="24" t="s">
        <v>3</v>
      </c>
      <c r="C1" s="24"/>
      <c r="D1" s="24"/>
      <c r="E1" s="25" t="s">
        <v>4</v>
      </c>
      <c r="F1" s="25"/>
      <c r="G1" s="25"/>
    </row>
    <row r="2" spans="1:10" ht="15.75" thickBot="1" x14ac:dyDescent="0.3">
      <c r="A2" s="6"/>
      <c r="B2" s="6" t="s">
        <v>2</v>
      </c>
      <c r="C2" s="6" t="s">
        <v>0</v>
      </c>
      <c r="D2" s="6" t="s">
        <v>1</v>
      </c>
      <c r="E2" s="7" t="s">
        <v>2</v>
      </c>
      <c r="F2" s="7" t="s">
        <v>0</v>
      </c>
      <c r="G2" s="7" t="s">
        <v>1</v>
      </c>
      <c r="H2" s="2" t="s">
        <v>6</v>
      </c>
      <c r="I2" s="2" t="s">
        <v>7</v>
      </c>
    </row>
    <row r="3" spans="1:10" x14ac:dyDescent="0.25">
      <c r="A3" s="10">
        <f>[1]Data!B10</f>
        <v>39814</v>
      </c>
      <c r="B3" s="11">
        <v>195.99982597927939</v>
      </c>
      <c r="C3" s="11">
        <v>181.3392289598581</v>
      </c>
      <c r="D3" s="11">
        <v>231.07956857182185</v>
      </c>
      <c r="E3" s="11">
        <f>[1]Data!AF10</f>
        <v>209.71981379782898</v>
      </c>
      <c r="F3" s="11">
        <f>[1]Data!AG10</f>
        <v>194.03297498704819</v>
      </c>
      <c r="G3" s="12">
        <f>[1]Data!AH10</f>
        <v>247.17956857182185</v>
      </c>
      <c r="H3" s="5"/>
    </row>
    <row r="4" spans="1:10" x14ac:dyDescent="0.25">
      <c r="A4" s="13">
        <f>[1]Data!B11</f>
        <v>39845</v>
      </c>
      <c r="B4" s="4">
        <v>176.90823884253308</v>
      </c>
      <c r="C4" s="4">
        <v>148.63575033415947</v>
      </c>
      <c r="D4" s="4">
        <v>207.73012618847858</v>
      </c>
      <c r="E4" s="4">
        <f>[1]Data!AF11</f>
        <v>189.29181556151042</v>
      </c>
      <c r="F4" s="4">
        <f>[1]Data!AG11</f>
        <v>159.04025285755063</v>
      </c>
      <c r="G4" s="14">
        <f>[1]Data!AH11</f>
        <v>222.27123502167208</v>
      </c>
      <c r="H4" s="5"/>
    </row>
    <row r="5" spans="1:10" x14ac:dyDescent="0.25">
      <c r="A5" s="13">
        <f>[1]Data!B12</f>
        <v>39873</v>
      </c>
      <c r="B5" s="4">
        <v>193.29483578152272</v>
      </c>
      <c r="C5" s="4">
        <v>148.97066746961787</v>
      </c>
      <c r="D5" s="4">
        <v>206.5638302414487</v>
      </c>
      <c r="E5" s="4">
        <f>[1]Data!AF12</f>
        <v>206.82547428622934</v>
      </c>
      <c r="F5" s="4">
        <f>[1]Data!AG12</f>
        <v>159.39861419249112</v>
      </c>
      <c r="G5" s="14">
        <f>[1]Data!AH12</f>
        <v>221.02329835835013</v>
      </c>
      <c r="H5" s="5"/>
    </row>
    <row r="6" spans="1:10" x14ac:dyDescent="0.25">
      <c r="A6" s="13">
        <f>[1]Data!B13</f>
        <v>39904</v>
      </c>
      <c r="B6" s="4">
        <v>208.66775181280542</v>
      </c>
      <c r="C6" s="4">
        <v>139.4681997026087</v>
      </c>
      <c r="D6" s="4">
        <v>193.34634466714132</v>
      </c>
      <c r="E6" s="4">
        <f>[1]Data!AF13</f>
        <v>223.27449443970181</v>
      </c>
      <c r="F6" s="4">
        <f>[1]Data!AG13</f>
        <v>149.23097368179131</v>
      </c>
      <c r="G6" s="14">
        <f>[1]Data!AH13</f>
        <v>206.88058879384124</v>
      </c>
      <c r="H6" s="5"/>
    </row>
    <row r="7" spans="1:10" x14ac:dyDescent="0.25">
      <c r="A7" s="13">
        <f>[1]Data!B14</f>
        <v>39934</v>
      </c>
      <c r="B7" s="4">
        <v>201.7914327541468</v>
      </c>
      <c r="C7" s="4">
        <v>137.73179448868021</v>
      </c>
      <c r="D7" s="4">
        <v>196.19488710142687</v>
      </c>
      <c r="E7" s="4">
        <f>[1]Data!AF14</f>
        <v>215.91683304693709</v>
      </c>
      <c r="F7" s="4">
        <f>[1]Data!AG14</f>
        <v>147.37302010288784</v>
      </c>
      <c r="G7" s="14">
        <f>[1]Data!AH14</f>
        <v>209.92852919852677</v>
      </c>
      <c r="H7" s="5"/>
    </row>
    <row r="8" spans="1:10" x14ac:dyDescent="0.25">
      <c r="A8" s="13">
        <f>[1]Data!B15</f>
        <v>39965</v>
      </c>
      <c r="B8" s="4">
        <v>205.95902684105585</v>
      </c>
      <c r="C8" s="4">
        <v>143.08338044621118</v>
      </c>
      <c r="D8" s="4">
        <v>201.88352328461761</v>
      </c>
      <c r="E8" s="4">
        <f>[1]Data!AF15</f>
        <v>220.37615871992978</v>
      </c>
      <c r="F8" s="4">
        <f>[1]Data!AG15</f>
        <v>153.09921707744599</v>
      </c>
      <c r="G8" s="14">
        <f>[1]Data!AH15</f>
        <v>216.01536991454086</v>
      </c>
      <c r="H8" s="5"/>
    </row>
    <row r="9" spans="1:10" x14ac:dyDescent="0.25">
      <c r="A9" s="13">
        <f>[1]Data!B16</f>
        <v>39995</v>
      </c>
      <c r="B9" s="4">
        <v>215.4699155552056</v>
      </c>
      <c r="C9" s="4">
        <v>148.8156969826872</v>
      </c>
      <c r="D9" s="4">
        <v>209.33397690861918</v>
      </c>
      <c r="E9" s="4">
        <f>[1]Data!AF16</f>
        <v>230.55280964407001</v>
      </c>
      <c r="F9" s="4">
        <f>[1]Data!AG16</f>
        <v>159.23279577147531</v>
      </c>
      <c r="G9" s="14">
        <f>[1]Data!AH16</f>
        <v>223.98735529222253</v>
      </c>
      <c r="H9" s="5"/>
    </row>
    <row r="10" spans="1:10" x14ac:dyDescent="0.25">
      <c r="A10" s="13">
        <f>[1]Data!B17</f>
        <v>40026</v>
      </c>
      <c r="B10" s="4">
        <v>228.84509899483137</v>
      </c>
      <c r="C10" s="4">
        <v>167.19332535123289</v>
      </c>
      <c r="D10" s="4">
        <v>227.10473998206558</v>
      </c>
      <c r="E10" s="4">
        <f>[1]Data!AF17</f>
        <v>244.86425592446957</v>
      </c>
      <c r="F10" s="4">
        <f>[1]Data!AG17</f>
        <v>178.89685812581919</v>
      </c>
      <c r="G10" s="14">
        <f>[1]Data!AH17</f>
        <v>243.00207178081018</v>
      </c>
      <c r="H10" s="5"/>
    </row>
    <row r="11" spans="1:10" x14ac:dyDescent="0.25">
      <c r="A11" s="13">
        <f>[1]Data!B18</f>
        <v>40057</v>
      </c>
      <c r="B11" s="4">
        <v>227.38459899483135</v>
      </c>
      <c r="C11" s="4">
        <v>162.25982535123291</v>
      </c>
      <c r="D11" s="4">
        <v>222.71173998206558</v>
      </c>
      <c r="E11" s="4">
        <f>[1]Data!AF18</f>
        <v>243.30152092446957</v>
      </c>
      <c r="F11" s="4">
        <f>[1]Data!AG18</f>
        <v>173.61801312581923</v>
      </c>
      <c r="G11" s="14">
        <f>[1]Data!AH18</f>
        <v>238.30156178081018</v>
      </c>
      <c r="H11" s="5"/>
    </row>
    <row r="12" spans="1:10" x14ac:dyDescent="0.25">
      <c r="A12" s="13">
        <f>[1]Data!B19</f>
        <v>40087</v>
      </c>
      <c r="B12" s="4">
        <v>215.29869436006058</v>
      </c>
      <c r="C12" s="4">
        <v>153.64515046733777</v>
      </c>
      <c r="D12" s="4">
        <v>213.68436304847464</v>
      </c>
      <c r="E12" s="4">
        <f>[1]Data!AF19</f>
        <v>230.36960296526485</v>
      </c>
      <c r="F12" s="4">
        <f>[1]Data!AG19</f>
        <v>164.40031100005143</v>
      </c>
      <c r="G12" s="14">
        <f>[1]Data!AH19</f>
        <v>228.64226846186787</v>
      </c>
      <c r="H12" s="5"/>
    </row>
    <row r="13" spans="1:10" x14ac:dyDescent="0.25">
      <c r="A13" s="13">
        <f>[1]Data!B20</f>
        <v>40118</v>
      </c>
      <c r="B13" s="4">
        <v>215.70810522150691</v>
      </c>
      <c r="C13" s="4">
        <v>158.97984315343075</v>
      </c>
      <c r="D13" s="4">
        <v>218.28189225022493</v>
      </c>
      <c r="E13" s="4">
        <f>[1]Data!AF20</f>
        <v>230.80767258701241</v>
      </c>
      <c r="F13" s="4">
        <f>[1]Data!AG20</f>
        <v>170.1084321741709</v>
      </c>
      <c r="G13" s="14">
        <f>[1]Data!AH20</f>
        <v>233.56162470774069</v>
      </c>
      <c r="H13" s="19"/>
      <c r="I13" s="20"/>
    </row>
    <row r="14" spans="1:10" ht="15.75" thickBot="1" x14ac:dyDescent="0.3">
      <c r="A14" s="15">
        <f>[1]Data!B21</f>
        <v>40148</v>
      </c>
      <c r="B14" s="16">
        <v>221.04922129720688</v>
      </c>
      <c r="C14" s="16">
        <v>165.82660526878854</v>
      </c>
      <c r="D14" s="16">
        <v>224.37300306648197</v>
      </c>
      <c r="E14" s="16">
        <f>[1]Data!AF21</f>
        <v>236.52266678801138</v>
      </c>
      <c r="F14" s="16">
        <f>[1]Data!AG21</f>
        <v>177.43446763760375</v>
      </c>
      <c r="G14" s="17">
        <f>[1]Data!AH21</f>
        <v>240.07911328113573</v>
      </c>
      <c r="J14" s="5"/>
    </row>
    <row r="15" spans="1:10" x14ac:dyDescent="0.25">
      <c r="A15" s="10">
        <f>[1]Data!B22</f>
        <v>40179</v>
      </c>
      <c r="B15" s="11">
        <v>222.01899999999998</v>
      </c>
      <c r="C15" s="11">
        <v>165.74949999999998</v>
      </c>
      <c r="D15" s="11">
        <v>222.84699999999998</v>
      </c>
      <c r="E15" s="11">
        <f>[1]Data!AF22</f>
        <v>237.56032999999999</v>
      </c>
      <c r="F15" s="11">
        <f>[1]Data!AG22</f>
        <v>177.35196499999998</v>
      </c>
      <c r="G15" s="12">
        <f>[1]Data!AH22</f>
        <v>238.44629</v>
      </c>
      <c r="H15" s="21"/>
      <c r="I15" s="22"/>
    </row>
    <row r="16" spans="1:10" x14ac:dyDescent="0.25">
      <c r="A16" s="13">
        <f>[1]Data!B23</f>
        <v>40210</v>
      </c>
      <c r="B16" s="4">
        <v>229.28532007923491</v>
      </c>
      <c r="C16" s="4">
        <v>168.0979055271095</v>
      </c>
      <c r="D16" s="4">
        <v>225.63427537432247</v>
      </c>
      <c r="E16" s="4">
        <f>[1]Data!AF23</f>
        <v>245.33529248478138</v>
      </c>
      <c r="F16" s="4">
        <f>[1]Data!AG23</f>
        <v>179.86475891400718</v>
      </c>
      <c r="G16" s="14">
        <f>[1]Data!AH23</f>
        <v>241.42867465052507</v>
      </c>
      <c r="H16" s="5"/>
    </row>
    <row r="17" spans="1:16" x14ac:dyDescent="0.25">
      <c r="A17" s="13">
        <f>[1]Data!B24</f>
        <v>40238</v>
      </c>
      <c r="B17" s="4">
        <v>229.44528231018475</v>
      </c>
      <c r="C17" s="4">
        <v>164.69894064633314</v>
      </c>
      <c r="D17" s="4">
        <v>224.72216205930559</v>
      </c>
      <c r="E17" s="4">
        <f>[1]Data!AF24</f>
        <v>245.50645207189771</v>
      </c>
      <c r="F17" s="4">
        <f>[1]Data!AG24</f>
        <v>176.22786649157646</v>
      </c>
      <c r="G17" s="14">
        <f>[1]Data!AH24</f>
        <v>240.45271340345698</v>
      </c>
      <c r="H17" s="5"/>
    </row>
    <row r="18" spans="1:16" x14ac:dyDescent="0.25">
      <c r="A18" s="13">
        <f>[1]Data!B25</f>
        <v>40269</v>
      </c>
      <c r="B18" s="4">
        <v>236.12149948666968</v>
      </c>
      <c r="C18" s="4">
        <v>171.9168753668431</v>
      </c>
      <c r="D18" s="4">
        <v>232.26905609582232</v>
      </c>
      <c r="E18" s="4">
        <f>[1]Data!AF25</f>
        <v>252.22149948666967</v>
      </c>
      <c r="F18" s="4">
        <f>[1]Data!AG25</f>
        <v>183.95105664252213</v>
      </c>
      <c r="G18" s="14">
        <f>[1]Data!AH25</f>
        <v>248.36905609582232</v>
      </c>
      <c r="H18" s="5"/>
    </row>
    <row r="19" spans="1:16" x14ac:dyDescent="0.25">
      <c r="A19" s="13">
        <f>[1]Data!B26</f>
        <v>40299</v>
      </c>
      <c r="B19" s="4">
        <v>244.5128527914278</v>
      </c>
      <c r="C19" s="4">
        <v>186.14480471044479</v>
      </c>
      <c r="D19" s="4">
        <v>246.00702225087295</v>
      </c>
      <c r="E19" s="4">
        <f>[1]Data!AF26</f>
        <v>260.61285279142783</v>
      </c>
      <c r="F19" s="4">
        <f>[1]Data!AG26</f>
        <v>199.17494104017592</v>
      </c>
      <c r="G19" s="14">
        <f>[1]Data!AH26</f>
        <v>262.10702225087294</v>
      </c>
      <c r="H19" s="5"/>
    </row>
    <row r="20" spans="1:16" x14ac:dyDescent="0.25">
      <c r="A20" s="13">
        <f>[1]Data!B27</f>
        <v>40330</v>
      </c>
      <c r="B20" s="4">
        <v>234.94004939557084</v>
      </c>
      <c r="C20" s="4">
        <v>180.04619953853017</v>
      </c>
      <c r="D20" s="4">
        <v>239.78620735070851</v>
      </c>
      <c r="E20" s="4">
        <f>[1]Data!AF27</f>
        <v>251.04004939557083</v>
      </c>
      <c r="F20" s="4">
        <f>[1]Data!AG27</f>
        <v>192.6494335062273</v>
      </c>
      <c r="G20" s="14">
        <f>[1]Data!AH27</f>
        <v>255.8862073507085</v>
      </c>
      <c r="H20" s="5"/>
    </row>
    <row r="21" spans="1:16" x14ac:dyDescent="0.25">
      <c r="A21" s="13">
        <f>[1]Data!B28</f>
        <v>40360</v>
      </c>
      <c r="B21" s="4">
        <v>229.80756145659578</v>
      </c>
      <c r="C21" s="4">
        <v>174.8485353211222</v>
      </c>
      <c r="D21" s="4">
        <v>233.38913745583517</v>
      </c>
      <c r="E21" s="4">
        <f>[1]Data!AF28</f>
        <v>245.8940907585575</v>
      </c>
      <c r="F21" s="4">
        <f>[1]Data!AG28</f>
        <v>187.08793279360077</v>
      </c>
      <c r="G21" s="14">
        <f>[1]Data!AH28</f>
        <v>249.48913745583516</v>
      </c>
      <c r="H21" s="5"/>
    </row>
    <row r="22" spans="1:16" x14ac:dyDescent="0.25">
      <c r="A22" s="13">
        <f>[1]Data!B29</f>
        <v>40391</v>
      </c>
      <c r="B22" s="4">
        <v>226.60641518608907</v>
      </c>
      <c r="C22" s="4">
        <v>171.36294904336464</v>
      </c>
      <c r="D22" s="4">
        <v>230.38799407751222</v>
      </c>
      <c r="E22" s="4">
        <f>[1]Data!AF29</f>
        <v>242.46886424911531</v>
      </c>
      <c r="F22" s="4">
        <f>[1]Data!AG29</f>
        <v>183.35835547640016</v>
      </c>
      <c r="G22" s="14">
        <f>[1]Data!AH29</f>
        <v>246.48799407751221</v>
      </c>
      <c r="H22" s="5"/>
    </row>
    <row r="23" spans="1:16" x14ac:dyDescent="0.25">
      <c r="A23" s="13">
        <f>[1]Data!B30</f>
        <v>40422</v>
      </c>
      <c r="B23" s="4">
        <v>229.32616899829605</v>
      </c>
      <c r="C23" s="4">
        <v>176.26158836808904</v>
      </c>
      <c r="D23" s="4">
        <v>236.29560038410449</v>
      </c>
      <c r="E23" s="4">
        <f>[1]Data!AF30</f>
        <v>245.3790008281768</v>
      </c>
      <c r="F23" s="4">
        <f>[1]Data!AG30</f>
        <v>188.59989955385527</v>
      </c>
      <c r="G23" s="14">
        <f>[1]Data!AH30</f>
        <v>252.39560038410448</v>
      </c>
      <c r="H23" s="5"/>
    </row>
    <row r="24" spans="1:16" x14ac:dyDescent="0.25">
      <c r="A24" s="13">
        <f>[1]Data!B31</f>
        <v>40452</v>
      </c>
      <c r="B24" s="4">
        <v>225.7240427580976</v>
      </c>
      <c r="C24" s="4">
        <v>173.86794173105127</v>
      </c>
      <c r="D24" s="4">
        <v>232.72563017842489</v>
      </c>
      <c r="E24" s="4">
        <f>[1]Data!AF31</f>
        <v>241.52472575116445</v>
      </c>
      <c r="F24" s="4">
        <f>[1]Data!AG31</f>
        <v>186.03869765222487</v>
      </c>
      <c r="G24" s="14">
        <f>[1]Data!AH31</f>
        <v>248.82563017842489</v>
      </c>
      <c r="H24" s="5"/>
    </row>
    <row r="25" spans="1:16" x14ac:dyDescent="0.25">
      <c r="A25" s="13">
        <f>[1]Data!B32</f>
        <v>40483</v>
      </c>
      <c r="B25" s="4">
        <v>232.32706469468468</v>
      </c>
      <c r="C25" s="4">
        <v>179.39607750708041</v>
      </c>
      <c r="D25" s="4">
        <v>237.24942668935196</v>
      </c>
      <c r="E25" s="4">
        <f>[1]Data!AF32</f>
        <v>248.42706469468467</v>
      </c>
      <c r="F25" s="4">
        <f>[1]Data!AG32</f>
        <v>191.95380293257605</v>
      </c>
      <c r="G25" s="14">
        <f>[1]Data!AH32</f>
        <v>253.34942668935196</v>
      </c>
      <c r="H25" s="19"/>
      <c r="I25" s="20"/>
    </row>
    <row r="26" spans="1:16" ht="15.75" thickBot="1" x14ac:dyDescent="0.3">
      <c r="A26" s="15">
        <f>[1]Data!B33</f>
        <v>40513</v>
      </c>
      <c r="B26" s="16">
        <v>234.26820469004173</v>
      </c>
      <c r="C26" s="16">
        <v>181.31863666293651</v>
      </c>
      <c r="D26" s="16">
        <v>239.33828584543184</v>
      </c>
      <c r="E26" s="16">
        <f>[1]Data!AF33</f>
        <v>250.36820469004172</v>
      </c>
      <c r="F26" s="16">
        <f>[1]Data!AG33</f>
        <v>194.01094122934208</v>
      </c>
      <c r="G26" s="17">
        <f>[1]Data!AH33</f>
        <v>255.43828584543184</v>
      </c>
      <c r="J26" s="5"/>
    </row>
    <row r="27" spans="1:16" x14ac:dyDescent="0.25">
      <c r="A27" s="10">
        <f>[1]Data!B34</f>
        <v>40544</v>
      </c>
      <c r="B27" s="11">
        <v>248.80550655106131</v>
      </c>
      <c r="C27" s="11">
        <v>191.32761346236822</v>
      </c>
      <c r="D27" s="11">
        <v>249.98835458303648</v>
      </c>
      <c r="E27" s="11">
        <f>[1]Data!AF34</f>
        <v>264.90550655106131</v>
      </c>
      <c r="F27" s="11">
        <f>[1]Data!AG34</f>
        <v>204.32761346236822</v>
      </c>
      <c r="G27" s="12">
        <f>[1]Data!AH34</f>
        <v>266.08835458303651</v>
      </c>
      <c r="H27" s="21"/>
      <c r="I27" s="22"/>
      <c r="M27" s="2" t="s">
        <v>8</v>
      </c>
      <c r="N27" s="20" t="s">
        <v>11</v>
      </c>
      <c r="O27" s="20" t="s">
        <v>10</v>
      </c>
      <c r="P27" s="2" t="s">
        <v>9</v>
      </c>
    </row>
    <row r="28" spans="1:16" x14ac:dyDescent="0.25">
      <c r="A28" s="13">
        <f>[1]Data!B35</f>
        <v>40575</v>
      </c>
      <c r="B28" s="4">
        <v>253.88867957623538</v>
      </c>
      <c r="C28" s="4">
        <v>199.29995067115175</v>
      </c>
      <c r="D28" s="4">
        <v>256.86863226463817</v>
      </c>
      <c r="E28" s="4">
        <f>[1]Data!AF35</f>
        <v>269.98867957623537</v>
      </c>
      <c r="F28" s="4">
        <f>[1]Data!AG35</f>
        <v>212.29995067115175</v>
      </c>
      <c r="G28" s="14">
        <f>[1]Data!AH35</f>
        <v>272.96863226463819</v>
      </c>
      <c r="H28" s="5"/>
      <c r="M28" s="23">
        <v>2009</v>
      </c>
      <c r="N28" s="4">
        <f>AVERAGE(E3:E14)</f>
        <v>223.48525989045291</v>
      </c>
      <c r="O28" s="4">
        <f>AVERAGE(G3:G14)</f>
        <v>227.57271543027832</v>
      </c>
      <c r="P28" s="5">
        <v>2452</v>
      </c>
    </row>
    <row r="29" spans="1:16" x14ac:dyDescent="0.25">
      <c r="A29" s="13">
        <f>[1]Data!B36</f>
        <v>40603</v>
      </c>
      <c r="B29" s="4">
        <v>261.25700000000001</v>
      </c>
      <c r="C29" s="4">
        <v>213.72749999999996</v>
      </c>
      <c r="D29" s="4">
        <v>269.83599999999996</v>
      </c>
      <c r="E29" s="4">
        <f>[1]Data!AF36</f>
        <v>277.35700000000003</v>
      </c>
      <c r="F29" s="4">
        <f>[1]Data!AG36</f>
        <v>226.72749999999996</v>
      </c>
      <c r="G29" s="14">
        <f>[1]Data!AH36</f>
        <v>285.93599999999998</v>
      </c>
      <c r="H29" s="5"/>
      <c r="M29" s="23">
        <v>2010</v>
      </c>
      <c r="N29" s="4">
        <f>AVERAGE(E15:E26)</f>
        <v>247.19486893350734</v>
      </c>
      <c r="O29" s="4">
        <f>AVERAGE(G15:G26)</f>
        <v>249.38966986517053</v>
      </c>
      <c r="P29" s="5">
        <v>6163</v>
      </c>
    </row>
    <row r="30" spans="1:16" x14ac:dyDescent="0.25">
      <c r="A30" s="13">
        <f>[1]Data!B37</f>
        <v>40634</v>
      </c>
      <c r="B30" s="4">
        <v>276.31049999999999</v>
      </c>
      <c r="C30" s="4">
        <v>232.392</v>
      </c>
      <c r="D30" s="4">
        <v>290.214</v>
      </c>
      <c r="E30" s="4">
        <f>[1]Data!AF37</f>
        <v>292.41050000000001</v>
      </c>
      <c r="F30" s="4">
        <f>[1]Data!AG37</f>
        <v>245.392</v>
      </c>
      <c r="G30" s="14">
        <f>[1]Data!AH37</f>
        <v>306.31400000000002</v>
      </c>
      <c r="H30" s="5"/>
      <c r="M30" s="23">
        <v>2011</v>
      </c>
      <c r="N30" s="4">
        <f>AVERAGE(E27:E38)</f>
        <v>279.49989261026246</v>
      </c>
      <c r="O30" s="4">
        <f>AVERAGE(G27:G38)</f>
        <v>286.44794293254097</v>
      </c>
      <c r="P30" s="5">
        <v>1881</v>
      </c>
    </row>
    <row r="31" spans="1:16" x14ac:dyDescent="0.25">
      <c r="A31" s="13">
        <f>[1]Data!B38</f>
        <v>40664</v>
      </c>
      <c r="B31" s="4">
        <v>284.77449999999999</v>
      </c>
      <c r="C31" s="4">
        <v>237.429</v>
      </c>
      <c r="D31" s="4">
        <v>296.48149999999998</v>
      </c>
      <c r="E31" s="4">
        <f>[1]Data!AF38</f>
        <v>300.87450000000001</v>
      </c>
      <c r="F31" s="4">
        <f>[1]Data!AG38</f>
        <v>250.429</v>
      </c>
      <c r="G31" s="14">
        <f>[1]Data!AH38</f>
        <v>312.58150000000001</v>
      </c>
      <c r="H31" s="5"/>
      <c r="M31" s="2">
        <v>2012</v>
      </c>
      <c r="N31" s="4">
        <f>AVERAGE(E39:E50)</f>
        <v>282.41889643201574</v>
      </c>
      <c r="O31" s="4">
        <f>AVERAGE(G39:G50)</f>
        <v>290.19188886189005</v>
      </c>
      <c r="P31" s="2">
        <v>1786</v>
      </c>
    </row>
    <row r="32" spans="1:16" x14ac:dyDescent="0.25">
      <c r="A32" s="13">
        <f>[1]Data!B39</f>
        <v>40695</v>
      </c>
      <c r="B32" s="4">
        <v>273.26276387827119</v>
      </c>
      <c r="C32" s="4">
        <v>219.26994608122786</v>
      </c>
      <c r="D32" s="4">
        <v>277.68036431845451</v>
      </c>
      <c r="E32" s="4">
        <f>[1]Data!AF39</f>
        <v>289.36276387827121</v>
      </c>
      <c r="F32" s="4">
        <f>[1]Data!AG39</f>
        <v>232.26994608122786</v>
      </c>
      <c r="G32" s="14">
        <f>[1]Data!AH39</f>
        <v>293.78036431845453</v>
      </c>
      <c r="H32" s="5"/>
      <c r="M32" s="2">
        <v>2013</v>
      </c>
      <c r="N32" s="4">
        <f>AVERAGE(E51:E62)</f>
        <v>283.22487499999994</v>
      </c>
      <c r="O32" s="4">
        <f>AVERAGE(G51:G62)</f>
        <v>290.56187500000004</v>
      </c>
      <c r="P32" s="2">
        <v>1780</v>
      </c>
    </row>
    <row r="33" spans="1:16" x14ac:dyDescent="0.25">
      <c r="A33" s="13">
        <f>[1]Data!B40</f>
        <v>40725</v>
      </c>
      <c r="B33" s="4">
        <v>262.38115857201711</v>
      </c>
      <c r="C33" s="4">
        <v>212.29310527834662</v>
      </c>
      <c r="D33" s="4">
        <v>271.00363612953538</v>
      </c>
      <c r="E33" s="4">
        <f>[1]Data!AF40</f>
        <v>278.48115857201714</v>
      </c>
      <c r="F33" s="4">
        <f>[1]Data!AG40</f>
        <v>225.29310527834662</v>
      </c>
      <c r="G33" s="14">
        <f>[1]Data!AH40</f>
        <v>287.1036361295354</v>
      </c>
      <c r="H33" s="5"/>
      <c r="M33" s="2">
        <v>2014</v>
      </c>
      <c r="N33" s="4">
        <f>AVERAGE(E63:E74)</f>
        <v>281.59858333333335</v>
      </c>
      <c r="O33" s="4">
        <f>AVERAGE(G63:G74)</f>
        <v>286.24841666666663</v>
      </c>
      <c r="P33" s="2">
        <v>2181</v>
      </c>
    </row>
    <row r="34" spans="1:16" x14ac:dyDescent="0.25">
      <c r="A34" s="13">
        <f>[1]Data!B41</f>
        <v>40756</v>
      </c>
      <c r="B34" s="4">
        <v>262.00238199721548</v>
      </c>
      <c r="C34" s="4">
        <v>209.29529953543832</v>
      </c>
      <c r="D34" s="4">
        <v>267.99525389533756</v>
      </c>
      <c r="E34" s="4">
        <f>[1]Data!AF41</f>
        <v>278.1023819972155</v>
      </c>
      <c r="F34" s="4">
        <f>[1]Data!AG41</f>
        <v>222.29529953543832</v>
      </c>
      <c r="G34" s="14">
        <f>[1]Data!AH41</f>
        <v>284.09525389533758</v>
      </c>
      <c r="H34" s="5"/>
      <c r="M34" s="2">
        <v>2015</v>
      </c>
      <c r="N34" s="18">
        <f>AVERAGE(E75:E86)</f>
        <v>235.29118831144783</v>
      </c>
      <c r="O34" s="4">
        <f>AVERAGE(G75:G86)</f>
        <v>231.87523241267294</v>
      </c>
      <c r="P34" s="2">
        <v>2847</v>
      </c>
    </row>
    <row r="35" spans="1:16" x14ac:dyDescent="0.25">
      <c r="A35" s="13">
        <f>[1]Data!B42</f>
        <v>40787</v>
      </c>
      <c r="B35" s="4">
        <v>255.96616260724096</v>
      </c>
      <c r="C35" s="4">
        <v>202.05168346350698</v>
      </c>
      <c r="D35" s="4">
        <v>259.36930624781564</v>
      </c>
      <c r="E35" s="4">
        <f>[1]Data!AF42</f>
        <v>272.06616260724098</v>
      </c>
      <c r="F35" s="4">
        <f>[1]Data!AG42</f>
        <v>215.05168346350698</v>
      </c>
      <c r="G35" s="14">
        <f>[1]Data!AH42</f>
        <v>275.46930624781567</v>
      </c>
      <c r="H35" s="5"/>
      <c r="M35" s="2">
        <v>2016</v>
      </c>
      <c r="N35" s="18">
        <f>AVERAGE(E87:E99)</f>
        <v>224.17768308111101</v>
      </c>
      <c r="O35" s="4">
        <f>AVERAGE(G87:G99)</f>
        <v>217.76904065000465</v>
      </c>
      <c r="P35" s="2">
        <v>3695</v>
      </c>
    </row>
    <row r="36" spans="1:16" x14ac:dyDescent="0.25">
      <c r="A36" s="13">
        <f>[1]Data!B43</f>
        <v>40817</v>
      </c>
      <c r="B36" s="4">
        <v>262.92861822303485</v>
      </c>
      <c r="C36" s="4">
        <v>204.38150746006124</v>
      </c>
      <c r="D36" s="4">
        <v>263.02997149158239</v>
      </c>
      <c r="E36" s="4">
        <f>[1]Data!AF43</f>
        <v>279.02861822303487</v>
      </c>
      <c r="F36" s="4">
        <f>[1]Data!AG43</f>
        <v>217.38150746006124</v>
      </c>
      <c r="G36" s="14">
        <f>[1]Data!AH43</f>
        <v>279.12997149158241</v>
      </c>
      <c r="H36" s="5"/>
      <c r="M36" s="2">
        <v>2017</v>
      </c>
      <c r="N36" s="18">
        <f>AVERAGE(E100:E111)</f>
        <v>251.5615669312696</v>
      </c>
      <c r="O36" s="4">
        <f>AVERAGE(G100:G111)</f>
        <v>247.74297329775391</v>
      </c>
      <c r="P36" s="2">
        <v>4256</v>
      </c>
    </row>
    <row r="37" spans="1:16" x14ac:dyDescent="0.25">
      <c r="A37" s="13">
        <f>[1]Data!B44</f>
        <v>40848</v>
      </c>
      <c r="B37" s="4">
        <v>264.72965028489631</v>
      </c>
      <c r="C37" s="4">
        <v>208.50442033870823</v>
      </c>
      <c r="D37" s="4">
        <v>265.67281467910635</v>
      </c>
      <c r="E37" s="4">
        <f>[1]Data!AF44</f>
        <v>280.82965028489633</v>
      </c>
      <c r="F37" s="4">
        <f>[1]Data!AG44</f>
        <v>221.50442033870823</v>
      </c>
      <c r="G37" s="14">
        <f>[1]Data!AH44</f>
        <v>281.77281467910638</v>
      </c>
      <c r="H37" s="5"/>
      <c r="M37" s="2">
        <v>2018</v>
      </c>
      <c r="N37" s="18">
        <f>AVERAGE(E112:E123)</f>
        <v>277.89433952984774</v>
      </c>
      <c r="O37" s="4">
        <f>AVERAGE(G112:G123)</f>
        <v>284.7723194421439</v>
      </c>
      <c r="P37" s="2">
        <v>4144</v>
      </c>
    </row>
    <row r="38" spans="1:16" ht="15.75" thickBot="1" x14ac:dyDescent="0.3">
      <c r="A38" s="15">
        <f>[1]Data!B45</f>
        <v>40878</v>
      </c>
      <c r="B38" s="16">
        <v>254.49178963317712</v>
      </c>
      <c r="C38" s="16">
        <v>216.37783703174395</v>
      </c>
      <c r="D38" s="16">
        <v>276.03548158098539</v>
      </c>
      <c r="E38" s="16">
        <f>[1]Data!AF45</f>
        <v>270.59178963317714</v>
      </c>
      <c r="F38" s="16">
        <f>[1]Data!AG45</f>
        <v>229.37783703174395</v>
      </c>
      <c r="G38" s="17">
        <f>[1]Data!AH45</f>
        <v>292.13548158098541</v>
      </c>
      <c r="M38" s="2">
        <v>2019</v>
      </c>
      <c r="N38" s="18">
        <f>AVERAGE(E124:E135)</f>
        <v>268.53577048781568</v>
      </c>
      <c r="O38" s="4">
        <f>AVERAGE(G124:G135)</f>
        <v>278.09765976856852</v>
      </c>
      <c r="P38" s="2">
        <v>3915</v>
      </c>
    </row>
    <row r="39" spans="1:16" x14ac:dyDescent="0.25">
      <c r="A39" s="10">
        <f>[1]Data!B46</f>
        <v>40909</v>
      </c>
      <c r="B39" s="11">
        <v>255.81428592868699</v>
      </c>
      <c r="C39" s="11">
        <v>210.4886579277383</v>
      </c>
      <c r="D39" s="11">
        <v>271.1027582653673</v>
      </c>
      <c r="E39" s="11">
        <f>[1]Data!AF46</f>
        <v>271.91428592868698</v>
      </c>
      <c r="F39" s="11">
        <f>[1]Data!AG46</f>
        <v>223.4886579277383</v>
      </c>
      <c r="G39" s="12">
        <f>[1]Data!AH46</f>
        <v>287.20275826536732</v>
      </c>
      <c r="H39" s="5"/>
      <c r="M39" s="2">
        <v>2020</v>
      </c>
      <c r="N39" s="18">
        <f>AVERAGE(E136:E148)</f>
        <v>238.10357413603646</v>
      </c>
      <c r="O39" s="4">
        <f>AVERAGE(G136:G148)</f>
        <v>242.72843503658584</v>
      </c>
      <c r="P39" s="2">
        <v>3577</v>
      </c>
    </row>
    <row r="40" spans="1:16" x14ac:dyDescent="0.25">
      <c r="A40" s="13">
        <f>[1]Data!B47</f>
        <v>40940</v>
      </c>
      <c r="B40" s="4">
        <v>265.04152570797982</v>
      </c>
      <c r="C40" s="4">
        <v>212.66989128813475</v>
      </c>
      <c r="D40" s="4">
        <v>274.53659490482801</v>
      </c>
      <c r="E40" s="4">
        <f>[1]Data!AF47</f>
        <v>281.14152570797984</v>
      </c>
      <c r="F40" s="4">
        <f>[1]Data!AG47</f>
        <v>225.66989128813475</v>
      </c>
      <c r="G40" s="14">
        <f>[1]Data!AH47</f>
        <v>290.63659490482803</v>
      </c>
      <c r="H40" s="5"/>
      <c r="M40" s="2">
        <v>2021</v>
      </c>
      <c r="N40" s="18">
        <f>AVERAGE(E149:E160)</f>
        <v>291.94086804146013</v>
      </c>
      <c r="O40" s="4">
        <f>AVERAGE(G149:G160)</f>
        <v>283.4535654255094</v>
      </c>
      <c r="P40" s="2">
        <v>3161</v>
      </c>
    </row>
    <row r="41" spans="1:16" x14ac:dyDescent="0.25">
      <c r="A41" s="13">
        <f>[1]Data!B48</f>
        <v>40969</v>
      </c>
      <c r="B41" s="4">
        <v>271.71049999999997</v>
      </c>
      <c r="C41" s="4">
        <v>216.66</v>
      </c>
      <c r="D41" s="4">
        <v>276.98899999999998</v>
      </c>
      <c r="E41" s="4">
        <f>[1]Data!AF48</f>
        <v>287.81049999999999</v>
      </c>
      <c r="F41" s="4">
        <f>[1]Data!AG48</f>
        <v>229.66</v>
      </c>
      <c r="G41" s="14">
        <f>[1]Data!AH48</f>
        <v>293.089</v>
      </c>
      <c r="H41" s="5"/>
      <c r="M41" s="2">
        <v>2022</v>
      </c>
      <c r="N41" s="18">
        <f>AVERAGE(E161:E172)</f>
        <v>370.49533579980852</v>
      </c>
      <c r="O41" s="4">
        <f>AVERAGE(G161:G172)</f>
        <v>395.86928835995622</v>
      </c>
      <c r="P41" s="2">
        <v>3092</v>
      </c>
    </row>
    <row r="42" spans="1:16" x14ac:dyDescent="0.25">
      <c r="A42" s="13">
        <f>[1]Data!B49</f>
        <v>41000</v>
      </c>
      <c r="B42" s="4">
        <v>282.41699999999997</v>
      </c>
      <c r="C42" s="4">
        <v>224.595</v>
      </c>
      <c r="D42" s="4">
        <v>284.23399999999998</v>
      </c>
      <c r="E42" s="4">
        <f>[1]Data!AF49</f>
        <v>298.517</v>
      </c>
      <c r="F42" s="4">
        <f>[1]Data!AG49</f>
        <v>237.595</v>
      </c>
      <c r="G42" s="14">
        <f>[1]Data!AH49</f>
        <v>300.334</v>
      </c>
      <c r="H42" s="5"/>
    </row>
    <row r="43" spans="1:16" x14ac:dyDescent="0.25">
      <c r="A43" s="13">
        <f>[1]Data!B50</f>
        <v>41030</v>
      </c>
      <c r="B43" s="4">
        <v>280.27799999999996</v>
      </c>
      <c r="C43" s="4">
        <v>222.59399999999999</v>
      </c>
      <c r="D43" s="4">
        <v>281.81899999999996</v>
      </c>
      <c r="E43" s="4">
        <f>[1]Data!AF50</f>
        <v>296.37799999999999</v>
      </c>
      <c r="F43" s="4">
        <f>[1]Data!AG50</f>
        <v>235.59399999999999</v>
      </c>
      <c r="G43" s="14">
        <f>[1]Data!AH50</f>
        <v>297.91899999999998</v>
      </c>
      <c r="H43" s="5"/>
    </row>
    <row r="44" spans="1:16" x14ac:dyDescent="0.25">
      <c r="A44" s="13">
        <f>[1]Data!B51</f>
        <v>41061</v>
      </c>
      <c r="B44" s="4">
        <v>267.8369455475223</v>
      </c>
      <c r="C44" s="4">
        <v>214.17970148228002</v>
      </c>
      <c r="D44" s="4">
        <v>272.90681317248504</v>
      </c>
      <c r="E44" s="4">
        <f>[1]Data!AF51</f>
        <v>283.93694554752233</v>
      </c>
      <c r="F44" s="4">
        <f>[1]Data!AG51</f>
        <v>227.17970148228002</v>
      </c>
      <c r="G44" s="14">
        <f>[1]Data!AH51</f>
        <v>289.00681317248507</v>
      </c>
      <c r="H44" s="5"/>
    </row>
    <row r="45" spans="1:16" x14ac:dyDescent="0.25">
      <c r="A45" s="13">
        <f>[1]Data!B52</f>
        <v>41091</v>
      </c>
      <c r="B45" s="4">
        <v>244.51299999999998</v>
      </c>
      <c r="C45" s="4">
        <v>195.79899999999998</v>
      </c>
      <c r="D45" s="4">
        <v>254.69049999999999</v>
      </c>
      <c r="E45" s="4">
        <f>[1]Data!AF52</f>
        <v>260.613</v>
      </c>
      <c r="F45" s="4">
        <f>[1]Data!AG52</f>
        <v>208.79899999999998</v>
      </c>
      <c r="G45" s="14">
        <f>[1]Data!AH52</f>
        <v>270.79050000000001</v>
      </c>
      <c r="H45" s="5"/>
    </row>
    <row r="46" spans="1:16" x14ac:dyDescent="0.25">
      <c r="A46" s="13">
        <f>[1]Data!B53</f>
        <v>41122</v>
      </c>
      <c r="B46" s="4">
        <v>254.69049999999999</v>
      </c>
      <c r="C46" s="4">
        <v>203.619</v>
      </c>
      <c r="D46" s="4">
        <v>262.59100000000001</v>
      </c>
      <c r="E46" s="4">
        <f>[1]Data!AF53</f>
        <v>270.79050000000001</v>
      </c>
      <c r="F46" s="4">
        <f>[1]Data!AG53</f>
        <v>216.619</v>
      </c>
      <c r="G46" s="14">
        <f>[1]Data!AH53</f>
        <v>278.69100000000003</v>
      </c>
      <c r="H46" s="5"/>
    </row>
    <row r="47" spans="1:16" x14ac:dyDescent="0.25">
      <c r="A47" s="13">
        <f>[1]Data!B54</f>
        <v>41153</v>
      </c>
      <c r="B47" s="4">
        <v>271.423</v>
      </c>
      <c r="C47" s="4">
        <v>218.71849999999998</v>
      </c>
      <c r="D47" s="4">
        <v>278.1275</v>
      </c>
      <c r="E47" s="4">
        <f>[1]Data!AF54</f>
        <v>287.52300000000002</v>
      </c>
      <c r="F47" s="4">
        <f>[1]Data!AG54</f>
        <v>231.71849999999998</v>
      </c>
      <c r="G47" s="14">
        <f>[1]Data!AH54</f>
        <v>294.22750000000002</v>
      </c>
      <c r="H47" s="5"/>
    </row>
    <row r="48" spans="1:16" x14ac:dyDescent="0.25">
      <c r="A48" s="13">
        <f>[1]Data!B55</f>
        <v>41183</v>
      </c>
      <c r="B48" s="4">
        <v>269.56</v>
      </c>
      <c r="C48" s="4">
        <v>223.1</v>
      </c>
      <c r="D48" s="4">
        <v>280.09399999999999</v>
      </c>
      <c r="E48" s="4">
        <f>[1]Data!AF55</f>
        <v>285.66000000000003</v>
      </c>
      <c r="F48" s="4">
        <f>[1]Data!AG55</f>
        <v>236.1</v>
      </c>
      <c r="G48" s="14">
        <f>[1]Data!AH55</f>
        <v>296.19400000000002</v>
      </c>
      <c r="H48" s="5"/>
    </row>
    <row r="49" spans="1:9" x14ac:dyDescent="0.25">
      <c r="A49" s="13">
        <f>[1]Data!B56</f>
        <v>41214</v>
      </c>
      <c r="B49" s="4">
        <v>268.548</v>
      </c>
      <c r="C49" s="4">
        <v>222.042</v>
      </c>
      <c r="D49" s="4">
        <v>278.185</v>
      </c>
      <c r="E49" s="4">
        <f>[1]Data!AF56</f>
        <v>284.64800000000002</v>
      </c>
      <c r="F49" s="4">
        <f>[1]Data!AG56</f>
        <v>235.042</v>
      </c>
      <c r="G49" s="14">
        <f>[1]Data!AH56</f>
        <v>294.28500000000003</v>
      </c>
      <c r="H49" s="5"/>
    </row>
    <row r="50" spans="1:9" ht="15.75" thickBot="1" x14ac:dyDescent="0.3">
      <c r="A50" s="15">
        <f>[1]Data!B57</f>
        <v>41244</v>
      </c>
      <c r="B50" s="16">
        <v>263.99399999999997</v>
      </c>
      <c r="C50" s="16">
        <v>216.01599999999999</v>
      </c>
      <c r="D50" s="16">
        <v>273.82650000000001</v>
      </c>
      <c r="E50" s="16">
        <f>[1]Data!AF57</f>
        <v>280.09399999999999</v>
      </c>
      <c r="F50" s="16">
        <f>[1]Data!AG57</f>
        <v>229.01599999999999</v>
      </c>
      <c r="G50" s="17">
        <f>[1]Data!AH57</f>
        <v>289.92650000000003</v>
      </c>
      <c r="H50" s="18"/>
      <c r="I50" s="4"/>
    </row>
    <row r="51" spans="1:9" x14ac:dyDescent="0.25">
      <c r="A51" s="10">
        <f>[1]Data!B58</f>
        <v>41275</v>
      </c>
      <c r="B51" s="11">
        <v>262.98199999999997</v>
      </c>
      <c r="C51" s="11">
        <v>215.13049999999998</v>
      </c>
      <c r="D51" s="11">
        <v>272.8605</v>
      </c>
      <c r="E51" s="11">
        <f>[1]Data!AF58</f>
        <v>279.08199999999999</v>
      </c>
      <c r="F51" s="11">
        <f>[1]Data!AG58</f>
        <v>228.13049999999998</v>
      </c>
      <c r="G51" s="12">
        <f>[1]Data!AH58</f>
        <v>288.96050000000002</v>
      </c>
      <c r="H51" s="5"/>
    </row>
    <row r="52" spans="1:9" x14ac:dyDescent="0.25">
      <c r="A52" s="13">
        <f>[1]Data!B59</f>
        <v>41306</v>
      </c>
      <c r="B52" s="4">
        <v>268.46749999999997</v>
      </c>
      <c r="C52" s="4">
        <v>219.62699999999998</v>
      </c>
      <c r="D52" s="4">
        <v>277.74799999999999</v>
      </c>
      <c r="E52" s="4">
        <f>[1]Data!AF59</f>
        <v>284.5675</v>
      </c>
      <c r="F52" s="4">
        <f>[1]Data!AG59</f>
        <v>232.62699999999998</v>
      </c>
      <c r="G52" s="14">
        <f>[1]Data!AH59</f>
        <v>293.84800000000001</v>
      </c>
      <c r="H52" s="5"/>
    </row>
    <row r="53" spans="1:9" x14ac:dyDescent="0.25">
      <c r="A53" s="13">
        <f>[1]Data!B60</f>
        <v>41334</v>
      </c>
      <c r="B53" s="4">
        <v>281.52</v>
      </c>
      <c r="C53" s="4">
        <v>224.62950000000001</v>
      </c>
      <c r="D53" s="4">
        <v>282.44</v>
      </c>
      <c r="E53" s="4">
        <f>[1]Data!AF60</f>
        <v>297.62</v>
      </c>
      <c r="F53" s="4">
        <f>[1]Data!AG60</f>
        <v>237.62950000000001</v>
      </c>
      <c r="G53" s="14">
        <f>[1]Data!AH60</f>
        <v>298.54000000000002</v>
      </c>
      <c r="H53" s="5"/>
    </row>
    <row r="54" spans="1:9" x14ac:dyDescent="0.25">
      <c r="A54" s="13">
        <f>[1]Data!B61</f>
        <v>41365</v>
      </c>
      <c r="B54" s="4">
        <v>271.53800000000001</v>
      </c>
      <c r="C54" s="4">
        <v>213.6815</v>
      </c>
      <c r="D54" s="4">
        <v>273.125</v>
      </c>
      <c r="E54" s="4">
        <f>[1]Data!AF61</f>
        <v>287.63800000000003</v>
      </c>
      <c r="F54" s="4">
        <f>[1]Data!AG61</f>
        <v>226.6815</v>
      </c>
      <c r="G54" s="14">
        <f>[1]Data!AH61</f>
        <v>289.22500000000002</v>
      </c>
      <c r="H54" s="5"/>
    </row>
    <row r="55" spans="1:9" x14ac:dyDescent="0.25">
      <c r="A55" s="13">
        <f>[1]Data!B62</f>
        <v>41395</v>
      </c>
      <c r="B55" s="4">
        <v>256.16249999999997</v>
      </c>
      <c r="C55" s="4">
        <v>201.75599999999997</v>
      </c>
      <c r="D55" s="4">
        <v>261.7285</v>
      </c>
      <c r="E55" s="4">
        <f>[1]Data!AF62</f>
        <v>272.26249999999999</v>
      </c>
      <c r="F55" s="4">
        <f>[1]Data!AG62</f>
        <v>214.75599999999997</v>
      </c>
      <c r="G55" s="14">
        <f>[1]Data!AH62</f>
        <v>277.82850000000002</v>
      </c>
      <c r="H55" s="5"/>
    </row>
    <row r="56" spans="1:9" x14ac:dyDescent="0.25">
      <c r="A56" s="13">
        <f>[1]Data!B63</f>
        <v>41426</v>
      </c>
      <c r="B56" s="4">
        <v>259.35949999999997</v>
      </c>
      <c r="C56" s="4">
        <v>203.38900000000001</v>
      </c>
      <c r="D56" s="4">
        <v>264.37349999999998</v>
      </c>
      <c r="E56" s="4">
        <f>[1]Data!AF63</f>
        <v>275.45949999999999</v>
      </c>
      <c r="F56" s="4">
        <f>[1]Data!AG63</f>
        <v>216.38900000000001</v>
      </c>
      <c r="G56" s="14">
        <f>[1]Data!AH63</f>
        <v>280.4735</v>
      </c>
      <c r="H56" s="5"/>
    </row>
    <row r="57" spans="1:9" x14ac:dyDescent="0.25">
      <c r="A57" s="13">
        <f>[1]Data!B64</f>
        <v>41456</v>
      </c>
      <c r="B57" s="4">
        <v>268.96199999999999</v>
      </c>
      <c r="C57" s="4">
        <v>209.82899999999998</v>
      </c>
      <c r="D57" s="4">
        <v>272.49249999999995</v>
      </c>
      <c r="E57" s="4">
        <f>[1]Data!AF64</f>
        <v>285.06200000000001</v>
      </c>
      <c r="F57" s="4">
        <f>[1]Data!AG64</f>
        <v>222.82899999999998</v>
      </c>
      <c r="G57" s="14">
        <f>[1]Data!AH64</f>
        <v>288.59249999999997</v>
      </c>
      <c r="H57" s="5"/>
    </row>
    <row r="58" spans="1:9" x14ac:dyDescent="0.25">
      <c r="A58" s="13">
        <f>[1]Data!B65</f>
        <v>41487</v>
      </c>
      <c r="B58" s="4">
        <v>274.58549999999997</v>
      </c>
      <c r="C58" s="4">
        <v>217.94800000000001</v>
      </c>
      <c r="D58" s="4">
        <v>277.9665</v>
      </c>
      <c r="E58" s="4">
        <f>[1]Data!AF65</f>
        <v>290.68549999999999</v>
      </c>
      <c r="F58" s="4">
        <f>[1]Data!AG65</f>
        <v>230.94800000000001</v>
      </c>
      <c r="G58" s="14">
        <f>[1]Data!AH65</f>
        <v>294.06650000000002</v>
      </c>
      <c r="H58" s="5"/>
    </row>
    <row r="59" spans="1:9" x14ac:dyDescent="0.25">
      <c r="A59" s="13">
        <f>[1]Data!B66</f>
        <v>41518</v>
      </c>
      <c r="B59" s="4">
        <v>269.78999999999996</v>
      </c>
      <c r="C59" s="4">
        <v>224.07749999999999</v>
      </c>
      <c r="D59" s="4">
        <v>280.50799999999998</v>
      </c>
      <c r="E59" s="4">
        <f>[1]Data!AF66</f>
        <v>285.89</v>
      </c>
      <c r="F59" s="4">
        <f>[1]Data!AG66</f>
        <v>237.07749999999999</v>
      </c>
      <c r="G59" s="14">
        <f>[1]Data!AH66</f>
        <v>296.608</v>
      </c>
      <c r="H59" s="5"/>
    </row>
    <row r="60" spans="1:9" x14ac:dyDescent="0.25">
      <c r="A60" s="13">
        <f>[1]Data!B67</f>
        <v>41548</v>
      </c>
      <c r="B60" s="4">
        <v>267.62799999999999</v>
      </c>
      <c r="C60" s="4">
        <v>221.17949999999999</v>
      </c>
      <c r="D60" s="4">
        <v>278.05849999999998</v>
      </c>
      <c r="E60" s="4">
        <f>[1]Data!AF67</f>
        <v>283.72800000000001</v>
      </c>
      <c r="F60" s="4">
        <f>[1]Data!AG67</f>
        <v>234.17949999999999</v>
      </c>
      <c r="G60" s="14">
        <f>[1]Data!AH67</f>
        <v>294.1585</v>
      </c>
      <c r="H60" s="5"/>
    </row>
    <row r="61" spans="1:9" x14ac:dyDescent="0.25">
      <c r="A61" s="13">
        <f>[1]Data!B68</f>
        <v>41579</v>
      </c>
      <c r="B61" s="4">
        <v>261.07299999999998</v>
      </c>
      <c r="C61" s="4">
        <v>217.0855</v>
      </c>
      <c r="D61" s="4">
        <v>275.48250000000002</v>
      </c>
      <c r="E61" s="4">
        <f>[1]Data!AF68</f>
        <v>277.173</v>
      </c>
      <c r="F61" s="4">
        <f>[1]Data!AG68</f>
        <v>230.0855</v>
      </c>
      <c r="G61" s="14">
        <f>[1]Data!AH68</f>
        <v>291.58250000000004</v>
      </c>
      <c r="H61" s="5"/>
    </row>
    <row r="62" spans="1:9" ht="15.75" thickBot="1" x14ac:dyDescent="0.3">
      <c r="A62" s="15">
        <f>[1]Data!B69</f>
        <v>41609</v>
      </c>
      <c r="B62" s="16">
        <v>263.43049999999999</v>
      </c>
      <c r="C62" s="16">
        <v>218.48849999999999</v>
      </c>
      <c r="D62" s="16">
        <v>276.75899999999996</v>
      </c>
      <c r="E62" s="16">
        <f>[1]Data!AF69</f>
        <v>279.53050000000002</v>
      </c>
      <c r="F62" s="16">
        <f>[1]Data!AG69</f>
        <v>231.48849999999999</v>
      </c>
      <c r="G62" s="17">
        <f>[1]Data!AH69</f>
        <v>292.85899999999998</v>
      </c>
      <c r="H62" s="18"/>
      <c r="I62" s="4"/>
    </row>
    <row r="63" spans="1:9" x14ac:dyDescent="0.25">
      <c r="A63" s="10">
        <f>[1]Data!B70</f>
        <v>41640</v>
      </c>
      <c r="B63" s="11">
        <v>272.05549999999999</v>
      </c>
      <c r="C63" s="11">
        <v>227.41249999999999</v>
      </c>
      <c r="D63" s="11">
        <v>284.13049999999998</v>
      </c>
      <c r="E63" s="11">
        <f>[1]Data!AF70</f>
        <v>288.15550000000002</v>
      </c>
      <c r="F63" s="11">
        <f>[1]Data!AG70</f>
        <v>240.41249999999999</v>
      </c>
      <c r="G63" s="12">
        <f>[1]Data!AH70</f>
        <v>300.23050000000001</v>
      </c>
      <c r="H63" s="5"/>
    </row>
    <row r="64" spans="1:9" x14ac:dyDescent="0.25">
      <c r="A64" s="13">
        <f>[1]Data!B71</f>
        <v>41671</v>
      </c>
      <c r="B64" s="4">
        <v>270.85949999999997</v>
      </c>
      <c r="C64" s="4">
        <v>220.685</v>
      </c>
      <c r="D64" s="4">
        <v>277.94349999999997</v>
      </c>
      <c r="E64" s="4">
        <f>[1]Data!AF71</f>
        <v>286.95949999999999</v>
      </c>
      <c r="F64" s="4">
        <f>[1]Data!AG71</f>
        <v>233.685</v>
      </c>
      <c r="G64" s="14">
        <f>[1]Data!AH71</f>
        <v>294.04349999999999</v>
      </c>
      <c r="H64" s="5"/>
    </row>
    <row r="65" spans="1:9" x14ac:dyDescent="0.25">
      <c r="A65" s="13">
        <f>[1]Data!B72</f>
        <v>41699</v>
      </c>
      <c r="B65" s="4">
        <v>273.654</v>
      </c>
      <c r="C65" s="4">
        <v>222.29499999999999</v>
      </c>
      <c r="D65" s="4">
        <v>280.62299999999999</v>
      </c>
      <c r="E65" s="4">
        <f>[1]Data!AF72</f>
        <v>289.75400000000002</v>
      </c>
      <c r="F65" s="4">
        <f>[1]Data!AG72</f>
        <v>235.29499999999999</v>
      </c>
      <c r="G65" s="14">
        <f>[1]Data!AH72</f>
        <v>296.72300000000001</v>
      </c>
      <c r="H65" s="5"/>
    </row>
    <row r="66" spans="1:9" x14ac:dyDescent="0.25">
      <c r="A66" s="13">
        <f>[1]Data!B73</f>
        <v>41730</v>
      </c>
      <c r="B66" s="4">
        <v>271.94049999999999</v>
      </c>
      <c r="C66" s="4">
        <v>216.798</v>
      </c>
      <c r="D66" s="4">
        <v>276.51749999999998</v>
      </c>
      <c r="E66" s="4">
        <f>[1]Data!AF73</f>
        <v>288.04050000000001</v>
      </c>
      <c r="F66" s="4">
        <f>[1]Data!AG73</f>
        <v>229.798</v>
      </c>
      <c r="G66" s="14">
        <f>[1]Data!AH73</f>
        <v>292.61750000000001</v>
      </c>
      <c r="H66" s="5"/>
    </row>
    <row r="67" spans="1:9" x14ac:dyDescent="0.25">
      <c r="A67" s="13">
        <f>[1]Data!B74</f>
        <v>41760</v>
      </c>
      <c r="B67" s="4">
        <v>271.83699999999999</v>
      </c>
      <c r="C67" s="4">
        <v>215.84349999999998</v>
      </c>
      <c r="D67" s="4">
        <v>276.54049999999995</v>
      </c>
      <c r="E67" s="4">
        <f>[1]Data!AF74</f>
        <v>287.93700000000001</v>
      </c>
      <c r="F67" s="4">
        <f>[1]Data!AG74</f>
        <v>228.84349999999998</v>
      </c>
      <c r="G67" s="14">
        <f>[1]Data!AH74</f>
        <v>292.64049999999997</v>
      </c>
      <c r="H67" s="5"/>
    </row>
    <row r="68" spans="1:9" x14ac:dyDescent="0.25">
      <c r="A68" s="13">
        <f>[1]Data!B75</f>
        <v>41791</v>
      </c>
      <c r="B68" s="4">
        <v>272.44649999999996</v>
      </c>
      <c r="C68" s="4">
        <v>215.0385</v>
      </c>
      <c r="D68" s="4">
        <v>275.94249999999994</v>
      </c>
      <c r="E68" s="4">
        <f>[1]Data!AF75</f>
        <v>288.54649999999998</v>
      </c>
      <c r="F68" s="4">
        <f>[1]Data!AG75</f>
        <v>228.0385</v>
      </c>
      <c r="G68" s="14">
        <f>[1]Data!AH75</f>
        <v>292.04249999999996</v>
      </c>
      <c r="H68" s="5"/>
    </row>
    <row r="69" spans="1:9" x14ac:dyDescent="0.25">
      <c r="A69" s="13">
        <f>[1]Data!B76</f>
        <v>41821</v>
      </c>
      <c r="B69" s="4">
        <v>275.88499999999999</v>
      </c>
      <c r="C69" s="4">
        <v>216.1885</v>
      </c>
      <c r="D69" s="4">
        <v>274.32099999999997</v>
      </c>
      <c r="E69" s="4">
        <f>[1]Data!AF76</f>
        <v>291.98500000000001</v>
      </c>
      <c r="F69" s="4">
        <f>[1]Data!AG76</f>
        <v>229.1885</v>
      </c>
      <c r="G69" s="14">
        <f>[1]Data!AH76</f>
        <v>290.42099999999999</v>
      </c>
      <c r="H69" s="5"/>
    </row>
    <row r="70" spans="1:9" x14ac:dyDescent="0.25">
      <c r="A70" s="13">
        <f>[1]Data!B77</f>
        <v>41852</v>
      </c>
      <c r="B70" s="4">
        <v>269.88200000000001</v>
      </c>
      <c r="C70" s="4">
        <v>215.2225</v>
      </c>
      <c r="D70" s="4">
        <v>267.375</v>
      </c>
      <c r="E70" s="4">
        <f>[1]Data!AF77</f>
        <v>285.98200000000003</v>
      </c>
      <c r="F70" s="4">
        <f>[1]Data!AG77</f>
        <v>228.2225</v>
      </c>
      <c r="G70" s="14">
        <f>[1]Data!AH77</f>
        <v>283.47500000000002</v>
      </c>
      <c r="H70" s="5"/>
    </row>
    <row r="71" spans="1:9" x14ac:dyDescent="0.25">
      <c r="A71" s="13">
        <f>[1]Data!B78</f>
        <v>41883</v>
      </c>
      <c r="B71" s="4">
        <v>258.267</v>
      </c>
      <c r="C71" s="4">
        <v>215.23399999999998</v>
      </c>
      <c r="D71" s="4">
        <v>267.36349999999999</v>
      </c>
      <c r="E71" s="4">
        <f>[1]Data!AF78</f>
        <v>274.36700000000002</v>
      </c>
      <c r="F71" s="4">
        <f>[1]Data!AG78</f>
        <v>228.23399999999998</v>
      </c>
      <c r="G71" s="14">
        <f>[1]Data!AH78</f>
        <v>283.46350000000001</v>
      </c>
      <c r="H71" s="5"/>
    </row>
    <row r="72" spans="1:9" x14ac:dyDescent="0.25">
      <c r="A72" s="13">
        <f>[1]Data!B79</f>
        <v>41913</v>
      </c>
      <c r="B72" s="4">
        <v>261.45249999999999</v>
      </c>
      <c r="C72" s="4">
        <v>213.3135</v>
      </c>
      <c r="D72" s="4">
        <v>264.81049999999999</v>
      </c>
      <c r="E72" s="4">
        <f>[1]Data!AF79</f>
        <v>277.55250000000001</v>
      </c>
      <c r="F72" s="4">
        <f>[1]Data!AG79</f>
        <v>226.3135</v>
      </c>
      <c r="G72" s="14">
        <f>[1]Data!AH79</f>
        <v>280.91050000000001</v>
      </c>
      <c r="H72" s="5"/>
    </row>
    <row r="73" spans="1:9" x14ac:dyDescent="0.25">
      <c r="A73" s="13">
        <f>[1]Data!B80</f>
        <v>41944</v>
      </c>
      <c r="B73" s="4">
        <v>250.59649999999996</v>
      </c>
      <c r="C73" s="4">
        <v>201.03149999999999</v>
      </c>
      <c r="D73" s="4">
        <v>251.99949999999998</v>
      </c>
      <c r="E73" s="4">
        <f>[1]Data!AF80</f>
        <v>266.69649999999996</v>
      </c>
      <c r="F73" s="4">
        <f>[1]Data!AG80</f>
        <v>214.03149999999999</v>
      </c>
      <c r="G73" s="14">
        <f>[1]Data!AH80</f>
        <v>268.09949999999998</v>
      </c>
      <c r="H73" s="5"/>
    </row>
    <row r="74" spans="1:9" ht="15.75" thickBot="1" x14ac:dyDescent="0.3">
      <c r="A74" s="15">
        <f>[1]Data!B81</f>
        <v>41974</v>
      </c>
      <c r="B74" s="16">
        <v>237.107</v>
      </c>
      <c r="C74" s="16">
        <v>194.68349999999998</v>
      </c>
      <c r="D74" s="16">
        <v>244.214</v>
      </c>
      <c r="E74" s="16">
        <f>[1]Data!AF81</f>
        <v>253.20699999999999</v>
      </c>
      <c r="F74" s="16">
        <f>[1]Data!AG81</f>
        <v>207.68349999999998</v>
      </c>
      <c r="G74" s="17">
        <f>[1]Data!AH81</f>
        <v>260.31400000000002</v>
      </c>
      <c r="H74" s="18"/>
      <c r="I74" s="4"/>
    </row>
    <row r="75" spans="1:9" x14ac:dyDescent="0.25">
      <c r="A75" s="10">
        <f>[1]Data!B82</f>
        <v>42005</v>
      </c>
      <c r="B75" s="11">
        <v>211.51949999999999</v>
      </c>
      <c r="C75" s="11">
        <v>168.37149999999997</v>
      </c>
      <c r="D75" s="11">
        <v>220.99549999999996</v>
      </c>
      <c r="E75" s="11">
        <f>[1]Data!AF82</f>
        <v>226.32586499999999</v>
      </c>
      <c r="F75" s="11">
        <f>[1]Data!AG82</f>
        <v>180.15750499999999</v>
      </c>
      <c r="G75" s="12">
        <f>[1]Data!AH82</f>
        <v>236.46518499999996</v>
      </c>
      <c r="H75" s="5"/>
    </row>
    <row r="76" spans="1:9" x14ac:dyDescent="0.25">
      <c r="A76" s="13">
        <f>[1]Data!B83</f>
        <v>42036</v>
      </c>
      <c r="B76" s="4">
        <v>190.095</v>
      </c>
      <c r="C76" s="4">
        <v>146.34899999999999</v>
      </c>
      <c r="D76" s="4">
        <v>200.26099999999997</v>
      </c>
      <c r="E76" s="4">
        <f>[1]Data!AF83</f>
        <v>203.40165000000002</v>
      </c>
      <c r="F76" s="4">
        <f>[1]Data!AG83</f>
        <v>156.59343000000001</v>
      </c>
      <c r="G76" s="14">
        <f>[1]Data!AH83</f>
        <v>214.27926999999997</v>
      </c>
      <c r="H76" s="5"/>
    </row>
    <row r="77" spans="1:9" x14ac:dyDescent="0.25">
      <c r="A77" s="13">
        <f>[1]Data!B84</f>
        <v>42064</v>
      </c>
      <c r="B77" s="4">
        <v>210.47299999999998</v>
      </c>
      <c r="C77" s="4">
        <v>163.07</v>
      </c>
      <c r="D77" s="4">
        <v>214.751</v>
      </c>
      <c r="E77" s="4">
        <f>[1]Data!AF84</f>
        <v>225.20611</v>
      </c>
      <c r="F77" s="4">
        <f>[1]Data!AG84</f>
        <v>174.48490000000001</v>
      </c>
      <c r="G77" s="14">
        <f>[1]Data!AH84</f>
        <v>229.78357000000003</v>
      </c>
      <c r="H77" s="5"/>
    </row>
    <row r="78" spans="1:9" x14ac:dyDescent="0.25">
      <c r="A78" s="13">
        <f>[1]Data!B85</f>
        <v>42095</v>
      </c>
      <c r="B78" s="4">
        <v>216.63699533112825</v>
      </c>
      <c r="C78" s="4">
        <v>158.86976017956439</v>
      </c>
      <c r="D78" s="4">
        <v>215.31690451073376</v>
      </c>
      <c r="E78" s="4">
        <f>[1]Data!AF85</f>
        <v>231.80158500430724</v>
      </c>
      <c r="F78" s="4">
        <f>[1]Data!AG85</f>
        <v>169.9906433921339</v>
      </c>
      <c r="G78" s="14">
        <f>[1]Data!AH85</f>
        <v>230.38908782648514</v>
      </c>
      <c r="H78" s="5"/>
    </row>
    <row r="79" spans="1:9" x14ac:dyDescent="0.25">
      <c r="A79" s="13">
        <f>[1]Data!B86</f>
        <v>42125</v>
      </c>
      <c r="B79" s="4">
        <v>220.12149999999997</v>
      </c>
      <c r="C79" s="4">
        <v>161.44849999999997</v>
      </c>
      <c r="D79" s="4">
        <v>217.0855</v>
      </c>
      <c r="E79" s="4">
        <f>[1]Data!AF86</f>
        <v>235.53000499999999</v>
      </c>
      <c r="F79" s="4">
        <f>[1]Data!AG86</f>
        <v>172.74989499999998</v>
      </c>
      <c r="G79" s="14">
        <f>[1]Data!AH86</f>
        <v>232.281485</v>
      </c>
      <c r="H79" s="5"/>
    </row>
    <row r="80" spans="1:9" x14ac:dyDescent="0.25">
      <c r="A80" s="13">
        <f>[1]Data!B87</f>
        <v>42156</v>
      </c>
      <c r="B80" s="4">
        <v>233.98253080885007</v>
      </c>
      <c r="C80" s="4">
        <v>172.02288791635448</v>
      </c>
      <c r="D80" s="4">
        <v>227.30272161275397</v>
      </c>
      <c r="E80" s="4">
        <f>[1]Data!AF87</f>
        <v>250.08253080885007</v>
      </c>
      <c r="F80" s="4">
        <f>[1]Data!AG87</f>
        <v>184.06449007049929</v>
      </c>
      <c r="G80" s="14">
        <f>[1]Data!AH87</f>
        <v>243.21391212564677</v>
      </c>
      <c r="H80" s="5"/>
    </row>
    <row r="81" spans="1:8" x14ac:dyDescent="0.25">
      <c r="A81" s="13">
        <f>[1]Data!B88</f>
        <v>42186</v>
      </c>
      <c r="B81" s="4">
        <v>246.08849999999998</v>
      </c>
      <c r="C81" s="4">
        <v>166.428</v>
      </c>
      <c r="D81" s="4">
        <v>232.40349999999998</v>
      </c>
      <c r="E81" s="4">
        <f>[1]Data!AF88</f>
        <v>262.18849999999998</v>
      </c>
      <c r="F81" s="4">
        <f>[1]Data!AG88</f>
        <v>178.07796000000002</v>
      </c>
      <c r="G81" s="14">
        <f>[1]Data!AH88</f>
        <v>248.50349999999997</v>
      </c>
      <c r="H81" s="5"/>
    </row>
    <row r="82" spans="1:8" x14ac:dyDescent="0.25">
      <c r="A82" s="13">
        <f>[1]Data!B89</f>
        <v>42217</v>
      </c>
      <c r="B82" s="4">
        <v>237.19051027994396</v>
      </c>
      <c r="C82" s="4">
        <v>156.6978186548213</v>
      </c>
      <c r="D82" s="4">
        <v>221.26005581436542</v>
      </c>
      <c r="E82" s="4">
        <f>[1]Data!AF89</f>
        <v>253.29051027994396</v>
      </c>
      <c r="F82" s="4">
        <f>[1]Data!AG89</f>
        <v>167.6666659606588</v>
      </c>
      <c r="G82" s="14">
        <f>[1]Data!AH89</f>
        <v>236.748259721371</v>
      </c>
      <c r="H82" s="5"/>
    </row>
    <row r="83" spans="1:8" x14ac:dyDescent="0.25">
      <c r="A83" s="13">
        <f>[1]Data!B90</f>
        <v>42248</v>
      </c>
      <c r="B83" s="4">
        <v>222.22699851087671</v>
      </c>
      <c r="C83" s="4">
        <v>144.65153759252379</v>
      </c>
      <c r="D83" s="4">
        <v>210.58530587082362</v>
      </c>
      <c r="E83" s="4">
        <f>[1]Data!AF90</f>
        <v>237.78288840663811</v>
      </c>
      <c r="F83" s="4">
        <f>[1]Data!AG90</f>
        <v>154.77714522400046</v>
      </c>
      <c r="G83" s="14">
        <f>[1]Data!AH90</f>
        <v>225.32627728178127</v>
      </c>
      <c r="H83" s="5"/>
    </row>
    <row r="84" spans="1:8" x14ac:dyDescent="0.25">
      <c r="A84" s="13">
        <f>[1]Data!B91</f>
        <v>42278</v>
      </c>
      <c r="B84" s="4">
        <v>222.34099999999998</v>
      </c>
      <c r="C84" s="4">
        <v>152.30599999999998</v>
      </c>
      <c r="D84" s="4">
        <v>216.46449999999996</v>
      </c>
      <c r="E84" s="4">
        <f>[1]Data!AF91</f>
        <v>237.90486999999999</v>
      </c>
      <c r="F84" s="4">
        <f>[1]Data!AG91</f>
        <v>162.96742</v>
      </c>
      <c r="G84" s="14">
        <f>[1]Data!AH91</f>
        <v>231.61701499999998</v>
      </c>
      <c r="H84" s="5"/>
    </row>
    <row r="85" spans="1:8" x14ac:dyDescent="0.25">
      <c r="A85" s="13">
        <f>[1]Data!B92</f>
        <v>42309</v>
      </c>
      <c r="B85" s="4">
        <v>217.72842956593979</v>
      </c>
      <c r="C85" s="4">
        <v>150.05441507464474</v>
      </c>
      <c r="D85" s="4">
        <v>212.88811405599137</v>
      </c>
      <c r="E85" s="4">
        <f>[1]Data!AF92</f>
        <v>232.9694196355556</v>
      </c>
      <c r="F85" s="4">
        <f>[1]Data!AG92</f>
        <v>160.55822412986987</v>
      </c>
      <c r="G85" s="14">
        <f>[1]Data!AH92</f>
        <v>227.79028203991078</v>
      </c>
      <c r="H85" s="5"/>
    </row>
    <row r="86" spans="1:8" ht="15.75" thickBot="1" x14ac:dyDescent="0.3">
      <c r="A86" s="15">
        <f>[1]Data!B93</f>
        <v>42339</v>
      </c>
      <c r="B86" s="16">
        <v>212.15918280568172</v>
      </c>
      <c r="C86" s="16">
        <v>147.95318629006172</v>
      </c>
      <c r="D86" s="16">
        <v>211.31303266998185</v>
      </c>
      <c r="E86" s="16">
        <f>[1]Data!AF93</f>
        <v>227.01032560207946</v>
      </c>
      <c r="F86" s="16">
        <f>[1]Data!AG93</f>
        <v>158.30990933036605</v>
      </c>
      <c r="G86" s="17">
        <f>[1]Data!AH93</f>
        <v>226.10494495688059</v>
      </c>
    </row>
    <row r="87" spans="1:8" x14ac:dyDescent="0.25">
      <c r="A87" s="10">
        <f>[1]Data!B94</f>
        <v>42370</v>
      </c>
      <c r="B87" s="11">
        <v>204.51409396214237</v>
      </c>
      <c r="C87" s="11">
        <v>129.18759589690274</v>
      </c>
      <c r="D87" s="11">
        <v>191.67194155725645</v>
      </c>
      <c r="E87" s="11">
        <f>[1]Data!AF94</f>
        <v>218.83008053949234</v>
      </c>
      <c r="F87" s="11">
        <f>[1]Data!AG94</f>
        <v>138.23072760968594</v>
      </c>
      <c r="G87" s="12">
        <f>[1]Data!AH94</f>
        <v>205.0889774662644</v>
      </c>
      <c r="H87" s="5"/>
    </row>
    <row r="88" spans="1:8" x14ac:dyDescent="0.25">
      <c r="A88" s="13">
        <f>[1]Data!B95</f>
        <v>42401</v>
      </c>
      <c r="B88" s="4">
        <v>195.62530999676352</v>
      </c>
      <c r="C88" s="4">
        <v>112.32768757893406</v>
      </c>
      <c r="D88" s="4">
        <v>173.77908700065353</v>
      </c>
      <c r="E88" s="4">
        <f>[1]Data!AF95</f>
        <v>209.31908169653698</v>
      </c>
      <c r="F88" s="4">
        <f>[1]Data!AG95</f>
        <v>120.19062570945945</v>
      </c>
      <c r="G88" s="14">
        <f>[1]Data!AH95</f>
        <v>185.9436230906993</v>
      </c>
      <c r="H88" s="5"/>
    </row>
    <row r="89" spans="1:8" x14ac:dyDescent="0.25">
      <c r="A89" s="13">
        <f>[1]Data!B96</f>
        <v>42430</v>
      </c>
      <c r="B89" s="4">
        <v>185.50609655475847</v>
      </c>
      <c r="C89" s="4">
        <v>117.58216851487613</v>
      </c>
      <c r="D89" s="4">
        <v>177.39468885369706</v>
      </c>
      <c r="E89" s="4">
        <f>[1]Data!AF96</f>
        <v>198.49152331359159</v>
      </c>
      <c r="F89" s="4">
        <f>[1]Data!AG96</f>
        <v>125.81292031091746</v>
      </c>
      <c r="G89" s="14">
        <f>[1]Data!AH96</f>
        <v>189.81231707345586</v>
      </c>
      <c r="H89" s="5"/>
    </row>
    <row r="90" spans="1:8" x14ac:dyDescent="0.25">
      <c r="A90" s="13">
        <f>[1]Data!B97</f>
        <v>42461</v>
      </c>
      <c r="B90" s="4">
        <v>198.94317004336611</v>
      </c>
      <c r="C90" s="4">
        <v>128.54188626464637</v>
      </c>
      <c r="D90" s="4">
        <v>189.09066032479862</v>
      </c>
      <c r="E90" s="4">
        <f>[1]Data!AF97</f>
        <v>212.86919194640174</v>
      </c>
      <c r="F90" s="4">
        <f>[1]Data!AG97</f>
        <v>137.53981830317161</v>
      </c>
      <c r="G90" s="14">
        <f>[1]Data!AH97</f>
        <v>202.32700654753452</v>
      </c>
      <c r="H90" s="5"/>
    </row>
    <row r="91" spans="1:8" x14ac:dyDescent="0.25">
      <c r="A91" s="13">
        <f>[1]Data!B98</f>
        <v>42491</v>
      </c>
      <c r="B91" s="4">
        <v>200.81682358513851</v>
      </c>
      <c r="C91" s="4">
        <v>131.24525697082086</v>
      </c>
      <c r="D91" s="4">
        <v>192.21706994986494</v>
      </c>
      <c r="E91" s="4">
        <f>[1]Data!AF98</f>
        <v>214.87400123609822</v>
      </c>
      <c r="F91" s="4">
        <f>[1]Data!AG98</f>
        <v>140.43242495877834</v>
      </c>
      <c r="G91" s="14">
        <f>[1]Data!AH98</f>
        <v>205.67226484635549</v>
      </c>
      <c r="H91" s="5"/>
    </row>
    <row r="92" spans="1:8" x14ac:dyDescent="0.25">
      <c r="A92" s="13">
        <f>[1]Data!B99</f>
        <v>42522</v>
      </c>
      <c r="B92" s="4">
        <v>210.39130418049004</v>
      </c>
      <c r="C92" s="4">
        <v>143.05202861222509</v>
      </c>
      <c r="D92" s="4">
        <v>205.53400513559339</v>
      </c>
      <c r="E92" s="4">
        <f>[1]Data!AF99</f>
        <v>225.11869547312435</v>
      </c>
      <c r="F92" s="4">
        <f>[1]Data!AG99</f>
        <v>153.06567061508085</v>
      </c>
      <c r="G92" s="14">
        <f>[1]Data!AH99</f>
        <v>219.92138549508493</v>
      </c>
      <c r="H92" s="5"/>
    </row>
    <row r="93" spans="1:8" x14ac:dyDescent="0.25">
      <c r="A93" s="13">
        <f>[1]Data!B100</f>
        <v>42558</v>
      </c>
      <c r="B93" s="4">
        <v>220.37020478629495</v>
      </c>
      <c r="C93" s="4">
        <v>142.45637431359413</v>
      </c>
      <c r="D93" s="4">
        <v>215.58406231707895</v>
      </c>
      <c r="E93" s="4">
        <f>[1]Data!AF100</f>
        <v>235.79611912133561</v>
      </c>
      <c r="F93" s="4">
        <f>[1]Data!AG100</f>
        <v>152.42832051554572</v>
      </c>
      <c r="G93" s="14">
        <f>[1]Data!AH100</f>
        <v>230.67494667927448</v>
      </c>
      <c r="H93" s="5"/>
    </row>
    <row r="94" spans="1:8" x14ac:dyDescent="0.25">
      <c r="A94" s="13">
        <f>[1]Data!B101</f>
        <v>42552</v>
      </c>
      <c r="B94" s="4">
        <v>220.17758062815707</v>
      </c>
      <c r="C94" s="4">
        <v>147.04394240307744</v>
      </c>
      <c r="D94" s="4">
        <v>220.17592263499481</v>
      </c>
      <c r="E94" s="4">
        <f>[1]Data!AF101</f>
        <v>235.59001127212809</v>
      </c>
      <c r="F94" s="4">
        <f>[1]Data!AG101</f>
        <v>157.33701837129286</v>
      </c>
      <c r="G94" s="14">
        <f>[1]Data!AH101</f>
        <v>235.58823721944447</v>
      </c>
      <c r="H94" s="5"/>
    </row>
    <row r="95" spans="1:8" x14ac:dyDescent="0.25">
      <c r="A95" s="13">
        <f>[1]Data!B102</f>
        <v>42583</v>
      </c>
      <c r="B95" s="4">
        <v>209.01173715610372</v>
      </c>
      <c r="C95" s="4">
        <v>140.70249999999999</v>
      </c>
      <c r="D95" s="4">
        <v>213.21964709494739</v>
      </c>
      <c r="E95" s="4">
        <f>[1]Data!AF102</f>
        <v>223.642558757031</v>
      </c>
      <c r="F95" s="4">
        <f>[1]Data!AG102</f>
        <v>150.55167499999999</v>
      </c>
      <c r="G95" s="14">
        <f>[1]Data!AH102</f>
        <v>228.14502239159373</v>
      </c>
      <c r="H95" s="5"/>
    </row>
    <row r="96" spans="1:8" x14ac:dyDescent="0.25">
      <c r="A96" s="13">
        <f>[1]Data!B103</f>
        <v>42614</v>
      </c>
      <c r="B96" s="4">
        <v>212.21213348920224</v>
      </c>
      <c r="C96" s="4">
        <v>138.87251450763907</v>
      </c>
      <c r="D96" s="4">
        <v>211.53722159979961</v>
      </c>
      <c r="E96" s="4">
        <f>[1]Data!AF103</f>
        <v>227.06698283344642</v>
      </c>
      <c r="F96" s="4">
        <f>[1]Data!AG103</f>
        <v>148.59359052317382</v>
      </c>
      <c r="G96" s="14">
        <f>[1]Data!AH103</f>
        <v>226.34482711178561</v>
      </c>
      <c r="H96" s="5"/>
    </row>
    <row r="97" spans="1:8" x14ac:dyDescent="0.25">
      <c r="A97" s="13">
        <f>[1]Data!B104</f>
        <v>42644</v>
      </c>
      <c r="B97" s="4">
        <v>218.04935699434188</v>
      </c>
      <c r="C97" s="4">
        <v>140.59043114601269</v>
      </c>
      <c r="D97" s="4">
        <v>212.85523332383752</v>
      </c>
      <c r="E97" s="4">
        <f>[1]Data!AF104</f>
        <v>233.31281198394583</v>
      </c>
      <c r="F97" s="4">
        <f>[1]Data!AG104</f>
        <v>150.43176132623358</v>
      </c>
      <c r="G97" s="14">
        <f>[1]Data!AH104</f>
        <v>227.75509965650616</v>
      </c>
      <c r="H97" s="5"/>
    </row>
    <row r="98" spans="1:8" x14ac:dyDescent="0.25">
      <c r="A98" s="13">
        <f>[1]Data!B105</f>
        <v>42675</v>
      </c>
      <c r="B98" s="4">
        <v>226.79470957319131</v>
      </c>
      <c r="C98" s="4">
        <v>151.46925302418174</v>
      </c>
      <c r="D98" s="4">
        <v>224.83057349201138</v>
      </c>
      <c r="E98" s="4">
        <f>[1]Data!AF105</f>
        <v>242.67033924331471</v>
      </c>
      <c r="F98" s="4">
        <f>[1]Data!AG105</f>
        <v>162.07210073587447</v>
      </c>
      <c r="G98" s="14">
        <f>[1]Data!AH105</f>
        <v>240.5687136364522</v>
      </c>
      <c r="H98" s="5"/>
    </row>
    <row r="99" spans="1:8" ht="15.75" thickBot="1" x14ac:dyDescent="0.3">
      <c r="A99" s="15">
        <f>[1]Data!B106</f>
        <v>42705</v>
      </c>
      <c r="B99" s="16">
        <v>221.24157255887562</v>
      </c>
      <c r="C99" s="16">
        <v>144.02977684389126</v>
      </c>
      <c r="D99" s="16">
        <v>217.90196937907444</v>
      </c>
      <c r="E99" s="16">
        <f>[1]Data!AF106</f>
        <v>236.72848263799693</v>
      </c>
      <c r="F99" s="16">
        <f>[1]Data!AG106</f>
        <v>154.11186122296365</v>
      </c>
      <c r="G99" s="17">
        <f>[1]Data!AH106</f>
        <v>233.15510723560968</v>
      </c>
    </row>
    <row r="100" spans="1:8" x14ac:dyDescent="0.25">
      <c r="A100" s="10">
        <f>[1]Data!B107</f>
        <v>42736</v>
      </c>
      <c r="B100" s="11">
        <v>236.60557533363641</v>
      </c>
      <c r="C100" s="11">
        <v>159.52978087436355</v>
      </c>
      <c r="D100" s="11">
        <v>230.31499147462614</v>
      </c>
      <c r="E100" s="11">
        <f>[1]Data!AF107</f>
        <v>252.7055753336364</v>
      </c>
      <c r="F100" s="11">
        <f>[1]Data!AG107</f>
        <v>170.696865535569</v>
      </c>
      <c r="G100" s="12">
        <f>[1]Data!AH107</f>
        <v>246.41499147462613</v>
      </c>
      <c r="H100" s="5"/>
    </row>
    <row r="101" spans="1:8" x14ac:dyDescent="0.25">
      <c r="A101" s="13">
        <f>[1]Data!B108</f>
        <v>42767</v>
      </c>
      <c r="B101" s="4">
        <v>241.03242900558422</v>
      </c>
      <c r="C101" s="4">
        <v>162.05656718264368</v>
      </c>
      <c r="D101" s="4">
        <v>234.41355866899988</v>
      </c>
      <c r="E101" s="4">
        <f>[1]Data!AF108</f>
        <v>257.13242900558424</v>
      </c>
      <c r="F101" s="4">
        <f>[1]Data!AG108</f>
        <v>173.40052688542875</v>
      </c>
      <c r="G101" s="14">
        <f>[1]Data!AH108</f>
        <v>250.51355866899988</v>
      </c>
      <c r="H101" s="5"/>
    </row>
    <row r="102" spans="1:8" x14ac:dyDescent="0.25">
      <c r="A102" s="13">
        <f>[1]Data!B109</f>
        <v>42795</v>
      </c>
      <c r="B102" s="4">
        <v>240.15707375922082</v>
      </c>
      <c r="C102" s="4">
        <v>161.92473971996969</v>
      </c>
      <c r="D102" s="4">
        <v>234.95141760962383</v>
      </c>
      <c r="E102" s="4">
        <f>[1]Data!AF109</f>
        <v>256.25707375922082</v>
      </c>
      <c r="F102" s="4">
        <f>[1]Data!AG109</f>
        <v>173.2594715003676</v>
      </c>
      <c r="G102" s="14">
        <f>[1]Data!AH109</f>
        <v>251.05141760962383</v>
      </c>
      <c r="H102" s="5"/>
    </row>
    <row r="103" spans="1:8" x14ac:dyDescent="0.25">
      <c r="A103" s="13">
        <f>[1]Data!B110</f>
        <v>42826</v>
      </c>
      <c r="B103" s="4">
        <v>232.56871949852649</v>
      </c>
      <c r="C103" s="4">
        <v>156.09851169723666</v>
      </c>
      <c r="D103" s="4">
        <v>230.35767243397407</v>
      </c>
      <c r="E103" s="4">
        <f>[1]Data!AF110</f>
        <v>248.66871949852649</v>
      </c>
      <c r="F103" s="4">
        <f>[1]Data!AG110</f>
        <v>167.02540751604323</v>
      </c>
      <c r="G103" s="14">
        <f>[1]Data!AH110</f>
        <v>246.45767243397407</v>
      </c>
      <c r="H103" s="5"/>
    </row>
    <row r="104" spans="1:8" x14ac:dyDescent="0.25">
      <c r="A104" s="13">
        <f>[1]Data!B111</f>
        <v>42856</v>
      </c>
      <c r="B104" s="4">
        <v>238.17443794077224</v>
      </c>
      <c r="C104" s="4">
        <v>160.34604024965878</v>
      </c>
      <c r="D104" s="4">
        <v>234.00204595037235</v>
      </c>
      <c r="E104" s="4">
        <f>[1]Data!AF111</f>
        <v>254.27443794077223</v>
      </c>
      <c r="F104" s="4">
        <f>[1]Data!AG111</f>
        <v>171.5702630671349</v>
      </c>
      <c r="G104" s="14">
        <f>[1]Data!AH111</f>
        <v>250.10204595037234</v>
      </c>
      <c r="H104" s="5"/>
    </row>
    <row r="105" spans="1:8" x14ac:dyDescent="0.25">
      <c r="A105" s="13">
        <f>[1]Data!B112</f>
        <v>42887</v>
      </c>
      <c r="B105" s="4">
        <v>233.42574672039279</v>
      </c>
      <c r="C105" s="4">
        <v>155.35753176237989</v>
      </c>
      <c r="D105" s="4">
        <v>228.55458339429677</v>
      </c>
      <c r="E105" s="4">
        <f>[1]Data!AF112</f>
        <v>249.52574672039279</v>
      </c>
      <c r="F105" s="4">
        <f>[1]Data!AG112</f>
        <v>166.23255898574649</v>
      </c>
      <c r="G105" s="14">
        <f>[1]Data!AH112</f>
        <v>244.55340423189756</v>
      </c>
      <c r="H105" s="5"/>
    </row>
    <row r="106" spans="1:8" x14ac:dyDescent="0.25">
      <c r="A106" s="13">
        <f>[1]Data!B113</f>
        <v>42917</v>
      </c>
      <c r="B106" s="4">
        <v>223.89942071669316</v>
      </c>
      <c r="C106" s="4">
        <v>146.33979040558859</v>
      </c>
      <c r="D106" s="4">
        <v>220.19558762735917</v>
      </c>
      <c r="E106" s="4">
        <f>[1]Data!AF113</f>
        <v>239.57238016686171</v>
      </c>
      <c r="F106" s="4">
        <f>[1]Data!AG113</f>
        <v>156.58357573397979</v>
      </c>
      <c r="G106" s="14">
        <f>[1]Data!AH113</f>
        <v>235.60927876127434</v>
      </c>
      <c r="H106" s="5"/>
    </row>
    <row r="107" spans="1:8" x14ac:dyDescent="0.25">
      <c r="A107" s="13">
        <f>[1]Data!B114</f>
        <v>42948</v>
      </c>
      <c r="B107" s="4">
        <v>222.11561626875297</v>
      </c>
      <c r="C107" s="4">
        <v>143.2638636733432</v>
      </c>
      <c r="D107" s="4">
        <v>221.94074015790633</v>
      </c>
      <c r="E107" s="4">
        <f>[1]Data!AF114</f>
        <v>237.6637094075657</v>
      </c>
      <c r="F107" s="4">
        <f>[1]Data!AG114</f>
        <v>153.29233413047723</v>
      </c>
      <c r="G107" s="14">
        <f>[1]Data!AH114</f>
        <v>237.47659196895978</v>
      </c>
      <c r="H107" s="5"/>
    </row>
    <row r="108" spans="1:8" x14ac:dyDescent="0.25">
      <c r="A108" s="13">
        <f>[1]Data!B115</f>
        <v>42979</v>
      </c>
      <c r="B108" s="4">
        <v>230.77311273170892</v>
      </c>
      <c r="C108" s="4">
        <v>148.11614916847077</v>
      </c>
      <c r="D108" s="4">
        <v>225.36303222575532</v>
      </c>
      <c r="E108" s="4">
        <f>[1]Data!AF115</f>
        <v>246.87311273170891</v>
      </c>
      <c r="F108" s="4">
        <f>[1]Data!AG115</f>
        <v>158.48427961026374</v>
      </c>
      <c r="G108" s="14">
        <f>[1]Data!AH115</f>
        <v>241.1384444815582</v>
      </c>
      <c r="H108" s="5"/>
    </row>
    <row r="109" spans="1:8" x14ac:dyDescent="0.25">
      <c r="A109" s="13">
        <f>[1]Data!B116</f>
        <v>43009</v>
      </c>
      <c r="B109" s="4">
        <v>237.0342701470278</v>
      </c>
      <c r="C109" s="4">
        <v>157.90101938283325</v>
      </c>
      <c r="D109" s="4">
        <v>235.21524661793109</v>
      </c>
      <c r="E109" s="4">
        <f>[1]Data!AF116</f>
        <v>253.13427014702779</v>
      </c>
      <c r="F109" s="4">
        <f>[1]Data!AG116</f>
        <v>168.9540907396316</v>
      </c>
      <c r="G109" s="14">
        <f>[1]Data!AH116</f>
        <v>251.31524661793108</v>
      </c>
      <c r="H109" s="5"/>
    </row>
    <row r="110" spans="1:8" x14ac:dyDescent="0.25">
      <c r="A110" s="13">
        <f>[1]Data!B117</f>
        <v>43040</v>
      </c>
      <c r="B110" s="4">
        <v>238.97547014702778</v>
      </c>
      <c r="C110" s="4">
        <v>160.47471938283323</v>
      </c>
      <c r="D110" s="4">
        <v>237.58424661793109</v>
      </c>
      <c r="E110" s="4">
        <f>[1]Data!AF117</f>
        <v>255.07547014702777</v>
      </c>
      <c r="F110" s="4">
        <f>[1]Data!AG117</f>
        <v>171.70794973963157</v>
      </c>
      <c r="G110" s="14">
        <f>[1]Data!AH117</f>
        <v>253.68424661793108</v>
      </c>
      <c r="H110" s="5"/>
    </row>
    <row r="111" spans="1:8" ht="15.75" thickBot="1" x14ac:dyDescent="0.3">
      <c r="A111" s="15">
        <f>[1]Data!B118</f>
        <v>43070</v>
      </c>
      <c r="B111" s="16">
        <v>251.75587831691107</v>
      </c>
      <c r="C111" s="16">
        <v>173.34895125500483</v>
      </c>
      <c r="D111" s="16">
        <v>248.49878075589871</v>
      </c>
      <c r="E111" s="16">
        <f>[1]Data!AF118</f>
        <v>267.85587831691106</v>
      </c>
      <c r="F111" s="16">
        <f>[1]Data!AG118</f>
        <v>185.48337784285519</v>
      </c>
      <c r="G111" s="17">
        <f>[1]Data!AH118</f>
        <v>264.5987807558987</v>
      </c>
    </row>
    <row r="112" spans="1:8" x14ac:dyDescent="0.25">
      <c r="A112" s="10">
        <f>[1]Data!B119</f>
        <v>43101</v>
      </c>
      <c r="B112" s="11">
        <v>251.75587831691107</v>
      </c>
      <c r="C112" s="11">
        <v>173.34895125500483</v>
      </c>
      <c r="D112" s="11">
        <v>248.49878075589871</v>
      </c>
      <c r="E112" s="11">
        <f>[1]Data!AF119</f>
        <v>267.85587831691106</v>
      </c>
      <c r="F112" s="11">
        <f>[1]Data!AG119</f>
        <v>185.48337784285519</v>
      </c>
      <c r="G112" s="12">
        <f>[1]Data!AH119</f>
        <v>264.5987807558987</v>
      </c>
      <c r="H112" s="5"/>
    </row>
    <row r="113" spans="1:8" x14ac:dyDescent="0.25">
      <c r="A113" s="13">
        <f>[1]Data!B120</f>
        <v>43132</v>
      </c>
      <c r="B113" s="4">
        <v>254.16493037264843</v>
      </c>
      <c r="C113" s="4">
        <v>181.3001114780036</v>
      </c>
      <c r="D113" s="4">
        <v>257.56598573708476</v>
      </c>
      <c r="E113" s="4">
        <f>[1]Data!AF120</f>
        <v>270.26493037264845</v>
      </c>
      <c r="F113" s="4">
        <f>[1]Data!AG120</f>
        <v>193.99111928146385</v>
      </c>
      <c r="G113" s="14">
        <f>[1]Data!AH120</f>
        <v>273.66598573708478</v>
      </c>
      <c r="H113" s="5"/>
    </row>
    <row r="114" spans="1:8" x14ac:dyDescent="0.25">
      <c r="A114" s="13">
        <f>[1]Data!B121</f>
        <v>43160</v>
      </c>
      <c r="B114" s="4">
        <v>251.29511557331048</v>
      </c>
      <c r="C114" s="4">
        <v>184.47066019584221</v>
      </c>
      <c r="D114" s="4">
        <v>256.65806297147873</v>
      </c>
      <c r="E114" s="4">
        <f>[1]Data!AF121</f>
        <v>267.39511557331048</v>
      </c>
      <c r="F114" s="4">
        <f>[1]Data!AG121</f>
        <v>197.38360640955119</v>
      </c>
      <c r="G114" s="14">
        <f>[1]Data!AH121</f>
        <v>272.75806297147875</v>
      </c>
      <c r="H114" s="5"/>
    </row>
    <row r="115" spans="1:8" x14ac:dyDescent="0.25">
      <c r="A115" s="13">
        <f>[1]Data!B122</f>
        <v>43191</v>
      </c>
      <c r="B115" s="4">
        <v>251.20800851182133</v>
      </c>
      <c r="C115" s="4">
        <v>179.15888089570518</v>
      </c>
      <c r="D115" s="4">
        <v>253.68160867276785</v>
      </c>
      <c r="E115" s="4">
        <f>[1]Data!AF122</f>
        <v>267.30800851182136</v>
      </c>
      <c r="F115" s="4">
        <f>[1]Data!AG122</f>
        <v>191.70000255840455</v>
      </c>
      <c r="G115" s="14">
        <f>[1]Data!AH122</f>
        <v>269.78160867276785</v>
      </c>
      <c r="H115" s="5"/>
    </row>
    <row r="116" spans="1:8" x14ac:dyDescent="0.25">
      <c r="A116" s="13">
        <f>[1]Data!B123</f>
        <v>43221</v>
      </c>
      <c r="B116" s="4">
        <v>259.40266775243248</v>
      </c>
      <c r="C116" s="4">
        <v>190.74002679637817</v>
      </c>
      <c r="D116" s="4">
        <v>264.98177827024881</v>
      </c>
      <c r="E116" s="4">
        <f>[1]Data!AF123</f>
        <v>275.5026677524325</v>
      </c>
      <c r="F116" s="4">
        <f>[1]Data!AG123</f>
        <v>203.74002679637817</v>
      </c>
      <c r="G116" s="14">
        <f>[1]Data!AH123</f>
        <v>281.08177827024883</v>
      </c>
      <c r="H116" s="5"/>
    </row>
    <row r="117" spans="1:8" x14ac:dyDescent="0.25">
      <c r="A117" s="13">
        <f>[1]Data!B124</f>
        <v>43252</v>
      </c>
      <c r="B117" s="4">
        <v>274.33492429065916</v>
      </c>
      <c r="C117" s="4">
        <v>202.22396958740831</v>
      </c>
      <c r="D117" s="4">
        <v>278.17445286498338</v>
      </c>
      <c r="E117" s="4">
        <f>[1]Data!AF124</f>
        <v>290.43492429065918</v>
      </c>
      <c r="F117" s="4">
        <f>[1]Data!AG124</f>
        <v>215.22396958740831</v>
      </c>
      <c r="G117" s="14">
        <f>[1]Data!AH124</f>
        <v>294.2744528649834</v>
      </c>
      <c r="H117" s="5"/>
    </row>
    <row r="118" spans="1:8" x14ac:dyDescent="0.25">
      <c r="A118" s="13">
        <f>[1]Data!B125</f>
        <v>43282</v>
      </c>
      <c r="B118" s="4">
        <v>267.52639370308299</v>
      </c>
      <c r="C118" s="4">
        <v>196.73563856781217</v>
      </c>
      <c r="D118" s="4">
        <v>273.30887601843165</v>
      </c>
      <c r="E118" s="4">
        <f>[1]Data!AF125</f>
        <v>283.62639370308301</v>
      </c>
      <c r="F118" s="4">
        <f>[1]Data!AG125</f>
        <v>209.73563856781217</v>
      </c>
      <c r="G118" s="14">
        <f>[1]Data!AH125</f>
        <v>289.40887601843167</v>
      </c>
      <c r="H118" s="5"/>
    </row>
    <row r="119" spans="1:8" x14ac:dyDescent="0.25">
      <c r="A119" s="13">
        <f>[1]Data!B126</f>
        <v>43313</v>
      </c>
      <c r="B119" s="4">
        <v>268.88125084954231</v>
      </c>
      <c r="C119" s="4">
        <v>199.59412377960319</v>
      </c>
      <c r="D119" s="4">
        <v>273.09726193452434</v>
      </c>
      <c r="E119" s="4">
        <f>[1]Data!AF126</f>
        <v>284.98125084954233</v>
      </c>
      <c r="F119" s="4">
        <f>[1]Data!AG126</f>
        <v>212.59412377960319</v>
      </c>
      <c r="G119" s="14">
        <f>[1]Data!AH126</f>
        <v>289.19726193452436</v>
      </c>
      <c r="H119" s="5"/>
    </row>
    <row r="120" spans="1:8" x14ac:dyDescent="0.25">
      <c r="A120" s="13">
        <f>[1]Data!B127</f>
        <v>43344</v>
      </c>
      <c r="B120" s="4">
        <v>268.71874727143779</v>
      </c>
      <c r="C120" s="4">
        <v>197.63381787998918</v>
      </c>
      <c r="D120" s="4">
        <v>276.14689712943442</v>
      </c>
      <c r="E120" s="4">
        <f>[1]Data!AF127</f>
        <v>284.81874727143781</v>
      </c>
      <c r="F120" s="4">
        <f>[1]Data!AG127</f>
        <v>210.63381787998918</v>
      </c>
      <c r="G120" s="14">
        <f>[1]Data!AH127</f>
        <v>292.24689712943444</v>
      </c>
      <c r="H120" s="5"/>
    </row>
    <row r="121" spans="1:8" x14ac:dyDescent="0.25">
      <c r="A121" s="13">
        <f>[1]Data!B128</f>
        <v>43374</v>
      </c>
      <c r="B121" s="4">
        <v>278.1743505045086</v>
      </c>
      <c r="C121" s="4">
        <v>205.93126316503447</v>
      </c>
      <c r="D121" s="4">
        <v>285.89977901165435</v>
      </c>
      <c r="E121" s="4">
        <f>[1]Data!AF128</f>
        <v>294.27435050450862</v>
      </c>
      <c r="F121" s="4">
        <f>[1]Data!AG128</f>
        <v>218.93126316503447</v>
      </c>
      <c r="G121" s="14">
        <f>[1]Data!AH128</f>
        <v>301.99977901165437</v>
      </c>
      <c r="H121" s="5"/>
    </row>
    <row r="122" spans="1:8" x14ac:dyDescent="0.25">
      <c r="A122" s="13">
        <f>[1]Data!B129</f>
        <v>43405</v>
      </c>
      <c r="B122" s="4">
        <v>274.91395151315595</v>
      </c>
      <c r="C122" s="4">
        <v>211.92691572572843</v>
      </c>
      <c r="D122" s="4">
        <v>291.16893662765369</v>
      </c>
      <c r="E122" s="4">
        <f>[1]Data!AF129</f>
        <v>291.01395151315597</v>
      </c>
      <c r="F122" s="4">
        <f>[1]Data!AG129</f>
        <v>224.92691572572843</v>
      </c>
      <c r="G122" s="14">
        <f>[1]Data!AH129</f>
        <v>307.26893662765372</v>
      </c>
      <c r="H122" s="5"/>
    </row>
    <row r="123" spans="1:8" ht="15.75" thickBot="1" x14ac:dyDescent="0.3">
      <c r="A123" s="15">
        <f>[1]Data!B130</f>
        <v>43435</v>
      </c>
      <c r="B123" s="16">
        <v>241.15585569866215</v>
      </c>
      <c r="C123" s="16">
        <v>189.15531172666607</v>
      </c>
      <c r="D123" s="16">
        <v>264.88541331156614</v>
      </c>
      <c r="E123" s="16">
        <f>[1]Data!AF130</f>
        <v>257.25585569866217</v>
      </c>
      <c r="F123" s="16">
        <f>[1]Data!AG130</f>
        <v>202.15531172666607</v>
      </c>
      <c r="G123" s="17">
        <f>[1]Data!AH130</f>
        <v>280.98541331156616</v>
      </c>
    </row>
    <row r="124" spans="1:8" x14ac:dyDescent="0.25">
      <c r="A124" s="10">
        <f>[1]Data!B131</f>
        <v>43466</v>
      </c>
      <c r="B124" s="11">
        <v>226.89867710450574</v>
      </c>
      <c r="C124" s="11">
        <v>170.01059175145875</v>
      </c>
      <c r="D124" s="11">
        <v>244.30845199225726</v>
      </c>
      <c r="E124" s="11">
        <f>[1]Data!AF131</f>
        <v>242.78158450182116</v>
      </c>
      <c r="F124" s="11">
        <f>[1]Data!AG131</f>
        <v>181.91133317406087</v>
      </c>
      <c r="G124" s="12">
        <f>[1]Data!AH131</f>
        <v>260.40845199225726</v>
      </c>
      <c r="H124" s="5"/>
    </row>
    <row r="125" spans="1:8" x14ac:dyDescent="0.25">
      <c r="A125" s="13">
        <f>[1]Data!B132</f>
        <v>43497</v>
      </c>
      <c r="B125" s="4">
        <v>233.270053094969</v>
      </c>
      <c r="C125" s="4">
        <v>172.42404445095238</v>
      </c>
      <c r="D125" s="4">
        <v>248.68859516932235</v>
      </c>
      <c r="E125" s="4">
        <f>[1]Data!AF132</f>
        <v>249.37005309496899</v>
      </c>
      <c r="F125" s="4">
        <f>[1]Data!AG132</f>
        <v>184.49372756251907</v>
      </c>
      <c r="G125" s="14">
        <f>[1]Data!AH132</f>
        <v>264.78859516932238</v>
      </c>
      <c r="H125" s="5"/>
    </row>
    <row r="126" spans="1:8" x14ac:dyDescent="0.25">
      <c r="A126" s="13">
        <f>[1]Data!B133</f>
        <v>43525</v>
      </c>
      <c r="B126" s="4">
        <v>240.95907019858396</v>
      </c>
      <c r="C126" s="4">
        <v>181.47044676746248</v>
      </c>
      <c r="D126" s="4">
        <v>261.1711682772044</v>
      </c>
      <c r="E126" s="4">
        <f>[1]Data!AF133</f>
        <v>257.05907019858398</v>
      </c>
      <c r="F126" s="4">
        <f>[1]Data!AG133</f>
        <v>194.17337804118486</v>
      </c>
      <c r="G126" s="14">
        <f>[1]Data!AH133</f>
        <v>277.27116827720442</v>
      </c>
      <c r="H126" s="5"/>
    </row>
    <row r="127" spans="1:8" x14ac:dyDescent="0.25">
      <c r="A127" s="13">
        <f>[1]Data!B134</f>
        <v>43556</v>
      </c>
      <c r="B127" s="4">
        <v>254.65817915299766</v>
      </c>
      <c r="C127" s="4">
        <v>184.52182479392454</v>
      </c>
      <c r="D127" s="4">
        <v>264.49902368848603</v>
      </c>
      <c r="E127" s="4">
        <f>[1]Data!AF134</f>
        <v>270.75817915299768</v>
      </c>
      <c r="F127" s="4">
        <f>[1]Data!AG134</f>
        <v>197.43835252949927</v>
      </c>
      <c r="G127" s="14">
        <f>[1]Data!AH134</f>
        <v>280.59902368848606</v>
      </c>
      <c r="H127" s="5"/>
    </row>
    <row r="128" spans="1:8" x14ac:dyDescent="0.25">
      <c r="A128" s="13">
        <f>[1]Data!B135</f>
        <v>43586</v>
      </c>
      <c r="B128" s="4">
        <v>266.26556474354527</v>
      </c>
      <c r="C128" s="4">
        <v>190.02691141130288</v>
      </c>
      <c r="D128" s="4">
        <v>269.21072031361558</v>
      </c>
      <c r="E128" s="4">
        <f>[1]Data!AF135</f>
        <v>282.36556474354529</v>
      </c>
      <c r="F128" s="4">
        <f>[1]Data!AG135</f>
        <v>203.02691141130288</v>
      </c>
      <c r="G128" s="14">
        <f>[1]Data!AH135</f>
        <v>285.3107203136156</v>
      </c>
      <c r="H128" s="5"/>
    </row>
    <row r="129" spans="1:8" x14ac:dyDescent="0.25">
      <c r="A129" s="13">
        <f>[1]Data!B136</f>
        <v>43617</v>
      </c>
      <c r="B129" s="4">
        <v>259.7931391551603</v>
      </c>
      <c r="C129" s="4">
        <v>189.38778463739726</v>
      </c>
      <c r="D129" s="4">
        <v>269.38885544337239</v>
      </c>
      <c r="E129" s="4">
        <f>[1]Data!AF136</f>
        <v>275.89313915516033</v>
      </c>
      <c r="F129" s="4">
        <f>[1]Data!AG136</f>
        <v>202.38778463739726</v>
      </c>
      <c r="G129" s="14">
        <f>[1]Data!AH136</f>
        <v>285.48885544337242</v>
      </c>
      <c r="H129" s="5"/>
    </row>
    <row r="130" spans="1:8" x14ac:dyDescent="0.25">
      <c r="A130" s="13">
        <f>[1]Data!B137</f>
        <v>43647</v>
      </c>
      <c r="B130" s="4">
        <v>244.35556111730202</v>
      </c>
      <c r="C130" s="4">
        <v>177.14889785636092</v>
      </c>
      <c r="D130" s="4">
        <v>255.95943446363313</v>
      </c>
      <c r="E130" s="4">
        <f>[1]Data!AF137</f>
        <v>260.45556111730201</v>
      </c>
      <c r="F130" s="4">
        <f>[1]Data!AG137</f>
        <v>189.54932070630619</v>
      </c>
      <c r="G130" s="14">
        <f>[1]Data!AH137</f>
        <v>272.05943446363312</v>
      </c>
      <c r="H130" s="5"/>
    </row>
    <row r="131" spans="1:8" x14ac:dyDescent="0.25">
      <c r="A131" s="13">
        <f>[1]Data!B138</f>
        <v>43678</v>
      </c>
      <c r="B131" s="4">
        <v>254.21523466564724</v>
      </c>
      <c r="C131" s="4">
        <v>182.91631436097853</v>
      </c>
      <c r="D131" s="4">
        <v>261.47473235297588</v>
      </c>
      <c r="E131" s="4">
        <f>[1]Data!AF138</f>
        <v>270.31523466564727</v>
      </c>
      <c r="F131" s="4">
        <f>[1]Data!AG138</f>
        <v>195.72045636624705</v>
      </c>
      <c r="G131" s="14">
        <f>[1]Data!AH138</f>
        <v>277.5747323529759</v>
      </c>
      <c r="H131" s="5"/>
    </row>
    <row r="132" spans="1:8" x14ac:dyDescent="0.25">
      <c r="A132" s="13">
        <f>[1]Data!B139</f>
        <v>43709</v>
      </c>
      <c r="B132" s="4">
        <v>254.63927470408299</v>
      </c>
      <c r="C132" s="4">
        <v>184.03955176148767</v>
      </c>
      <c r="D132" s="4">
        <v>263.83354954361675</v>
      </c>
      <c r="E132" s="4">
        <f>[1]Data!AF139</f>
        <v>270.73927470408302</v>
      </c>
      <c r="F132" s="4">
        <f>[1]Data!AG139</f>
        <v>196.92232038479182</v>
      </c>
      <c r="G132" s="14">
        <f>[1]Data!AH139</f>
        <v>279.93354954361678</v>
      </c>
      <c r="H132" s="5"/>
    </row>
    <row r="133" spans="1:8" x14ac:dyDescent="0.25">
      <c r="A133" s="13">
        <f>[1]Data!B140</f>
        <v>43739</v>
      </c>
      <c r="B133" s="4">
        <v>263.55531789154594</v>
      </c>
      <c r="C133" s="4">
        <v>190.40462344530911</v>
      </c>
      <c r="D133" s="4">
        <v>269.39338601495677</v>
      </c>
      <c r="E133" s="4">
        <f>[1]Data!AF140</f>
        <v>279.65531789154596</v>
      </c>
      <c r="F133" s="4">
        <f>[1]Data!AG140</f>
        <v>203.40462344530911</v>
      </c>
      <c r="G133" s="14">
        <f>[1]Data!AH140</f>
        <v>285.4933860149568</v>
      </c>
      <c r="H133" s="5"/>
    </row>
    <row r="134" spans="1:8" x14ac:dyDescent="0.25">
      <c r="A134" s="13">
        <f>[1]Data!B141</f>
        <v>43770</v>
      </c>
      <c r="B134" s="4">
        <v>263.75792653624325</v>
      </c>
      <c r="C134" s="4">
        <v>187.65529513365436</v>
      </c>
      <c r="D134" s="4">
        <v>269.3080994465015</v>
      </c>
      <c r="E134" s="4">
        <f>[1]Data!AF141</f>
        <v>279.85792653624327</v>
      </c>
      <c r="F134" s="4">
        <f>[1]Data!AG141</f>
        <v>200.79116579301018</v>
      </c>
      <c r="G134" s="14">
        <f>[1]Data!AH141</f>
        <v>285.40809944650152</v>
      </c>
      <c r="H134" s="5"/>
    </row>
    <row r="135" spans="1:8" ht="15.75" thickBot="1" x14ac:dyDescent="0.3">
      <c r="A135" s="15">
        <f>[1]Data!B142</f>
        <v>43800</v>
      </c>
      <c r="B135" s="16">
        <v>267.07834009188872</v>
      </c>
      <c r="C135" s="16">
        <v>186.22706273982925</v>
      </c>
      <c r="D135" s="16">
        <v>266.73590051687984</v>
      </c>
      <c r="E135" s="16">
        <f>[1]Data!AF142</f>
        <v>283.17834009188874</v>
      </c>
      <c r="F135" s="16">
        <f>[1]Data!AG142</f>
        <v>199.2629571316173</v>
      </c>
      <c r="G135" s="17">
        <f>[1]Data!AH142</f>
        <v>282.83590051687986</v>
      </c>
    </row>
    <row r="136" spans="1:8" x14ac:dyDescent="0.25">
      <c r="A136" s="10">
        <f>[1]Data!B143</f>
        <v>43831</v>
      </c>
      <c r="B136" s="11">
        <v>263.93299042813049</v>
      </c>
      <c r="C136" s="11">
        <v>190.73305992583698</v>
      </c>
      <c r="D136" s="11">
        <v>271.84597851005157</v>
      </c>
      <c r="E136" s="11">
        <v>280.03299042813052</v>
      </c>
      <c r="F136" s="11">
        <v>203.73305992583698</v>
      </c>
      <c r="G136" s="12">
        <v>287.94597851005159</v>
      </c>
      <c r="H136" s="5"/>
    </row>
    <row r="137" spans="1:8" x14ac:dyDescent="0.25">
      <c r="A137" s="13">
        <f>[1]Data!B144</f>
        <v>43862</v>
      </c>
      <c r="B137" s="4">
        <v>257.54739587910314</v>
      </c>
      <c r="C137" s="4">
        <v>186.34192125436047</v>
      </c>
      <c r="D137" s="4">
        <v>266.82085219422157</v>
      </c>
      <c r="E137" s="4">
        <v>273.64739587910316</v>
      </c>
      <c r="F137" s="4">
        <v>199.34192125436047</v>
      </c>
      <c r="G137" s="14">
        <v>282.9208521942216</v>
      </c>
      <c r="H137" s="5"/>
    </row>
    <row r="138" spans="1:8" x14ac:dyDescent="0.25">
      <c r="A138" s="13">
        <f>[1]Data!B145</f>
        <v>43891</v>
      </c>
      <c r="B138" s="4">
        <v>245.46623808153595</v>
      </c>
      <c r="C138" s="4">
        <v>164.29628374966282</v>
      </c>
      <c r="D138" s="4">
        <v>247.90914774751934</v>
      </c>
      <c r="E138" s="4">
        <v>261.56623808153597</v>
      </c>
      <c r="F138" s="4">
        <v>177.29628374966282</v>
      </c>
      <c r="G138" s="14">
        <v>264.00914774751936</v>
      </c>
      <c r="H138" s="5"/>
    </row>
    <row r="139" spans="1:8" x14ac:dyDescent="0.25">
      <c r="A139" s="13">
        <f>[1]Data!B146</f>
        <v>43922</v>
      </c>
      <c r="B139" s="4">
        <v>232.97170310414083</v>
      </c>
      <c r="C139" s="4">
        <v>152.6786382197688</v>
      </c>
      <c r="D139" s="4">
        <v>235.9856679772351</v>
      </c>
      <c r="E139" s="4">
        <v>249.07170310414082</v>
      </c>
      <c r="F139" s="4">
        <v>163.36614289515262</v>
      </c>
      <c r="G139" s="14">
        <v>252.08566797723509</v>
      </c>
      <c r="H139" s="5"/>
    </row>
    <row r="140" spans="1:8" x14ac:dyDescent="0.25">
      <c r="A140" s="13">
        <f>[1]Data!B147</f>
        <v>43952</v>
      </c>
      <c r="B140" s="4">
        <v>175.31163463807849</v>
      </c>
      <c r="C140" s="4">
        <v>104.44026913918989</v>
      </c>
      <c r="D140" s="4">
        <v>200.27895290615456</v>
      </c>
      <c r="E140" s="4">
        <v>187.58344906274399</v>
      </c>
      <c r="F140" s="4">
        <v>111.7510879789332</v>
      </c>
      <c r="G140" s="14">
        <v>214.2984796095854</v>
      </c>
      <c r="H140" s="5"/>
    </row>
    <row r="141" spans="1:8" x14ac:dyDescent="0.25">
      <c r="A141" s="13">
        <f>[1]Data!B148</f>
        <v>43983</v>
      </c>
      <c r="B141" s="4">
        <v>183.71742596043239</v>
      </c>
      <c r="C141" s="4">
        <v>97.452634717086653</v>
      </c>
      <c r="D141" s="4">
        <v>193.55658262402764</v>
      </c>
      <c r="E141" s="4">
        <v>196.57764577766267</v>
      </c>
      <c r="F141" s="4">
        <v>104.27431914728272</v>
      </c>
      <c r="G141" s="14">
        <v>207.10554340770958</v>
      </c>
      <c r="H141" s="5"/>
    </row>
    <row r="142" spans="1:8" x14ac:dyDescent="0.25">
      <c r="A142" s="13" t="s">
        <v>5</v>
      </c>
      <c r="B142" s="4">
        <v>195.42814376865155</v>
      </c>
      <c r="C142" s="4">
        <v>97.452634717086653</v>
      </c>
      <c r="D142" s="4">
        <v>205.33787577471261</v>
      </c>
      <c r="E142" s="4">
        <v>209.10811383245718</v>
      </c>
      <c r="F142" s="4">
        <v>104.27431914728272</v>
      </c>
      <c r="G142" s="14">
        <v>219.71152707894251</v>
      </c>
      <c r="H142" s="5"/>
    </row>
    <row r="143" spans="1:8" x14ac:dyDescent="0.25">
      <c r="A143" s="13">
        <v>44013</v>
      </c>
      <c r="B143" s="4">
        <v>212.56735564204283</v>
      </c>
      <c r="C143" s="4">
        <v>116.42081483889709</v>
      </c>
      <c r="D143" s="4">
        <v>215.00235793278279</v>
      </c>
      <c r="E143" s="4">
        <v>227.44707053698585</v>
      </c>
      <c r="F143" s="4">
        <v>124.57027187761989</v>
      </c>
      <c r="G143" s="14">
        <v>230.05252298807758</v>
      </c>
      <c r="H143" s="5"/>
    </row>
    <row r="144" spans="1:8" x14ac:dyDescent="0.25">
      <c r="A144" s="13">
        <v>44044</v>
      </c>
      <c r="B144" s="4">
        <v>224.75</v>
      </c>
      <c r="C144" s="4">
        <v>127.75</v>
      </c>
      <c r="D144" s="4">
        <v>228.32</v>
      </c>
      <c r="E144" s="4">
        <v>240.49</v>
      </c>
      <c r="F144" s="4">
        <v>136.69</v>
      </c>
      <c r="G144" s="14">
        <v>244.3</v>
      </c>
      <c r="H144" s="5"/>
    </row>
    <row r="145" spans="1:8" x14ac:dyDescent="0.25">
      <c r="A145" s="13">
        <v>44075</v>
      </c>
      <c r="B145" s="4">
        <v>227.66145497282994</v>
      </c>
      <c r="C145" s="4">
        <v>126.76760923683284</v>
      </c>
      <c r="D145" s="4">
        <v>227.22763080964879</v>
      </c>
      <c r="E145" s="4">
        <v>243.59775682092805</v>
      </c>
      <c r="F145" s="4">
        <v>135.64134188341114</v>
      </c>
      <c r="G145" s="14">
        <v>243.13356496632423</v>
      </c>
      <c r="H145" s="5"/>
    </row>
    <row r="146" spans="1:8" x14ac:dyDescent="0.25">
      <c r="A146" s="13">
        <v>44105</v>
      </c>
      <c r="B146" s="4">
        <v>226.07200654909539</v>
      </c>
      <c r="C146" s="4">
        <v>119.91170697676522</v>
      </c>
      <c r="D146" s="4">
        <v>218.14337617016753</v>
      </c>
      <c r="E146" s="4">
        <v>241.89704700753208</v>
      </c>
      <c r="F146" s="4">
        <v>128.3055264651388</v>
      </c>
      <c r="G146" s="14">
        <v>233.41341250207927</v>
      </c>
      <c r="H146" s="5"/>
    </row>
    <row r="147" spans="1:8" x14ac:dyDescent="0.25">
      <c r="A147" s="13">
        <v>44136</v>
      </c>
      <c r="B147" s="4">
        <v>226.20774651761278</v>
      </c>
      <c r="C147" s="4">
        <v>126.14593993649468</v>
      </c>
      <c r="D147" s="4">
        <v>220.02586168159081</v>
      </c>
      <c r="E147" s="4">
        <v>242.04228877384568</v>
      </c>
      <c r="F147" s="4">
        <v>134.97615573204931</v>
      </c>
      <c r="G147" s="14">
        <v>235.42767199930219</v>
      </c>
      <c r="H147" s="5"/>
    </row>
    <row r="148" spans="1:8" ht="15.75" thickBot="1" x14ac:dyDescent="0.3">
      <c r="A148" s="15">
        <v>44166</v>
      </c>
      <c r="B148" s="16">
        <v>226.43435931159644</v>
      </c>
      <c r="C148" s="16">
        <v>132.21679828217313</v>
      </c>
      <c r="D148" s="16">
        <v>225.29466027529682</v>
      </c>
      <c r="E148" s="16">
        <v>242.28476446340821</v>
      </c>
      <c r="F148" s="16">
        <v>141.47197416192526</v>
      </c>
      <c r="G148" s="17">
        <v>241.0652864945676</v>
      </c>
    </row>
    <row r="149" spans="1:8" x14ac:dyDescent="0.25">
      <c r="A149" s="10">
        <v>44197</v>
      </c>
      <c r="B149" s="11">
        <v>238.11485651232036</v>
      </c>
      <c r="C149" s="11">
        <v>146.69637018424223</v>
      </c>
      <c r="D149" s="11">
        <v>239.17396404883749</v>
      </c>
      <c r="E149" s="11">
        <v>254.21485651232035</v>
      </c>
      <c r="F149" s="11">
        <v>156.9651160971392</v>
      </c>
      <c r="G149" s="12">
        <v>255.27396404883748</v>
      </c>
      <c r="H149" s="5"/>
    </row>
    <row r="150" spans="1:8" x14ac:dyDescent="0.25">
      <c r="A150" s="13">
        <v>44228</v>
      </c>
      <c r="B150" s="4">
        <v>249.24418269051964</v>
      </c>
      <c r="C150" s="4">
        <v>153.64467953813121</v>
      </c>
      <c r="D150" s="4">
        <v>246.77037104508025</v>
      </c>
      <c r="E150" s="4">
        <v>265.34418269051963</v>
      </c>
      <c r="F150" s="4">
        <v>164.39980710580042</v>
      </c>
      <c r="G150" s="14">
        <v>262.87037104508028</v>
      </c>
      <c r="H150" s="5"/>
    </row>
    <row r="151" spans="1:8" x14ac:dyDescent="0.25">
      <c r="A151" s="13">
        <v>44256</v>
      </c>
      <c r="B151" s="4">
        <v>263.41688322489114</v>
      </c>
      <c r="C151" s="4">
        <v>166.60547232816302</v>
      </c>
      <c r="D151" s="4">
        <v>261.18953393497191</v>
      </c>
      <c r="E151" s="4">
        <v>279.51688322489116</v>
      </c>
      <c r="F151" s="4">
        <v>178.26785539113445</v>
      </c>
      <c r="G151" s="14">
        <v>277.28953393497193</v>
      </c>
      <c r="H151" s="5"/>
    </row>
    <row r="152" spans="1:8" x14ac:dyDescent="0.25">
      <c r="A152" s="13">
        <v>44287</v>
      </c>
      <c r="B152" s="4">
        <v>272.98083674599945</v>
      </c>
      <c r="C152" s="4">
        <v>169.57114740792107</v>
      </c>
      <c r="D152" s="4">
        <v>264.42742398985479</v>
      </c>
      <c r="E152" s="4">
        <v>289.08083674599948</v>
      </c>
      <c r="F152" s="4">
        <v>181.44112772647557</v>
      </c>
      <c r="G152" s="14">
        <v>280.52742398985481</v>
      </c>
      <c r="H152" s="5"/>
    </row>
    <row r="153" spans="1:8" x14ac:dyDescent="0.25">
      <c r="A153" s="13">
        <v>44317</v>
      </c>
      <c r="B153" s="4">
        <v>277.34034933413631</v>
      </c>
      <c r="C153" s="4">
        <v>169.11956591810173</v>
      </c>
      <c r="D153" s="4">
        <v>262.59001139772835</v>
      </c>
      <c r="E153" s="4">
        <v>293.44034933413633</v>
      </c>
      <c r="F153" s="4">
        <v>180.95793553236885</v>
      </c>
      <c r="G153" s="14">
        <v>278.69001139772837</v>
      </c>
      <c r="H153" s="5"/>
    </row>
    <row r="154" spans="1:8" x14ac:dyDescent="0.25">
      <c r="A154" s="13">
        <v>44348</v>
      </c>
      <c r="B154" s="4">
        <v>273.66490016290425</v>
      </c>
      <c r="C154" s="4">
        <v>170.48539009476318</v>
      </c>
      <c r="D154" s="4">
        <v>263.98463636628219</v>
      </c>
      <c r="E154" s="4">
        <v>289.76490016290427</v>
      </c>
      <c r="F154" s="4">
        <v>182.41936740139661</v>
      </c>
      <c r="G154" s="14">
        <v>280.08463636628221</v>
      </c>
      <c r="H154" s="5"/>
    </row>
    <row r="155" spans="1:8" x14ac:dyDescent="0.25">
      <c r="A155" s="13">
        <v>44378</v>
      </c>
      <c r="B155" s="4">
        <v>272.82248741992828</v>
      </c>
      <c r="C155" s="4">
        <v>181.64395967895837</v>
      </c>
      <c r="D155" s="4">
        <v>264.51626532032765</v>
      </c>
      <c r="E155" s="4">
        <v>288.9224874199283</v>
      </c>
      <c r="F155" s="4">
        <v>194.35903685648546</v>
      </c>
      <c r="G155" s="14">
        <v>280.61626532032767</v>
      </c>
      <c r="H155" s="5"/>
    </row>
    <row r="156" spans="1:8" x14ac:dyDescent="0.25">
      <c r="A156" s="13">
        <v>44409</v>
      </c>
      <c r="B156" s="4">
        <v>284.85000000000002</v>
      </c>
      <c r="C156" s="4">
        <v>187.02</v>
      </c>
      <c r="D156" s="4">
        <v>269.79000000000002</v>
      </c>
      <c r="E156" s="4">
        <v>300.95</v>
      </c>
      <c r="F156" s="4">
        <v>200.02</v>
      </c>
      <c r="G156" s="14">
        <v>285.89</v>
      </c>
      <c r="H156" s="5"/>
    </row>
    <row r="157" spans="1:8" x14ac:dyDescent="0.25">
      <c r="A157" s="13">
        <v>44440</v>
      </c>
      <c r="B157" s="4">
        <v>280.73845592630198</v>
      </c>
      <c r="C157" s="4">
        <v>185.03291553106519</v>
      </c>
      <c r="D157" s="4">
        <v>267.78995705887206</v>
      </c>
      <c r="E157" s="4">
        <v>296.838455926302</v>
      </c>
      <c r="F157" s="4">
        <v>197.98</v>
      </c>
      <c r="G157" s="14">
        <v>283.88995705887208</v>
      </c>
      <c r="H157" s="5"/>
    </row>
    <row r="158" spans="1:8" x14ac:dyDescent="0.25">
      <c r="A158" s="13">
        <v>44470</v>
      </c>
      <c r="B158" s="4">
        <v>284.61610034398853</v>
      </c>
      <c r="C158" s="4">
        <v>193.71888333047465</v>
      </c>
      <c r="D158" s="4">
        <v>277.40764254263206</v>
      </c>
      <c r="E158" s="4">
        <v>300.71610034398856</v>
      </c>
      <c r="F158" s="4">
        <v>206.71888333047465</v>
      </c>
      <c r="G158" s="14">
        <v>293.50764254263208</v>
      </c>
      <c r="H158" s="5"/>
    </row>
    <row r="159" spans="1:8" x14ac:dyDescent="0.25">
      <c r="A159" s="13">
        <v>44501</v>
      </c>
      <c r="B159" s="4">
        <v>309.19695817197373</v>
      </c>
      <c r="C159" s="4">
        <v>215.92452444754161</v>
      </c>
      <c r="D159" s="4">
        <v>298.55307033656158</v>
      </c>
      <c r="E159" s="4">
        <v>325.29695817197376</v>
      </c>
      <c r="F159" s="4">
        <v>228.92452444754161</v>
      </c>
      <c r="G159" s="14">
        <v>314.6530703365616</v>
      </c>
      <c r="H159" s="5"/>
    </row>
    <row r="160" spans="1:8" ht="15.75" thickBot="1" x14ac:dyDescent="0.3">
      <c r="A160" s="15">
        <v>44531</v>
      </c>
      <c r="B160" s="16">
        <v>303.10440596455788</v>
      </c>
      <c r="C160" s="16">
        <v>209.52474413663745</v>
      </c>
      <c r="D160" s="16">
        <v>292.04990906496482</v>
      </c>
      <c r="E160" s="16">
        <v>319.20440596455791</v>
      </c>
      <c r="F160" s="16">
        <v>222.52474413663745</v>
      </c>
      <c r="G160" s="17">
        <v>308.14990906496485</v>
      </c>
    </row>
    <row r="161" spans="1:8" x14ac:dyDescent="0.25">
      <c r="A161" s="10">
        <v>44562</v>
      </c>
      <c r="B161" s="11">
        <v>293.4145712451832</v>
      </c>
      <c r="C161" s="11">
        <v>202.02553256138583</v>
      </c>
      <c r="D161" s="11">
        <v>284.49487205741855</v>
      </c>
      <c r="E161" s="11">
        <v>309.51457124518322</v>
      </c>
      <c r="F161" s="11">
        <v>215.02553256138583</v>
      </c>
      <c r="G161" s="12">
        <v>300.59487205741857</v>
      </c>
      <c r="H161" s="5"/>
    </row>
    <row r="162" spans="1:8" x14ac:dyDescent="0.25">
      <c r="A162" s="13">
        <v>44593</v>
      </c>
      <c r="B162" s="4">
        <v>311.00328414115688</v>
      </c>
      <c r="C162" s="4">
        <v>223.16600780944691</v>
      </c>
      <c r="D162" s="4">
        <v>307.62010240524069</v>
      </c>
      <c r="E162" s="4">
        <v>327.10328414115691</v>
      </c>
      <c r="F162" s="4">
        <v>236.16600780944691</v>
      </c>
      <c r="G162" s="14">
        <v>323.72010240524071</v>
      </c>
      <c r="H162" s="5"/>
    </row>
    <row r="163" spans="1:8" x14ac:dyDescent="0.25">
      <c r="A163" s="13">
        <v>44621</v>
      </c>
      <c r="B163" s="4">
        <v>334.17891523220578</v>
      </c>
      <c r="C163" s="4">
        <v>242.52730494582522</v>
      </c>
      <c r="D163" s="4">
        <v>328.96360637266162</v>
      </c>
      <c r="E163" s="4">
        <v>350.2789152322058</v>
      </c>
      <c r="F163" s="4">
        <v>255.52730494582522</v>
      </c>
      <c r="G163" s="14">
        <v>345.06360637266164</v>
      </c>
      <c r="H163" s="5"/>
    </row>
    <row r="164" spans="1:8" x14ac:dyDescent="0.25">
      <c r="A164" s="13">
        <v>44652</v>
      </c>
      <c r="B164" s="4">
        <v>371.79860313941651</v>
      </c>
      <c r="C164" s="4">
        <v>292.97484869950762</v>
      </c>
      <c r="D164" s="4">
        <v>386.06368892771394</v>
      </c>
      <c r="E164" s="4">
        <v>387.89860313941654</v>
      </c>
      <c r="F164" s="4">
        <v>305.97484869950762</v>
      </c>
      <c r="G164" s="14">
        <v>402.16368892771396</v>
      </c>
      <c r="H164" s="5"/>
    </row>
    <row r="165" spans="1:8" x14ac:dyDescent="0.25">
      <c r="A165" s="13">
        <v>44682</v>
      </c>
      <c r="B165" s="4">
        <v>366.69895512982424</v>
      </c>
      <c r="C165" s="4">
        <v>296.90219906663174</v>
      </c>
      <c r="D165" s="4">
        <v>400.90988535944501</v>
      </c>
      <c r="E165" s="4">
        <v>382.79895512982426</v>
      </c>
      <c r="F165" s="4">
        <v>309.90219906663174</v>
      </c>
      <c r="G165" s="14">
        <v>417.00988535944504</v>
      </c>
      <c r="H165" s="5"/>
    </row>
    <row r="166" spans="1:8" x14ac:dyDescent="0.25">
      <c r="A166" s="13">
        <v>44713</v>
      </c>
      <c r="B166" s="4">
        <v>411.02288307121984</v>
      </c>
      <c r="C166" s="4">
        <v>321.2700313434957</v>
      </c>
      <c r="D166" s="4">
        <v>419.05908340806013</v>
      </c>
      <c r="E166" s="4">
        <v>427.12288307121986</v>
      </c>
      <c r="F166" s="4">
        <v>334.2700313434957</v>
      </c>
      <c r="G166" s="14">
        <v>435.15908340806016</v>
      </c>
      <c r="H166" s="5"/>
    </row>
    <row r="167" spans="1:8" x14ac:dyDescent="0.25">
      <c r="A167" s="13">
        <v>44743</v>
      </c>
      <c r="B167" s="4">
        <v>391.02</v>
      </c>
      <c r="C167" s="4">
        <v>301.27</v>
      </c>
      <c r="D167" s="4">
        <v>399.06</v>
      </c>
      <c r="E167" s="4">
        <v>407.12</v>
      </c>
      <c r="F167" s="4">
        <v>314.27</v>
      </c>
      <c r="G167" s="14">
        <v>415.16</v>
      </c>
      <c r="H167" s="5"/>
    </row>
    <row r="168" spans="1:8" x14ac:dyDescent="0.25">
      <c r="A168" s="13">
        <v>44774</v>
      </c>
      <c r="B168" s="4">
        <v>411.78017507619978</v>
      </c>
      <c r="C168" s="4">
        <v>345.96775175718221</v>
      </c>
      <c r="D168" s="4">
        <v>447.81068757538117</v>
      </c>
      <c r="E168" s="4">
        <v>427.88017507619981</v>
      </c>
      <c r="F168" s="4">
        <v>358.96775175718221</v>
      </c>
      <c r="G168" s="14">
        <v>463.91068757538119</v>
      </c>
      <c r="H168" s="5"/>
    </row>
    <row r="169" spans="1:8" x14ac:dyDescent="0.25">
      <c r="A169" s="13">
        <v>44805</v>
      </c>
      <c r="B169" s="4">
        <v>353.12664256249508</v>
      </c>
      <c r="C169" s="4">
        <v>294.31646130892767</v>
      </c>
      <c r="D169" s="4">
        <v>392.54953421355373</v>
      </c>
      <c r="E169" s="4">
        <v>369.2266425624951</v>
      </c>
      <c r="F169" s="4">
        <v>307.31646130892767</v>
      </c>
      <c r="G169" s="14">
        <v>408.64953421355375</v>
      </c>
      <c r="H169" s="5"/>
    </row>
    <row r="170" spans="1:8" x14ac:dyDescent="0.25">
      <c r="A170" s="13">
        <v>44835</v>
      </c>
      <c r="B170" s="4">
        <v>339.51</v>
      </c>
      <c r="C170" s="4">
        <v>299.8</v>
      </c>
      <c r="D170" s="4">
        <v>394.6</v>
      </c>
      <c r="E170" s="4">
        <v>356</v>
      </c>
      <c r="F170" s="4">
        <v>313</v>
      </c>
      <c r="G170" s="14">
        <v>411</v>
      </c>
      <c r="H170" s="5"/>
    </row>
    <row r="171" spans="1:8" x14ac:dyDescent="0.25">
      <c r="A171" s="13">
        <v>44866</v>
      </c>
      <c r="B171" s="4">
        <v>332.84</v>
      </c>
      <c r="C171" s="4">
        <v>303.58</v>
      </c>
      <c r="D171" s="4">
        <v>408.84</v>
      </c>
      <c r="E171" s="4">
        <v>349</v>
      </c>
      <c r="F171" s="4">
        <v>317</v>
      </c>
      <c r="G171" s="14">
        <v>425</v>
      </c>
      <c r="H171" s="5"/>
    </row>
    <row r="172" spans="1:8" ht="15.75" thickBot="1" x14ac:dyDescent="0.3">
      <c r="A172" s="15">
        <v>44896</v>
      </c>
      <c r="B172" s="16">
        <v>335.41</v>
      </c>
      <c r="C172" s="16">
        <v>294.62</v>
      </c>
      <c r="D172" s="16">
        <v>386.12</v>
      </c>
      <c r="E172" s="16">
        <v>352</v>
      </c>
      <c r="F172" s="16">
        <v>308</v>
      </c>
      <c r="G172" s="17">
        <v>403</v>
      </c>
    </row>
    <row r="173" spans="1:8" x14ac:dyDescent="0.25">
      <c r="A173" s="8">
        <v>44927</v>
      </c>
      <c r="B173" s="9">
        <v>318</v>
      </c>
      <c r="C173" s="9">
        <v>273.83</v>
      </c>
      <c r="D173" s="9">
        <v>359.49</v>
      </c>
      <c r="E173" s="9">
        <v>3.35</v>
      </c>
      <c r="F173" s="9">
        <v>2.87</v>
      </c>
      <c r="G173" s="9">
        <v>3.76</v>
      </c>
    </row>
    <row r="174" spans="1:8" x14ac:dyDescent="0.25">
      <c r="A174" s="3">
        <v>44958</v>
      </c>
      <c r="B174" s="4">
        <v>330.97</v>
      </c>
      <c r="C174" s="4">
        <v>276.97000000000003</v>
      </c>
      <c r="D174" s="4">
        <v>357.95</v>
      </c>
      <c r="E174" s="4">
        <v>3.48</v>
      </c>
      <c r="F174" s="4">
        <v>2.9</v>
      </c>
      <c r="G174" s="4">
        <v>3.75</v>
      </c>
    </row>
    <row r="175" spans="1:8" x14ac:dyDescent="0.25">
      <c r="A175" s="3">
        <v>44986</v>
      </c>
      <c r="B175" s="4">
        <v>335.12</v>
      </c>
      <c r="C175" s="4">
        <v>265.64</v>
      </c>
      <c r="D175" s="4">
        <v>346.7</v>
      </c>
      <c r="E175" s="4">
        <v>3.52</v>
      </c>
      <c r="F175" s="4">
        <v>2.79</v>
      </c>
      <c r="G175" s="4">
        <v>3.63</v>
      </c>
    </row>
    <row r="176" spans="1:8" x14ac:dyDescent="0.25">
      <c r="A176" s="3">
        <v>45017</v>
      </c>
      <c r="B176" s="4">
        <v>331.36</v>
      </c>
      <c r="C176" s="4">
        <v>248.92</v>
      </c>
      <c r="D176" s="4">
        <v>335.17</v>
      </c>
      <c r="E176" s="4">
        <v>3.48</v>
      </c>
      <c r="F176" s="4">
        <v>2.62</v>
      </c>
      <c r="G176" s="4">
        <v>3.52</v>
      </c>
    </row>
    <row r="177" spans="1:7" x14ac:dyDescent="0.25">
      <c r="A177" s="3">
        <v>45047</v>
      </c>
      <c r="B177" s="4">
        <v>337.24</v>
      </c>
      <c r="C177" s="4">
        <v>248.32</v>
      </c>
      <c r="D177" s="4">
        <v>330.85</v>
      </c>
      <c r="E177" s="4">
        <v>3.54</v>
      </c>
      <c r="F177" s="4">
        <v>2.62</v>
      </c>
      <c r="G177" s="4">
        <v>3.47</v>
      </c>
    </row>
    <row r="178" spans="1:7" x14ac:dyDescent="0.25">
      <c r="A178" s="3">
        <v>45078</v>
      </c>
      <c r="B178" s="2">
        <v>318.75</v>
      </c>
      <c r="C178" s="4">
        <v>232.9</v>
      </c>
      <c r="D178" s="2">
        <v>313.14</v>
      </c>
      <c r="E178" s="4">
        <v>3.35</v>
      </c>
      <c r="F178" s="4">
        <v>2.46</v>
      </c>
      <c r="G178" s="4">
        <v>3.3</v>
      </c>
    </row>
    <row r="179" spans="1:7" x14ac:dyDescent="0.25">
      <c r="A179" s="3">
        <v>45108</v>
      </c>
      <c r="B179" s="4">
        <v>318.5</v>
      </c>
      <c r="C179" s="4">
        <v>230.8</v>
      </c>
      <c r="D179" s="4">
        <v>313.60000000000002</v>
      </c>
      <c r="E179" s="4">
        <v>3.35</v>
      </c>
      <c r="F179" s="4">
        <v>2.44</v>
      </c>
      <c r="G179" s="4">
        <v>3.3</v>
      </c>
    </row>
    <row r="180" spans="1:7" x14ac:dyDescent="0.25">
      <c r="A180" s="3">
        <v>45139</v>
      </c>
      <c r="B180" s="4">
        <v>332.33</v>
      </c>
      <c r="C180" s="4">
        <v>250.26</v>
      </c>
      <c r="D180" s="4">
        <v>332.65</v>
      </c>
      <c r="E180" s="4">
        <v>3.49</v>
      </c>
      <c r="F180" s="4">
        <v>2.64</v>
      </c>
      <c r="G180" s="4">
        <v>3.49</v>
      </c>
    </row>
    <row r="181" spans="1:7" x14ac:dyDescent="0.25">
      <c r="A181" s="3">
        <v>45170</v>
      </c>
      <c r="B181" s="2">
        <v>352.14</v>
      </c>
      <c r="C181" s="2">
        <v>286.92</v>
      </c>
      <c r="D181" s="2">
        <v>368.81</v>
      </c>
      <c r="E181" s="4">
        <v>3.69</v>
      </c>
      <c r="F181" s="4">
        <v>3</v>
      </c>
      <c r="G181" s="4">
        <v>3.85</v>
      </c>
    </row>
    <row r="182" spans="1:7" x14ac:dyDescent="0.25">
      <c r="A182" s="3">
        <v>45200</v>
      </c>
      <c r="B182" s="2">
        <v>362.53</v>
      </c>
      <c r="C182" s="2">
        <v>304.36</v>
      </c>
      <c r="D182" s="2">
        <v>385.96</v>
      </c>
      <c r="E182" s="4">
        <v>3.79</v>
      </c>
      <c r="F182" s="4">
        <v>3.18</v>
      </c>
      <c r="G182" s="4">
        <v>4.03</v>
      </c>
    </row>
    <row r="183" spans="1:7" x14ac:dyDescent="0.25">
      <c r="A183" s="3">
        <v>45231</v>
      </c>
      <c r="B183" s="4">
        <v>341.84</v>
      </c>
      <c r="C183" s="4">
        <v>287.14</v>
      </c>
      <c r="D183" s="4">
        <v>371.5</v>
      </c>
      <c r="E183" s="4">
        <v>3.58</v>
      </c>
      <c r="F183" s="4">
        <v>3.01</v>
      </c>
      <c r="G183" s="4">
        <v>3.88</v>
      </c>
    </row>
    <row r="184" spans="1:7" x14ac:dyDescent="0.25">
      <c r="A184" s="3">
        <v>45261</v>
      </c>
      <c r="B184" s="4">
        <v>334.23</v>
      </c>
      <c r="C184" s="4">
        <v>267.70999999999998</v>
      </c>
      <c r="D184" s="4">
        <v>344.72</v>
      </c>
      <c r="E184" s="4">
        <v>3.51</v>
      </c>
      <c r="F184" s="4">
        <v>2.81</v>
      </c>
      <c r="G184" s="4">
        <v>3.61</v>
      </c>
    </row>
    <row r="185" spans="1:7" x14ac:dyDescent="0.25">
      <c r="A185" s="3">
        <v>45292</v>
      </c>
      <c r="B185" s="4">
        <v>321.70999999999998</v>
      </c>
      <c r="C185" s="4">
        <v>258.17</v>
      </c>
      <c r="D185" s="4">
        <v>332.33</v>
      </c>
      <c r="E185" s="4">
        <v>3.38</v>
      </c>
      <c r="F185" s="4">
        <v>2.72</v>
      </c>
      <c r="G185" s="4">
        <v>3.49</v>
      </c>
    </row>
    <row r="186" spans="1:7" x14ac:dyDescent="0.25">
      <c r="A186" s="3">
        <v>45323</v>
      </c>
      <c r="B186" s="4">
        <v>333.83</v>
      </c>
      <c r="C186" s="4">
        <v>261.41000000000003</v>
      </c>
      <c r="D186" s="4">
        <v>340.29</v>
      </c>
      <c r="E186" s="4">
        <v>3.5</v>
      </c>
      <c r="F186" s="4">
        <v>2.75</v>
      </c>
      <c r="G186" s="4">
        <v>3.57</v>
      </c>
    </row>
    <row r="187" spans="1:7" x14ac:dyDescent="0.25">
      <c r="A187" s="3">
        <v>45352</v>
      </c>
      <c r="B187" s="2">
        <v>345.26</v>
      </c>
      <c r="C187" s="2">
        <v>268.87</v>
      </c>
      <c r="D187" s="2">
        <v>351.38</v>
      </c>
      <c r="E187" s="4">
        <v>361.36</v>
      </c>
      <c r="F187" s="4">
        <v>281.87</v>
      </c>
      <c r="G187" s="4">
        <v>367.48</v>
      </c>
    </row>
    <row r="188" spans="1:7" x14ac:dyDescent="0.25">
      <c r="A188" s="3">
        <v>45383</v>
      </c>
      <c r="B188" s="2">
        <v>346.16</v>
      </c>
      <c r="C188" s="2">
        <v>265.85000000000002</v>
      </c>
      <c r="D188" s="2">
        <v>344.96</v>
      </c>
      <c r="E188" s="4">
        <v>370</v>
      </c>
      <c r="F188" s="4">
        <v>280</v>
      </c>
      <c r="G188" s="4">
        <v>360</v>
      </c>
    </row>
    <row r="189" spans="1:7" x14ac:dyDescent="0.25">
      <c r="A189" s="3">
        <v>45413</v>
      </c>
      <c r="B189" s="2">
        <v>355.22</v>
      </c>
      <c r="C189" s="2">
        <v>266.06</v>
      </c>
      <c r="D189" s="2">
        <v>346.2</v>
      </c>
      <c r="E189" s="4">
        <v>370</v>
      </c>
      <c r="F189" s="4">
        <v>280</v>
      </c>
      <c r="G189" s="4">
        <v>360</v>
      </c>
    </row>
    <row r="190" spans="1:7" x14ac:dyDescent="0.25">
      <c r="A190" s="3">
        <v>45444</v>
      </c>
      <c r="B190" s="2">
        <v>335.33</v>
      </c>
      <c r="C190" s="2">
        <v>252.85</v>
      </c>
      <c r="D190" s="2">
        <v>332.98</v>
      </c>
      <c r="E190" s="4">
        <v>355</v>
      </c>
      <c r="F190" s="4">
        <v>265</v>
      </c>
      <c r="G190" s="4">
        <v>350</v>
      </c>
    </row>
    <row r="191" spans="1:7" x14ac:dyDescent="0.25">
      <c r="A191" s="3">
        <v>45474</v>
      </c>
      <c r="B191" s="2">
        <v>329.54</v>
      </c>
      <c r="C191" s="2">
        <v>254.89</v>
      </c>
      <c r="D191" s="2">
        <v>332.95</v>
      </c>
      <c r="E191" s="4">
        <v>345</v>
      </c>
      <c r="F191" s="4">
        <v>265</v>
      </c>
      <c r="G191" s="4">
        <v>350</v>
      </c>
    </row>
    <row r="192" spans="1:7" x14ac:dyDescent="0.25">
      <c r="A192" s="3">
        <v>45505</v>
      </c>
      <c r="B192" s="2">
        <v>332.85</v>
      </c>
      <c r="C192" s="2">
        <v>253.55</v>
      </c>
      <c r="D192" s="2">
        <v>331.69</v>
      </c>
      <c r="E192" s="4">
        <v>350</v>
      </c>
      <c r="F192" s="4">
        <v>270</v>
      </c>
      <c r="G192" s="4">
        <v>350</v>
      </c>
    </row>
    <row r="193" spans="1:7" x14ac:dyDescent="0.25">
      <c r="A193" s="3">
        <v>45536</v>
      </c>
      <c r="B193" s="2">
        <v>315.87</v>
      </c>
      <c r="C193" s="2">
        <v>237.46</v>
      </c>
      <c r="D193" s="2">
        <v>315.16000000000003</v>
      </c>
      <c r="E193" s="4">
        <v>330</v>
      </c>
      <c r="F193" s="4">
        <v>250</v>
      </c>
      <c r="G193" s="4">
        <v>330</v>
      </c>
    </row>
    <row r="194" spans="1:7" x14ac:dyDescent="0.25">
      <c r="A194" s="3">
        <v>45566</v>
      </c>
      <c r="B194" s="2">
        <v>302.24</v>
      </c>
      <c r="C194" s="2">
        <v>221.98</v>
      </c>
      <c r="D194" s="2">
        <v>298.19</v>
      </c>
      <c r="E194" s="4">
        <v>320</v>
      </c>
      <c r="F194" s="4">
        <v>235</v>
      </c>
      <c r="G194" s="4">
        <v>315</v>
      </c>
    </row>
    <row r="195" spans="1:7" x14ac:dyDescent="0.25">
      <c r="A195" s="3">
        <v>45597</v>
      </c>
      <c r="B195" s="2">
        <v>301.04000000000002</v>
      </c>
      <c r="C195" s="2">
        <v>220.8</v>
      </c>
      <c r="D195" s="2">
        <v>296.44</v>
      </c>
      <c r="E195" s="4">
        <v>315</v>
      </c>
      <c r="F195" s="4">
        <v>235</v>
      </c>
      <c r="G195" s="4">
        <v>315</v>
      </c>
    </row>
    <row r="196" spans="1:7" x14ac:dyDescent="0.25">
      <c r="A196" s="3">
        <v>45627</v>
      </c>
      <c r="B196" s="2">
        <v>307.63</v>
      </c>
      <c r="C196" s="2">
        <v>228.15</v>
      </c>
      <c r="D196" s="2">
        <v>303.94</v>
      </c>
      <c r="E196" s="4">
        <v>325</v>
      </c>
      <c r="F196" s="4">
        <v>240</v>
      </c>
      <c r="G196" s="4">
        <v>315</v>
      </c>
    </row>
    <row r="197" spans="1:7" x14ac:dyDescent="0.25">
      <c r="A197" s="3">
        <v>45658</v>
      </c>
      <c r="B197" s="2">
        <v>305.8</v>
      </c>
      <c r="C197" s="2">
        <v>231.5</v>
      </c>
      <c r="D197" s="2">
        <v>306.88</v>
      </c>
      <c r="E197" s="4">
        <v>325</v>
      </c>
      <c r="F197" s="4">
        <v>245</v>
      </c>
      <c r="G197" s="4">
        <v>320</v>
      </c>
    </row>
    <row r="198" spans="1:7" x14ac:dyDescent="0.25">
      <c r="A198" s="3">
        <v>45689</v>
      </c>
      <c r="B198" s="2">
        <v>308.41000000000003</v>
      </c>
      <c r="C198" s="2">
        <v>230.93</v>
      </c>
      <c r="D198" s="2">
        <v>308.66000000000003</v>
      </c>
      <c r="E198" s="4">
        <v>325</v>
      </c>
      <c r="F198" s="4">
        <v>245</v>
      </c>
      <c r="G198" s="4">
        <v>325</v>
      </c>
    </row>
    <row r="199" spans="1:7" x14ac:dyDescent="0.25">
      <c r="A199" s="3">
        <v>45717</v>
      </c>
      <c r="B199" s="2">
        <v>314.52999999999997</v>
      </c>
      <c r="C199" s="2">
        <v>243.74</v>
      </c>
      <c r="D199" s="2">
        <v>322.99</v>
      </c>
      <c r="E199" s="4">
        <v>330</v>
      </c>
      <c r="F199" s="4">
        <v>255</v>
      </c>
      <c r="G199" s="4">
        <v>340</v>
      </c>
    </row>
    <row r="200" spans="1:7" x14ac:dyDescent="0.25">
      <c r="A200" s="3">
        <v>45748</v>
      </c>
      <c r="B200" s="2">
        <v>313.64999999999998</v>
      </c>
      <c r="C200" s="2">
        <v>240.44</v>
      </c>
      <c r="D200" s="2">
        <v>316.17</v>
      </c>
      <c r="E200" s="4">
        <v>330</v>
      </c>
      <c r="F200" s="4">
        <v>255</v>
      </c>
      <c r="G200" s="4">
        <v>335</v>
      </c>
    </row>
    <row r="201" spans="1:7" x14ac:dyDescent="0.25">
      <c r="A201" s="3"/>
    </row>
    <row r="202" spans="1:7" x14ac:dyDescent="0.25">
      <c r="A202" s="3"/>
    </row>
  </sheetData>
  <mergeCells count="2">
    <mergeCell ref="B1:D1"/>
    <mergeCell ref="E1:G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Sione 'Akau</cp:lastModifiedBy>
  <dcterms:created xsi:type="dcterms:W3CDTF">2020-06-01T02:34:30Z</dcterms:created>
  <dcterms:modified xsi:type="dcterms:W3CDTF">2026-04-01T02:45:11Z</dcterms:modified>
</cp:coreProperties>
</file>