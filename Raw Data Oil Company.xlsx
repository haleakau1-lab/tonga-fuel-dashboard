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ea\Nextcloud\Documents\Petroleum\"/>
    </mc:Choice>
  </mc:AlternateContent>
  <xr:revisionPtr revIDLastSave="0" documentId="13_ncr:1_{3A8E068D-3CCA-41B4-BF52-1EE793874C70}" xr6:coauthVersionLast="47" xr6:coauthVersionMax="47" xr10:uidLastSave="{00000000-0000-0000-0000-000000000000}"/>
  <bookViews>
    <workbookView xWindow="-105" yWindow="0" windowWidth="14610" windowHeight="15585" firstSheet="4" activeTab="4" xr2:uid="{2321E7CB-9D14-4AF8-907B-0A622BD8B578}"/>
  </bookViews>
  <sheets>
    <sheet name="Actual_Company2 Tongatapu" sheetId="1" r:id="rId1"/>
    <sheet name="Actual_Company2 Vava'u" sheetId="2" r:id="rId2"/>
    <sheet name="Actual_Company1 Tongatapu" sheetId="3" r:id="rId3"/>
    <sheet name="Resupply_Company1" sheetId="4" r:id="rId4"/>
    <sheet name="Resupply_Company2 Tongatapu" sheetId="5" r:id="rId5"/>
    <sheet name="Resupply_Company2 Vava'u" sheetId="6" r:id="rId6"/>
    <sheet name="Terminal_Company2 Tongatapu" sheetId="7" r:id="rId7"/>
    <sheet name="Terminal_Company2 Vava'u" sheetId="8" r:id="rId8"/>
    <sheet name="Terminal_Company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D4" i="9"/>
  <c r="D5" i="9" s="1"/>
  <c r="F5" i="8"/>
  <c r="E5" i="8"/>
  <c r="G5" i="7"/>
  <c r="F5" i="7"/>
  <c r="E5" i="7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F19" i="3"/>
  <c r="G19" i="3" s="1"/>
  <c r="F18" i="3"/>
  <c r="G18" i="3" s="1"/>
  <c r="F17" i="3"/>
  <c r="G17" i="3" s="1"/>
  <c r="G16" i="3"/>
  <c r="G15" i="3"/>
  <c r="G14" i="3"/>
  <c r="G13" i="3"/>
  <c r="G12" i="3"/>
  <c r="G11" i="3"/>
  <c r="G10" i="3"/>
  <c r="G9" i="3"/>
  <c r="G8" i="3"/>
  <c r="G7" i="3"/>
  <c r="G6" i="3"/>
  <c r="G5" i="3"/>
  <c r="G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G3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<sst xmlns="http://schemas.openxmlformats.org/spreadsheetml/2006/main" count="76" uniqueCount="24">
  <si>
    <t>Petrol (litres)</t>
  </si>
  <si>
    <t>Diesel (litres)</t>
  </si>
  <si>
    <t>Jet A1- Kerosene (litres)</t>
  </si>
  <si>
    <t>Closing Stock</t>
  </si>
  <si>
    <t>Offtake</t>
  </si>
  <si>
    <t>Offtake - Tonga Power</t>
  </si>
  <si>
    <t>Offtake - Remainder</t>
  </si>
  <si>
    <t>Offtake - Total</t>
  </si>
  <si>
    <t>Date</t>
  </si>
  <si>
    <t>Next resupply 1</t>
  </si>
  <si>
    <t>Next resupply 2</t>
  </si>
  <si>
    <t>Next resupply 3</t>
  </si>
  <si>
    <t>Next resupply 4</t>
  </si>
  <si>
    <t>Next resupply 5</t>
  </si>
  <si>
    <t>Kerosene (litres)</t>
  </si>
  <si>
    <t>Tongatapu</t>
  </si>
  <si>
    <t>Petrol</t>
  </si>
  <si>
    <t>Diesel</t>
  </si>
  <si>
    <t>Jet A1 - Kerosene</t>
  </si>
  <si>
    <t>Safe fill capacity</t>
  </si>
  <si>
    <t>(litres)</t>
  </si>
  <si>
    <t>Unpumpable tank capacity</t>
  </si>
  <si>
    <t>Pumpable tank capacity</t>
  </si>
  <si>
    <t>Vava'u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</si>
</sst>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"/>
    <numFmt numFmtId="166" formatCode="ddd\ dd\ mmm\ \'yy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4" fontId="0" fillId="3" borderId="9" xfId="0" applyNumberFormat="1" applyFill="1" applyBorder="1" applyAlignment="1" applyProtection="1">
      <alignment horizontal="right" vertical="center"/>
      <protection locked="0"/>
    </xf>
    <xf numFmtId="164" fontId="0" fillId="3" borderId="8" xfId="0" applyNumberFormat="1" applyFill="1" applyBorder="1" applyAlignment="1" applyProtection="1">
      <alignment horizontal="right" vertical="center"/>
      <protection locked="0"/>
    </xf>
    <xf numFmtId="164" fontId="2" fillId="3" borderId="8" xfId="0" applyNumberFormat="1" applyFont="1" applyFill="1" applyBorder="1" applyAlignment="1" applyProtection="1">
      <alignment horizontal="right" vertical="center"/>
      <protection locked="0"/>
    </xf>
    <xf numFmtId="164" fontId="5" fillId="0" borderId="0" xfId="0" applyNumberFormat="1" applyFont="1" applyAlignment="1">
      <alignment horizontal="right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164" fontId="4" fillId="2" borderId="18" xfId="0" applyNumberFormat="1" applyFont="1" applyFill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164" fontId="4" fillId="2" borderId="2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6" fontId="0" fillId="3" borderId="9" xfId="0" applyNumberFormat="1" applyFill="1" applyBorder="1" applyAlignment="1" applyProtection="1">
      <alignment horizontal="center" vertical="center"/>
      <protection locked="0"/>
    </xf>
    <xf numFmtId="3" fontId="0" fillId="3" borderId="9" xfId="0" applyNumberFormat="1" applyFill="1" applyBorder="1" applyAlignment="1" applyProtection="1">
      <alignment horizontal="center" vertical="center"/>
      <protection locked="0"/>
    </xf>
    <xf numFmtId="166" fontId="0" fillId="3" borderId="8" xfId="0" applyNumberFormat="1" applyFill="1" applyBorder="1" applyAlignment="1" applyProtection="1">
      <alignment horizontal="center" vertical="center"/>
      <protection locked="0"/>
    </xf>
    <xf numFmtId="3" fontId="0" fillId="3" borderId="8" xfId="0" applyNumberForma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 applyProtection="1">
      <alignment horizontal="right" vertical="center"/>
      <protection locked="0"/>
    </xf>
    <xf numFmtId="164" fontId="7" fillId="3" borderId="8" xfId="0" applyNumberFormat="1" applyFont="1" applyFill="1" applyBorder="1" applyAlignment="1" applyProtection="1">
      <alignment horizontal="right" vertical="center"/>
      <protection locked="0"/>
    </xf>
    <xf numFmtId="164" fontId="0" fillId="0" borderId="8" xfId="0" applyNumberFormat="1" applyBorder="1" applyAlignment="1">
      <alignment horizontal="right" vertical="center"/>
    </xf>
    <xf numFmtId="164" fontId="4" fillId="2" borderId="14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 applyProtection="1">
      <alignment horizontal="right" vertical="center"/>
      <protection locked="0"/>
    </xf>
    <xf numFmtId="164" fontId="0" fillId="4" borderId="0" xfId="0" applyNumberFormat="1" applyFill="1" applyAlignment="1">
      <alignment horizontal="right" vertical="center"/>
    </xf>
    <xf numFmtId="164" fontId="4" fillId="4" borderId="0" xfId="0" applyNumberFormat="1" applyFont="1" applyFill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AD8D-483C-4C74-B10F-1E85A720BC3F}">
  <dimension ref="A1:K34"/>
  <sheetViews>
    <sheetView workbookViewId="0">
      <selection activeCell="I24" sqref="I24"/>
    </sheetView>
  </sheetViews>
  <sheetFormatPr defaultRowHeight="15" x14ac:dyDescent="0.25"/>
  <cols>
    <col min="1" max="1" width="11" customWidth="1"/>
    <col min="2" max="2" width="12.42578125" bestFit="1" customWidth="1"/>
    <col min="5" max="5" width="11.140625" bestFit="1" customWidth="1"/>
    <col min="6" max="10" width="8" bestFit="1" customWidth="1"/>
    <col min="11" max="11" width="7.28515625" bestFit="1" customWidth="1"/>
  </cols>
  <sheetData>
    <row r="1" spans="1:11" ht="21" x14ac:dyDescent="0.25">
      <c r="B1" s="38" t="s">
        <v>0</v>
      </c>
      <c r="C1" s="39"/>
      <c r="D1" s="39" t="s">
        <v>1</v>
      </c>
      <c r="E1" s="39"/>
      <c r="F1" s="39" t="s">
        <v>2</v>
      </c>
      <c r="G1" s="40"/>
      <c r="H1" s="1"/>
      <c r="I1" s="1"/>
      <c r="J1" s="1"/>
      <c r="K1" s="1"/>
    </row>
    <row r="2" spans="1:11" ht="30" x14ac:dyDescent="0.25">
      <c r="B2" s="2" t="s">
        <v>3</v>
      </c>
      <c r="C2" s="3" t="s">
        <v>4</v>
      </c>
      <c r="D2" s="4" t="s">
        <v>3</v>
      </c>
      <c r="E2" s="3" t="s">
        <v>4</v>
      </c>
      <c r="F2" s="4" t="s">
        <v>3</v>
      </c>
      <c r="G2" s="5" t="s">
        <v>4</v>
      </c>
    </row>
    <row r="3" spans="1:11" x14ac:dyDescent="0.25">
      <c r="A3" s="6">
        <v>46098</v>
      </c>
      <c r="B3" s="7">
        <v>760533</v>
      </c>
      <c r="C3" s="7">
        <v>55200</v>
      </c>
      <c r="D3" s="7">
        <v>634040</v>
      </c>
      <c r="E3" s="7">
        <v>77500</v>
      </c>
      <c r="F3" s="7">
        <v>339785</v>
      </c>
      <c r="G3" s="7">
        <v>38600</v>
      </c>
    </row>
    <row r="4" spans="1:11" x14ac:dyDescent="0.25">
      <c r="A4" s="6">
        <f>A3+1</f>
        <v>46099</v>
      </c>
      <c r="B4" s="8">
        <v>690540</v>
      </c>
      <c r="C4" s="8">
        <v>70600</v>
      </c>
      <c r="D4" s="8">
        <v>578425</v>
      </c>
      <c r="E4" s="8">
        <v>55300</v>
      </c>
      <c r="F4" s="8">
        <v>339500</v>
      </c>
      <c r="G4" s="8">
        <v>200</v>
      </c>
    </row>
    <row r="5" spans="1:11" x14ac:dyDescent="0.25">
      <c r="A5" s="6">
        <f t="shared" ref="A5:A34" si="0">A4+1</f>
        <v>46100</v>
      </c>
      <c r="B5" s="8">
        <v>615514</v>
      </c>
      <c r="C5" s="8">
        <v>75200</v>
      </c>
      <c r="D5" s="8">
        <v>491946</v>
      </c>
      <c r="E5" s="8">
        <v>86600</v>
      </c>
      <c r="F5" s="8">
        <v>339500</v>
      </c>
      <c r="G5" s="8">
        <v>0</v>
      </c>
    </row>
    <row r="6" spans="1:11" x14ac:dyDescent="0.25">
      <c r="A6" s="6">
        <f t="shared" si="0"/>
        <v>46101</v>
      </c>
      <c r="B6" s="8">
        <v>500273</v>
      </c>
      <c r="C6" s="8">
        <v>113200</v>
      </c>
      <c r="D6" s="8">
        <v>424838</v>
      </c>
      <c r="E6" s="8">
        <v>67100</v>
      </c>
      <c r="F6" s="8">
        <v>296708</v>
      </c>
      <c r="G6" s="8">
        <v>43800</v>
      </c>
    </row>
    <row r="7" spans="1:11" x14ac:dyDescent="0.25">
      <c r="A7" s="6">
        <f t="shared" si="0"/>
        <v>46102</v>
      </c>
      <c r="B7" s="8">
        <v>500273</v>
      </c>
      <c r="C7" s="8">
        <v>0</v>
      </c>
      <c r="D7" s="8">
        <v>424838</v>
      </c>
      <c r="E7" s="8">
        <v>0</v>
      </c>
      <c r="F7" s="8">
        <v>296708</v>
      </c>
      <c r="G7" s="8">
        <v>0</v>
      </c>
    </row>
    <row r="8" spans="1:11" x14ac:dyDescent="0.25">
      <c r="A8" s="6">
        <f t="shared" si="0"/>
        <v>46103</v>
      </c>
      <c r="B8" s="8">
        <v>500273</v>
      </c>
      <c r="C8" s="8">
        <v>0</v>
      </c>
      <c r="D8" s="8">
        <v>424838</v>
      </c>
      <c r="E8" s="8">
        <v>0</v>
      </c>
      <c r="F8" s="8">
        <v>296708</v>
      </c>
      <c r="G8" s="8">
        <v>0</v>
      </c>
    </row>
    <row r="9" spans="1:11" x14ac:dyDescent="0.25">
      <c r="A9" s="6">
        <f t="shared" si="0"/>
        <v>46104</v>
      </c>
      <c r="B9" s="8">
        <v>400940</v>
      </c>
      <c r="C9" s="8">
        <v>99540</v>
      </c>
      <c r="D9" s="8">
        <v>376262</v>
      </c>
      <c r="E9" s="8">
        <v>48800</v>
      </c>
      <c r="F9" s="8">
        <v>296696</v>
      </c>
      <c r="G9" s="8">
        <v>200</v>
      </c>
    </row>
    <row r="10" spans="1:11" x14ac:dyDescent="0.25">
      <c r="A10" s="6">
        <f t="shared" si="0"/>
        <v>46105</v>
      </c>
      <c r="B10" s="8">
        <v>341003</v>
      </c>
      <c r="C10" s="8">
        <v>59800</v>
      </c>
      <c r="D10" s="8">
        <v>348535</v>
      </c>
      <c r="E10" s="8">
        <v>27800</v>
      </c>
      <c r="F10" s="8">
        <v>237758</v>
      </c>
      <c r="G10" s="8">
        <v>46600</v>
      </c>
    </row>
    <row r="11" spans="1:11" x14ac:dyDescent="0.25">
      <c r="A11" s="6">
        <f t="shared" si="0"/>
        <v>46106</v>
      </c>
      <c r="B11" s="8">
        <v>289512</v>
      </c>
      <c r="C11" s="8">
        <v>51500</v>
      </c>
      <c r="D11" s="8">
        <v>318704</v>
      </c>
      <c r="E11" s="8">
        <v>30000</v>
      </c>
      <c r="F11" s="8">
        <v>246962</v>
      </c>
      <c r="G11" s="8">
        <v>2400</v>
      </c>
    </row>
    <row r="12" spans="1:11" x14ac:dyDescent="0.25">
      <c r="A12" s="6">
        <f t="shared" si="0"/>
        <v>46107</v>
      </c>
      <c r="B12" s="8">
        <v>226543</v>
      </c>
      <c r="C12" s="8">
        <v>63300</v>
      </c>
      <c r="D12" s="8">
        <v>281351</v>
      </c>
      <c r="E12" s="8">
        <v>26900</v>
      </c>
      <c r="F12" s="8">
        <v>228225</v>
      </c>
      <c r="G12" s="8">
        <v>18700</v>
      </c>
    </row>
    <row r="13" spans="1:11" x14ac:dyDescent="0.25">
      <c r="A13" s="6">
        <f t="shared" si="0"/>
        <v>46108</v>
      </c>
      <c r="B13" s="8">
        <v>965601</v>
      </c>
      <c r="C13" s="8">
        <v>92400</v>
      </c>
      <c r="D13" s="8">
        <v>639390</v>
      </c>
      <c r="E13" s="8">
        <v>43500</v>
      </c>
      <c r="F13" s="8">
        <v>595090</v>
      </c>
      <c r="G13" s="8">
        <v>400</v>
      </c>
    </row>
    <row r="14" spans="1:11" x14ac:dyDescent="0.25">
      <c r="A14" s="6">
        <f t="shared" si="0"/>
        <v>46109</v>
      </c>
      <c r="B14" s="8">
        <v>965601</v>
      </c>
      <c r="C14" s="8">
        <v>0</v>
      </c>
      <c r="D14" s="8">
        <v>639390</v>
      </c>
      <c r="E14" s="8">
        <v>0</v>
      </c>
      <c r="F14" s="8">
        <v>595090</v>
      </c>
      <c r="G14" s="8">
        <v>0</v>
      </c>
    </row>
    <row r="15" spans="1:11" x14ac:dyDescent="0.25">
      <c r="A15" s="6">
        <f t="shared" si="0"/>
        <v>46110</v>
      </c>
      <c r="B15" s="8">
        <v>965601</v>
      </c>
      <c r="C15" s="8">
        <v>0</v>
      </c>
      <c r="D15" s="8">
        <v>639390</v>
      </c>
      <c r="E15" s="8">
        <v>0</v>
      </c>
      <c r="F15" s="8">
        <v>595090</v>
      </c>
      <c r="G15" s="8">
        <v>0</v>
      </c>
    </row>
    <row r="16" spans="1:11" x14ac:dyDescent="0.25">
      <c r="A16" s="6">
        <f t="shared" si="0"/>
        <v>46111</v>
      </c>
      <c r="B16" s="8">
        <v>794190</v>
      </c>
      <c r="C16" s="8">
        <v>143450</v>
      </c>
      <c r="D16" s="8">
        <v>515573</v>
      </c>
      <c r="E16" s="8">
        <v>120400</v>
      </c>
      <c r="F16" s="8">
        <v>400527</v>
      </c>
      <c r="G16" s="8">
        <v>10200</v>
      </c>
    </row>
    <row r="17" spans="1:7" x14ac:dyDescent="0.25">
      <c r="A17" s="6">
        <f t="shared" si="0"/>
        <v>46112</v>
      </c>
      <c r="B17" s="8">
        <v>634730</v>
      </c>
      <c r="C17" s="8">
        <v>158100</v>
      </c>
      <c r="D17" s="8">
        <v>358173</v>
      </c>
      <c r="E17" s="8">
        <v>157300</v>
      </c>
      <c r="F17" s="8">
        <v>349463</v>
      </c>
      <c r="G17" s="8">
        <v>46000</v>
      </c>
    </row>
    <row r="18" spans="1:7" x14ac:dyDescent="0.25">
      <c r="A18" s="6">
        <f t="shared" si="0"/>
        <v>46113</v>
      </c>
      <c r="B18" s="8">
        <v>628492</v>
      </c>
      <c r="C18" s="8">
        <v>5400</v>
      </c>
      <c r="D18" s="8">
        <v>348251</v>
      </c>
      <c r="E18" s="8">
        <v>10000</v>
      </c>
      <c r="F18" s="8">
        <v>325604</v>
      </c>
      <c r="G18" s="8">
        <v>23700</v>
      </c>
    </row>
    <row r="19" spans="1:7" x14ac:dyDescent="0.25">
      <c r="A19" s="6">
        <f t="shared" si="0"/>
        <v>46114</v>
      </c>
      <c r="B19" s="9">
        <v>500125</v>
      </c>
      <c r="C19" s="9">
        <v>127700</v>
      </c>
      <c r="D19" s="9">
        <v>313734</v>
      </c>
      <c r="E19" s="9">
        <v>34400</v>
      </c>
      <c r="F19" s="9">
        <v>269126</v>
      </c>
      <c r="G19" s="9">
        <v>56300</v>
      </c>
    </row>
    <row r="20" spans="1:7" x14ac:dyDescent="0.25">
      <c r="A20" s="6">
        <f t="shared" si="0"/>
        <v>46115</v>
      </c>
      <c r="B20" s="8">
        <v>500125</v>
      </c>
      <c r="C20" s="8">
        <v>0</v>
      </c>
      <c r="D20" s="8">
        <v>313734</v>
      </c>
      <c r="E20" s="8">
        <v>0</v>
      </c>
      <c r="F20" s="8">
        <v>269126</v>
      </c>
      <c r="G20" s="8">
        <v>0</v>
      </c>
    </row>
    <row r="21" spans="1:7" x14ac:dyDescent="0.25">
      <c r="A21" s="6">
        <f t="shared" si="0"/>
        <v>46116</v>
      </c>
      <c r="B21" s="8">
        <v>500125</v>
      </c>
      <c r="C21" s="8">
        <v>0</v>
      </c>
      <c r="D21" s="8">
        <v>313734</v>
      </c>
      <c r="E21" s="8">
        <v>0</v>
      </c>
      <c r="F21" s="8">
        <v>269126</v>
      </c>
      <c r="G21" s="8">
        <v>0</v>
      </c>
    </row>
    <row r="22" spans="1:7" x14ac:dyDescent="0.25">
      <c r="A22" s="6">
        <f t="shared" si="0"/>
        <v>46117</v>
      </c>
      <c r="B22" s="9">
        <v>500125</v>
      </c>
      <c r="C22" s="9">
        <v>0</v>
      </c>
      <c r="D22" s="9">
        <v>313734</v>
      </c>
      <c r="E22" s="9">
        <v>0</v>
      </c>
      <c r="F22" s="9">
        <v>269126</v>
      </c>
      <c r="G22" s="9">
        <v>0</v>
      </c>
    </row>
    <row r="23" spans="1:7" x14ac:dyDescent="0.25">
      <c r="A23" s="6">
        <f t="shared" si="0"/>
        <v>46118</v>
      </c>
      <c r="B23" s="8">
        <v>500125</v>
      </c>
      <c r="C23" s="8">
        <v>0</v>
      </c>
      <c r="D23" s="8">
        <v>313734</v>
      </c>
      <c r="E23" s="8">
        <v>0</v>
      </c>
      <c r="F23" s="8">
        <v>269126</v>
      </c>
      <c r="G23" s="8">
        <v>0</v>
      </c>
    </row>
    <row r="24" spans="1:7" x14ac:dyDescent="0.25">
      <c r="A24" s="6">
        <f t="shared" si="0"/>
        <v>46119</v>
      </c>
      <c r="B24" s="8">
        <v>400893</v>
      </c>
      <c r="C24" s="8">
        <v>99700</v>
      </c>
      <c r="D24" s="8">
        <v>252748</v>
      </c>
      <c r="E24" s="8">
        <v>61400</v>
      </c>
      <c r="F24" s="8">
        <v>250338</v>
      </c>
      <c r="G24" s="8">
        <v>18900</v>
      </c>
    </row>
    <row r="25" spans="1:7" x14ac:dyDescent="0.25">
      <c r="A25" s="6">
        <f t="shared" si="0"/>
        <v>46120</v>
      </c>
      <c r="B25" s="9">
        <v>345157</v>
      </c>
      <c r="C25" s="9">
        <v>55400</v>
      </c>
      <c r="D25" s="9">
        <v>217109</v>
      </c>
      <c r="E25" s="9">
        <v>35700</v>
      </c>
      <c r="F25" s="9">
        <v>228309</v>
      </c>
      <c r="G25" s="9">
        <v>22700</v>
      </c>
    </row>
    <row r="26" spans="1:7" x14ac:dyDescent="0.25">
      <c r="A26" s="6">
        <f t="shared" si="0"/>
        <v>46121</v>
      </c>
      <c r="B26" s="8">
        <v>283388</v>
      </c>
      <c r="C26" s="8">
        <v>71600</v>
      </c>
      <c r="D26" s="8">
        <v>193741</v>
      </c>
      <c r="E26" s="8">
        <v>23730</v>
      </c>
      <c r="F26" s="8">
        <v>209082</v>
      </c>
      <c r="G26" s="8">
        <v>18900</v>
      </c>
    </row>
    <row r="27" spans="1:7" x14ac:dyDescent="0.25">
      <c r="A27" s="6">
        <f t="shared" si="0"/>
        <v>46122</v>
      </c>
      <c r="B27" s="8">
        <v>1000506</v>
      </c>
      <c r="C27" s="8">
        <v>69200</v>
      </c>
      <c r="D27" s="8">
        <v>562852</v>
      </c>
      <c r="E27" s="8">
        <v>31600</v>
      </c>
      <c r="F27" s="8">
        <v>505156</v>
      </c>
      <c r="G27" s="8">
        <v>1000</v>
      </c>
    </row>
    <row r="28" spans="1:7" x14ac:dyDescent="0.25">
      <c r="A28" s="6">
        <f t="shared" si="0"/>
        <v>46123</v>
      </c>
      <c r="B28" s="8">
        <v>1000506</v>
      </c>
      <c r="C28" s="8">
        <v>0</v>
      </c>
      <c r="D28" s="8">
        <v>562852</v>
      </c>
      <c r="E28" s="8">
        <v>0</v>
      </c>
      <c r="F28" s="8">
        <v>505156</v>
      </c>
      <c r="G28" s="8">
        <v>0</v>
      </c>
    </row>
    <row r="29" spans="1:7" x14ac:dyDescent="0.25">
      <c r="A29" s="6">
        <f t="shared" si="0"/>
        <v>46124</v>
      </c>
      <c r="B29" s="8">
        <v>1000506</v>
      </c>
      <c r="C29" s="8">
        <v>0</v>
      </c>
      <c r="D29" s="8">
        <v>562852</v>
      </c>
      <c r="E29" s="8">
        <v>0</v>
      </c>
      <c r="F29" s="8">
        <v>505156</v>
      </c>
      <c r="G29" s="8">
        <v>0</v>
      </c>
    </row>
    <row r="30" spans="1:7" x14ac:dyDescent="0.25">
      <c r="A30" s="6">
        <f t="shared" si="0"/>
        <v>46125</v>
      </c>
      <c r="B30" s="8"/>
      <c r="C30" s="8"/>
      <c r="D30" s="8"/>
      <c r="E30" s="8"/>
      <c r="F30" s="8"/>
      <c r="G30" s="8"/>
    </row>
    <row r="31" spans="1:7" x14ac:dyDescent="0.25">
      <c r="A31" s="6">
        <f t="shared" si="0"/>
        <v>46126</v>
      </c>
      <c r="B31" s="8"/>
      <c r="C31" s="8"/>
      <c r="D31" s="8"/>
      <c r="E31" s="8"/>
      <c r="F31" s="8"/>
      <c r="G31" s="8"/>
    </row>
    <row r="32" spans="1:7" x14ac:dyDescent="0.25">
      <c r="A32" s="6">
        <f t="shared" si="0"/>
        <v>46127</v>
      </c>
      <c r="B32" s="8"/>
      <c r="C32" s="8"/>
      <c r="D32" s="8"/>
      <c r="E32" s="8"/>
      <c r="F32" s="8"/>
      <c r="G32" s="8"/>
    </row>
    <row r="33" spans="1:7" x14ac:dyDescent="0.25">
      <c r="A33" s="6">
        <f t="shared" si="0"/>
        <v>46128</v>
      </c>
      <c r="B33" s="8"/>
      <c r="C33" s="8"/>
      <c r="D33" s="8"/>
      <c r="E33" s="8"/>
      <c r="F33" s="8"/>
      <c r="G33" s="8"/>
    </row>
    <row r="34" spans="1:7" x14ac:dyDescent="0.25">
      <c r="A34" s="6">
        <f t="shared" si="0"/>
        <v>46129</v>
      </c>
      <c r="B34" s="8"/>
      <c r="C34" s="8"/>
      <c r="D34" s="8"/>
      <c r="E34" s="8"/>
      <c r="F34" s="8"/>
      <c r="G3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DA43-0900-4128-AD96-E1025A1C8F10}">
  <dimension ref="A2:H36"/>
  <sheetViews>
    <sheetView topLeftCell="A3" workbookViewId="0">
      <selection activeCell="F28" sqref="F28"/>
    </sheetView>
  </sheetViews>
  <sheetFormatPr defaultRowHeight="15" x14ac:dyDescent="0.25"/>
  <cols>
    <col min="1" max="1" width="11.140625" bestFit="1" customWidth="1"/>
    <col min="4" max="8" width="14.85546875" customWidth="1"/>
  </cols>
  <sheetData>
    <row r="2" spans="1:8" ht="21" x14ac:dyDescent="0.25">
      <c r="D2" s="10"/>
      <c r="E2" s="47"/>
      <c r="F2" s="47"/>
      <c r="G2" s="47"/>
      <c r="H2" s="47"/>
    </row>
    <row r="3" spans="1:8" ht="21" x14ac:dyDescent="0.25">
      <c r="A3" s="10"/>
      <c r="B3" s="11" t="s">
        <v>0</v>
      </c>
      <c r="C3" s="12"/>
      <c r="D3" s="48" t="s">
        <v>1</v>
      </c>
      <c r="E3" s="46"/>
    </row>
    <row r="4" spans="1:8" ht="30" customHeight="1" x14ac:dyDescent="0.25">
      <c r="A4" s="10"/>
      <c r="B4" s="14" t="s">
        <v>3</v>
      </c>
      <c r="C4" s="15" t="s">
        <v>4</v>
      </c>
      <c r="D4" s="16" t="s">
        <v>3</v>
      </c>
      <c r="E4" s="17" t="s">
        <v>4</v>
      </c>
    </row>
    <row r="5" spans="1:8" x14ac:dyDescent="0.25">
      <c r="A5" s="6">
        <v>46098</v>
      </c>
      <c r="B5" s="8">
        <v>185205</v>
      </c>
      <c r="C5" s="8">
        <v>18500</v>
      </c>
      <c r="D5" s="8">
        <v>213744</v>
      </c>
      <c r="E5" s="8">
        <v>7000</v>
      </c>
    </row>
    <row r="6" spans="1:8" x14ac:dyDescent="0.25">
      <c r="A6" s="6">
        <f>A5+1</f>
        <v>46099</v>
      </c>
      <c r="B6" s="8">
        <v>179281</v>
      </c>
      <c r="C6" s="8">
        <v>6000</v>
      </c>
      <c r="D6" s="8">
        <v>208512</v>
      </c>
      <c r="E6" s="8">
        <v>5200</v>
      </c>
    </row>
    <row r="7" spans="1:8" x14ac:dyDescent="0.25">
      <c r="A7" s="6">
        <f t="shared" ref="A7:A36" si="0">A6+1</f>
        <v>46100</v>
      </c>
      <c r="B7" s="8">
        <v>163265</v>
      </c>
      <c r="C7" s="8">
        <v>16000</v>
      </c>
      <c r="D7" s="8">
        <v>198105</v>
      </c>
      <c r="E7" s="8">
        <v>10250</v>
      </c>
    </row>
    <row r="8" spans="1:8" x14ac:dyDescent="0.25">
      <c r="A8" s="6">
        <f t="shared" si="0"/>
        <v>46101</v>
      </c>
      <c r="B8" s="8">
        <v>159199</v>
      </c>
      <c r="C8" s="8">
        <v>4000</v>
      </c>
      <c r="D8" s="8">
        <v>194409</v>
      </c>
      <c r="E8" s="8">
        <v>4000</v>
      </c>
    </row>
    <row r="9" spans="1:8" x14ac:dyDescent="0.25">
      <c r="A9" s="6">
        <f t="shared" si="0"/>
        <v>46102</v>
      </c>
      <c r="B9" s="8">
        <v>159199</v>
      </c>
      <c r="C9" s="8">
        <v>0</v>
      </c>
      <c r="D9" s="8">
        <v>194409</v>
      </c>
      <c r="E9" s="8">
        <v>0</v>
      </c>
    </row>
    <row r="10" spans="1:8" x14ac:dyDescent="0.25">
      <c r="A10" s="6">
        <f t="shared" si="0"/>
        <v>46103</v>
      </c>
      <c r="B10" s="8">
        <v>159199</v>
      </c>
      <c r="C10" s="8">
        <v>0</v>
      </c>
      <c r="D10" s="8">
        <v>194409</v>
      </c>
      <c r="E10" s="8">
        <v>0</v>
      </c>
    </row>
    <row r="11" spans="1:8" x14ac:dyDescent="0.25">
      <c r="A11" s="6">
        <f t="shared" si="0"/>
        <v>46104</v>
      </c>
      <c r="B11" s="8">
        <v>140170</v>
      </c>
      <c r="C11" s="8">
        <v>19000</v>
      </c>
      <c r="D11" s="8">
        <v>177520</v>
      </c>
      <c r="E11" s="8">
        <v>17000</v>
      </c>
    </row>
    <row r="12" spans="1:8" x14ac:dyDescent="0.25">
      <c r="A12" s="6">
        <f t="shared" si="0"/>
        <v>46105</v>
      </c>
      <c r="B12" s="8">
        <v>125661</v>
      </c>
      <c r="C12" s="8">
        <v>14500</v>
      </c>
      <c r="D12" s="8">
        <v>172226</v>
      </c>
      <c r="E12" s="8">
        <v>5300</v>
      </c>
    </row>
    <row r="13" spans="1:8" x14ac:dyDescent="0.25">
      <c r="A13" s="6">
        <f t="shared" si="0"/>
        <v>46106</v>
      </c>
      <c r="B13" s="8">
        <v>125360</v>
      </c>
      <c r="C13" s="8">
        <v>0</v>
      </c>
      <c r="D13" s="8">
        <v>168786</v>
      </c>
      <c r="E13" s="8">
        <v>3500</v>
      </c>
    </row>
    <row r="14" spans="1:8" x14ac:dyDescent="0.25">
      <c r="A14" s="6">
        <f t="shared" si="0"/>
        <v>46107</v>
      </c>
      <c r="B14" s="8">
        <v>121445</v>
      </c>
      <c r="C14" s="8">
        <v>4000</v>
      </c>
      <c r="D14" s="8">
        <v>164156</v>
      </c>
      <c r="E14" s="8">
        <v>4500</v>
      </c>
    </row>
    <row r="15" spans="1:8" x14ac:dyDescent="0.25">
      <c r="A15" s="6">
        <f t="shared" si="0"/>
        <v>46108</v>
      </c>
      <c r="B15" s="8">
        <v>105147</v>
      </c>
      <c r="C15" s="8">
        <v>16000</v>
      </c>
      <c r="D15" s="8">
        <v>157835</v>
      </c>
      <c r="E15" s="8">
        <v>6500</v>
      </c>
    </row>
    <row r="16" spans="1:8" x14ac:dyDescent="0.25">
      <c r="A16" s="6">
        <f t="shared" si="0"/>
        <v>46109</v>
      </c>
      <c r="B16" s="8">
        <v>105147</v>
      </c>
      <c r="C16" s="8">
        <v>0</v>
      </c>
      <c r="D16" s="8">
        <v>157835</v>
      </c>
      <c r="E16" s="8">
        <v>0</v>
      </c>
    </row>
    <row r="17" spans="1:5" x14ac:dyDescent="0.25">
      <c r="A17" s="6">
        <f t="shared" si="0"/>
        <v>46110</v>
      </c>
      <c r="B17" s="8">
        <v>105147</v>
      </c>
      <c r="C17" s="8">
        <v>0</v>
      </c>
      <c r="D17" s="8">
        <v>157835</v>
      </c>
      <c r="E17" s="8">
        <v>0</v>
      </c>
    </row>
    <row r="18" spans="1:5" x14ac:dyDescent="0.25">
      <c r="A18" s="6">
        <f t="shared" si="0"/>
        <v>46111</v>
      </c>
      <c r="B18" s="8">
        <v>100083</v>
      </c>
      <c r="C18" s="8">
        <v>5000</v>
      </c>
      <c r="D18" s="8">
        <v>151790</v>
      </c>
      <c r="E18" s="8">
        <v>6000</v>
      </c>
    </row>
    <row r="19" spans="1:5" x14ac:dyDescent="0.25">
      <c r="A19" s="6">
        <f t="shared" si="0"/>
        <v>46112</v>
      </c>
      <c r="B19" s="8">
        <v>47286</v>
      </c>
      <c r="C19" s="8">
        <v>52700</v>
      </c>
      <c r="D19" s="8">
        <v>111464</v>
      </c>
      <c r="E19" s="8">
        <v>40200</v>
      </c>
    </row>
    <row r="20" spans="1:5" x14ac:dyDescent="0.25">
      <c r="A20" s="6">
        <f t="shared" si="0"/>
        <v>46113</v>
      </c>
      <c r="B20" s="8">
        <v>47186</v>
      </c>
      <c r="C20" s="8">
        <v>0</v>
      </c>
      <c r="D20" s="8">
        <v>111316</v>
      </c>
      <c r="E20" s="8">
        <v>0</v>
      </c>
    </row>
    <row r="21" spans="1:5" x14ac:dyDescent="0.25">
      <c r="A21" s="6">
        <f t="shared" si="0"/>
        <v>46114</v>
      </c>
      <c r="B21" s="9">
        <v>37116</v>
      </c>
      <c r="C21" s="9">
        <v>10000</v>
      </c>
      <c r="D21" s="9">
        <v>109381</v>
      </c>
      <c r="E21" s="9">
        <v>2000</v>
      </c>
    </row>
    <row r="22" spans="1:5" x14ac:dyDescent="0.25">
      <c r="A22" s="6">
        <f t="shared" si="0"/>
        <v>46115</v>
      </c>
      <c r="B22" s="8">
        <v>37116</v>
      </c>
      <c r="C22" s="8">
        <v>0</v>
      </c>
      <c r="D22" s="8">
        <v>109381</v>
      </c>
      <c r="E22" s="8">
        <v>0</v>
      </c>
    </row>
    <row r="23" spans="1:5" x14ac:dyDescent="0.25">
      <c r="A23" s="6">
        <f t="shared" si="0"/>
        <v>46116</v>
      </c>
      <c r="B23" s="8">
        <v>37116</v>
      </c>
      <c r="C23" s="8">
        <v>0</v>
      </c>
      <c r="D23" s="8">
        <v>109381</v>
      </c>
      <c r="E23" s="8">
        <v>0</v>
      </c>
    </row>
    <row r="24" spans="1:5" x14ac:dyDescent="0.25">
      <c r="A24" s="6">
        <f t="shared" si="0"/>
        <v>46117</v>
      </c>
      <c r="B24" s="9">
        <v>37116</v>
      </c>
      <c r="C24" s="9">
        <v>0</v>
      </c>
      <c r="D24" s="9">
        <v>109381</v>
      </c>
      <c r="E24" s="9">
        <v>0</v>
      </c>
    </row>
    <row r="25" spans="1:5" x14ac:dyDescent="0.25">
      <c r="A25" s="6">
        <f t="shared" si="0"/>
        <v>46118</v>
      </c>
      <c r="B25" s="8">
        <v>37116</v>
      </c>
      <c r="C25" s="8">
        <v>0</v>
      </c>
      <c r="D25" s="8">
        <v>109381</v>
      </c>
      <c r="E25" s="8">
        <v>0</v>
      </c>
    </row>
    <row r="26" spans="1:5" x14ac:dyDescent="0.25">
      <c r="A26" s="6">
        <f t="shared" si="0"/>
        <v>46119</v>
      </c>
      <c r="B26" s="8">
        <v>330227</v>
      </c>
      <c r="C26" s="8">
        <v>9000</v>
      </c>
      <c r="D26" s="8">
        <v>235313</v>
      </c>
      <c r="E26" s="8">
        <v>6000</v>
      </c>
    </row>
    <row r="27" spans="1:5" x14ac:dyDescent="0.25">
      <c r="A27" s="6">
        <f t="shared" si="0"/>
        <v>46120</v>
      </c>
      <c r="B27" s="9">
        <v>317077</v>
      </c>
      <c r="C27" s="9">
        <v>13000</v>
      </c>
      <c r="D27" s="9">
        <v>232250</v>
      </c>
      <c r="E27" s="9">
        <v>3000</v>
      </c>
    </row>
    <row r="28" spans="1:5" x14ac:dyDescent="0.25">
      <c r="A28" s="6">
        <f t="shared" si="0"/>
        <v>46121</v>
      </c>
      <c r="B28" s="8">
        <v>317026</v>
      </c>
      <c r="C28" s="8">
        <v>0</v>
      </c>
      <c r="D28" s="8">
        <v>231976</v>
      </c>
      <c r="E28" s="8">
        <v>0</v>
      </c>
    </row>
    <row r="29" spans="1:5" x14ac:dyDescent="0.25">
      <c r="A29" s="6">
        <f t="shared" si="0"/>
        <v>46122</v>
      </c>
      <c r="B29" s="8">
        <v>308594</v>
      </c>
      <c r="C29" s="8">
        <v>8000</v>
      </c>
      <c r="D29" s="8">
        <v>227253</v>
      </c>
      <c r="E29" s="8">
        <v>2500</v>
      </c>
    </row>
    <row r="30" spans="1:5" x14ac:dyDescent="0.25">
      <c r="A30" s="6">
        <f t="shared" si="0"/>
        <v>46123</v>
      </c>
      <c r="B30" s="8">
        <v>308594</v>
      </c>
      <c r="C30" s="8">
        <v>0</v>
      </c>
      <c r="D30" s="8">
        <v>227253</v>
      </c>
      <c r="E30" s="8">
        <v>0</v>
      </c>
    </row>
    <row r="31" spans="1:5" x14ac:dyDescent="0.25">
      <c r="A31" s="6">
        <f t="shared" si="0"/>
        <v>46124</v>
      </c>
      <c r="B31" s="8">
        <v>308594</v>
      </c>
      <c r="C31" s="8">
        <v>0</v>
      </c>
      <c r="D31" s="8">
        <v>227253</v>
      </c>
      <c r="E31" s="8">
        <v>0</v>
      </c>
    </row>
    <row r="32" spans="1:5" x14ac:dyDescent="0.25">
      <c r="A32" s="6">
        <f t="shared" si="0"/>
        <v>46125</v>
      </c>
      <c r="B32" s="8"/>
      <c r="C32" s="8"/>
      <c r="D32" s="8"/>
      <c r="E32" s="8"/>
    </row>
    <row r="33" spans="1:5" x14ac:dyDescent="0.25">
      <c r="A33" s="6">
        <f t="shared" si="0"/>
        <v>46126</v>
      </c>
      <c r="B33" s="8"/>
      <c r="C33" s="8"/>
      <c r="D33" s="8"/>
      <c r="E33" s="8"/>
    </row>
    <row r="34" spans="1:5" x14ac:dyDescent="0.25">
      <c r="A34" s="6">
        <f t="shared" si="0"/>
        <v>46127</v>
      </c>
      <c r="B34" s="8"/>
      <c r="C34" s="8"/>
      <c r="D34" s="8"/>
      <c r="E34" s="8"/>
    </row>
    <row r="35" spans="1:5" x14ac:dyDescent="0.25">
      <c r="A35" s="6">
        <f t="shared" si="0"/>
        <v>46128</v>
      </c>
      <c r="B35" s="8"/>
      <c r="C35" s="8"/>
      <c r="D35" s="8"/>
      <c r="E35" s="8"/>
    </row>
    <row r="36" spans="1:5" x14ac:dyDescent="0.25">
      <c r="A36" s="6">
        <f t="shared" si="0"/>
        <v>46129</v>
      </c>
      <c r="B36" s="8"/>
      <c r="C36" s="8"/>
      <c r="D36" s="8"/>
      <c r="E36" s="8"/>
    </row>
  </sheetData>
  <mergeCells count="2">
    <mergeCell ref="E2:H2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092A-0F99-418D-914E-093C498D4967}">
  <dimension ref="A1:L34"/>
  <sheetViews>
    <sheetView workbookViewId="0">
      <selection activeCell="I9" sqref="I9"/>
    </sheetView>
  </sheetViews>
  <sheetFormatPr defaultRowHeight="15" x14ac:dyDescent="0.25"/>
  <cols>
    <col min="1" max="1" width="14.42578125" customWidth="1"/>
    <col min="3" max="3" width="12" customWidth="1"/>
    <col min="6" max="12" width="16.28515625" customWidth="1"/>
  </cols>
  <sheetData>
    <row r="1" spans="1:12" ht="21" x14ac:dyDescent="0.25">
      <c r="A1" s="10"/>
      <c r="B1" s="45" t="s">
        <v>0</v>
      </c>
      <c r="C1" s="50"/>
      <c r="D1" s="48" t="s">
        <v>1</v>
      </c>
      <c r="E1" s="49"/>
      <c r="F1" s="49"/>
      <c r="G1" s="46"/>
    </row>
    <row r="2" spans="1:12" ht="45" x14ac:dyDescent="0.25">
      <c r="A2" s="10"/>
      <c r="B2" s="14" t="s">
        <v>3</v>
      </c>
      <c r="C2" s="15" t="s">
        <v>4</v>
      </c>
      <c r="D2" s="16" t="s">
        <v>3</v>
      </c>
      <c r="E2" s="16" t="s">
        <v>5</v>
      </c>
      <c r="F2" s="16" t="s">
        <v>6</v>
      </c>
      <c r="G2" s="19" t="s">
        <v>7</v>
      </c>
      <c r="H2" s="10"/>
      <c r="I2" s="10"/>
      <c r="J2" s="10"/>
      <c r="K2" s="10"/>
      <c r="L2" s="18"/>
    </row>
    <row r="3" spans="1:12" x14ac:dyDescent="0.25">
      <c r="A3" s="6">
        <v>46098</v>
      </c>
      <c r="B3" s="7"/>
      <c r="C3" s="7"/>
      <c r="D3" s="7"/>
      <c r="E3" s="7"/>
      <c r="F3" s="7"/>
      <c r="G3" s="20">
        <f>SUM(E3:F3)</f>
        <v>0</v>
      </c>
    </row>
    <row r="4" spans="1:12" ht="45" customHeight="1" x14ac:dyDescent="0.25">
      <c r="A4" s="6">
        <f>A3+1</f>
        <v>46099</v>
      </c>
      <c r="B4" s="8"/>
      <c r="C4" s="8"/>
      <c r="D4" s="8"/>
      <c r="E4" s="8"/>
      <c r="F4" s="7"/>
      <c r="G4" s="20">
        <f t="shared" ref="G4:G34" si="0">SUM(E4:F4)</f>
        <v>0</v>
      </c>
    </row>
    <row r="5" spans="1:12" x14ac:dyDescent="0.25">
      <c r="A5" s="6">
        <f t="shared" ref="A5:A34" si="1">A4+1</f>
        <v>46100</v>
      </c>
      <c r="B5" s="8"/>
      <c r="C5" s="8"/>
      <c r="D5" s="8"/>
      <c r="E5" s="8"/>
      <c r="F5" s="7"/>
      <c r="G5" s="20">
        <f t="shared" si="0"/>
        <v>0</v>
      </c>
    </row>
    <row r="6" spans="1:12" x14ac:dyDescent="0.25">
      <c r="A6" s="6">
        <f t="shared" si="1"/>
        <v>46101</v>
      </c>
      <c r="B6" s="8"/>
      <c r="C6" s="8"/>
      <c r="D6" s="8"/>
      <c r="E6" s="8"/>
      <c r="F6" s="7"/>
      <c r="G6" s="20">
        <f t="shared" si="0"/>
        <v>0</v>
      </c>
    </row>
    <row r="7" spans="1:12" x14ac:dyDescent="0.25">
      <c r="A7" s="6">
        <f t="shared" si="1"/>
        <v>46102</v>
      </c>
      <c r="B7" s="8"/>
      <c r="C7" s="8"/>
      <c r="D7" s="8"/>
      <c r="E7" s="8"/>
      <c r="F7" s="8"/>
      <c r="G7" s="21">
        <f t="shared" si="0"/>
        <v>0</v>
      </c>
    </row>
    <row r="8" spans="1:12" x14ac:dyDescent="0.25">
      <c r="A8" s="6">
        <f t="shared" si="1"/>
        <v>46103</v>
      </c>
      <c r="B8" s="8"/>
      <c r="C8" s="8"/>
      <c r="D8" s="8"/>
      <c r="E8" s="8"/>
      <c r="F8" s="8"/>
      <c r="G8" s="21">
        <f t="shared" si="0"/>
        <v>0</v>
      </c>
    </row>
    <row r="9" spans="1:12" x14ac:dyDescent="0.25">
      <c r="A9" s="6">
        <f t="shared" si="1"/>
        <v>46104</v>
      </c>
      <c r="B9" s="8"/>
      <c r="C9" s="8"/>
      <c r="D9" s="8"/>
      <c r="E9" s="8"/>
      <c r="F9" s="8"/>
      <c r="G9" s="21">
        <f t="shared" si="0"/>
        <v>0</v>
      </c>
    </row>
    <row r="10" spans="1:12" x14ac:dyDescent="0.25">
      <c r="A10" s="6">
        <f t="shared" si="1"/>
        <v>46105</v>
      </c>
      <c r="B10" s="8"/>
      <c r="C10" s="8"/>
      <c r="D10" s="8"/>
      <c r="E10" s="8"/>
      <c r="F10" s="8"/>
      <c r="G10" s="21">
        <f t="shared" si="0"/>
        <v>0</v>
      </c>
    </row>
    <row r="11" spans="1:12" x14ac:dyDescent="0.25">
      <c r="A11" s="6">
        <f t="shared" si="1"/>
        <v>46106</v>
      </c>
      <c r="B11" s="8"/>
      <c r="C11" s="8"/>
      <c r="D11" s="8"/>
      <c r="E11" s="8"/>
      <c r="F11" s="8"/>
      <c r="G11" s="21">
        <f t="shared" si="0"/>
        <v>0</v>
      </c>
    </row>
    <row r="12" spans="1:12" x14ac:dyDescent="0.25">
      <c r="A12" s="6">
        <f t="shared" si="1"/>
        <v>46107</v>
      </c>
      <c r="B12" s="8"/>
      <c r="C12" s="8"/>
      <c r="D12" s="8"/>
      <c r="E12" s="8"/>
      <c r="F12" s="8"/>
      <c r="G12" s="21">
        <f t="shared" si="0"/>
        <v>0</v>
      </c>
    </row>
    <row r="13" spans="1:12" x14ac:dyDescent="0.25">
      <c r="A13" s="6">
        <f t="shared" si="1"/>
        <v>46108</v>
      </c>
      <c r="B13" s="8"/>
      <c r="C13" s="8"/>
      <c r="D13" s="8"/>
      <c r="E13" s="8"/>
      <c r="F13" s="8"/>
      <c r="G13" s="21">
        <f t="shared" si="0"/>
        <v>0</v>
      </c>
    </row>
    <row r="14" spans="1:12" x14ac:dyDescent="0.25">
      <c r="A14" s="6">
        <f t="shared" si="1"/>
        <v>46109</v>
      </c>
      <c r="B14" s="8"/>
      <c r="C14" s="8"/>
      <c r="D14" s="8"/>
      <c r="E14" s="8"/>
      <c r="F14" s="8"/>
      <c r="G14" s="21">
        <f t="shared" si="0"/>
        <v>0</v>
      </c>
    </row>
    <row r="15" spans="1:12" x14ac:dyDescent="0.25">
      <c r="A15" s="6">
        <f t="shared" si="1"/>
        <v>46110</v>
      </c>
      <c r="B15" s="8"/>
      <c r="C15" s="8"/>
      <c r="D15" s="8"/>
      <c r="E15" s="8"/>
      <c r="F15" s="8"/>
      <c r="G15" s="21">
        <f t="shared" si="0"/>
        <v>0</v>
      </c>
    </row>
    <row r="16" spans="1:12" x14ac:dyDescent="0.25">
      <c r="A16" s="6">
        <f t="shared" si="1"/>
        <v>46111</v>
      </c>
      <c r="B16" s="8"/>
      <c r="C16" s="8"/>
      <c r="D16" s="8"/>
      <c r="E16" s="8"/>
      <c r="F16" s="8"/>
      <c r="G16" s="21">
        <f t="shared" si="0"/>
        <v>0</v>
      </c>
    </row>
    <row r="17" spans="1:7" x14ac:dyDescent="0.25">
      <c r="A17" s="6">
        <f t="shared" si="1"/>
        <v>46112</v>
      </c>
      <c r="B17" s="8">
        <v>703167</v>
      </c>
      <c r="C17" s="8">
        <v>6000</v>
      </c>
      <c r="D17" s="8">
        <v>1901677</v>
      </c>
      <c r="E17" s="8">
        <v>20000</v>
      </c>
      <c r="F17" s="8">
        <f>84910-20000</f>
        <v>64910</v>
      </c>
      <c r="G17" s="21">
        <f t="shared" si="0"/>
        <v>84910</v>
      </c>
    </row>
    <row r="18" spans="1:7" x14ac:dyDescent="0.25">
      <c r="A18" s="6">
        <f t="shared" si="1"/>
        <v>46113</v>
      </c>
      <c r="B18" s="8">
        <v>681592</v>
      </c>
      <c r="C18" s="8">
        <v>21400</v>
      </c>
      <c r="D18" s="8">
        <v>1780336</v>
      </c>
      <c r="E18" s="8">
        <v>68000</v>
      </c>
      <c r="F18" s="8">
        <f>121010-68000</f>
        <v>53010</v>
      </c>
      <c r="G18" s="21">
        <f t="shared" si="0"/>
        <v>121010</v>
      </c>
    </row>
    <row r="19" spans="1:7" x14ac:dyDescent="0.25">
      <c r="A19" s="6">
        <f t="shared" si="1"/>
        <v>46114</v>
      </c>
      <c r="B19" s="9">
        <v>669529</v>
      </c>
      <c r="C19" s="9">
        <v>12000</v>
      </c>
      <c r="D19" s="9">
        <v>1637854</v>
      </c>
      <c r="E19" s="9">
        <v>80000</v>
      </c>
      <c r="F19" s="9">
        <f>142000-80000</f>
        <v>62000</v>
      </c>
      <c r="G19" s="21">
        <f t="shared" si="0"/>
        <v>142000</v>
      </c>
    </row>
    <row r="20" spans="1:7" x14ac:dyDescent="0.25">
      <c r="A20" s="6">
        <f t="shared" si="1"/>
        <v>46115</v>
      </c>
      <c r="B20" s="8">
        <v>669529</v>
      </c>
      <c r="C20" s="8">
        <v>0</v>
      </c>
      <c r="D20" s="8">
        <v>1637854</v>
      </c>
      <c r="E20" s="8">
        <v>0</v>
      </c>
      <c r="F20" s="8">
        <v>0</v>
      </c>
      <c r="G20" s="21">
        <f t="shared" si="0"/>
        <v>0</v>
      </c>
    </row>
    <row r="21" spans="1:7" x14ac:dyDescent="0.25">
      <c r="A21" s="6">
        <f t="shared" si="1"/>
        <v>46116</v>
      </c>
      <c r="B21" s="8">
        <v>651732</v>
      </c>
      <c r="C21" s="8">
        <v>18000</v>
      </c>
      <c r="D21" s="8">
        <v>1594043</v>
      </c>
      <c r="E21" s="8">
        <v>40000</v>
      </c>
      <c r="F21" s="8">
        <v>4000</v>
      </c>
      <c r="G21" s="21">
        <f t="shared" si="0"/>
        <v>44000</v>
      </c>
    </row>
    <row r="22" spans="1:7" x14ac:dyDescent="0.25">
      <c r="A22" s="6">
        <f t="shared" si="1"/>
        <v>46117</v>
      </c>
      <c r="B22" s="9">
        <v>651732</v>
      </c>
      <c r="C22" s="9">
        <v>0</v>
      </c>
      <c r="D22" s="9">
        <v>1594043</v>
      </c>
      <c r="E22" s="9">
        <v>0</v>
      </c>
      <c r="F22" s="9">
        <v>0</v>
      </c>
      <c r="G22" s="21">
        <f t="shared" si="0"/>
        <v>0</v>
      </c>
    </row>
    <row r="23" spans="1:7" x14ac:dyDescent="0.25">
      <c r="A23" s="6">
        <f t="shared" si="1"/>
        <v>46118</v>
      </c>
      <c r="B23" s="8">
        <v>651732</v>
      </c>
      <c r="C23" s="8">
        <v>0</v>
      </c>
      <c r="D23" s="8">
        <v>1494058</v>
      </c>
      <c r="E23" s="8">
        <v>100010</v>
      </c>
      <c r="F23" s="8">
        <v>0</v>
      </c>
      <c r="G23" s="21">
        <f t="shared" si="0"/>
        <v>100010</v>
      </c>
    </row>
    <row r="24" spans="1:7" x14ac:dyDescent="0.25">
      <c r="A24" s="6">
        <f t="shared" si="1"/>
        <v>46119</v>
      </c>
      <c r="B24" s="8"/>
      <c r="C24" s="8"/>
      <c r="D24" s="8"/>
      <c r="E24" s="8"/>
      <c r="F24" s="8"/>
      <c r="G24" s="21">
        <f t="shared" si="0"/>
        <v>0</v>
      </c>
    </row>
    <row r="25" spans="1:7" x14ac:dyDescent="0.25">
      <c r="A25" s="6">
        <f t="shared" si="1"/>
        <v>46120</v>
      </c>
      <c r="B25" s="9"/>
      <c r="C25" s="9"/>
      <c r="D25" s="9"/>
      <c r="E25" s="9"/>
      <c r="F25" s="9"/>
      <c r="G25" s="21">
        <f t="shared" si="0"/>
        <v>0</v>
      </c>
    </row>
    <row r="26" spans="1:7" x14ac:dyDescent="0.25">
      <c r="A26" s="6">
        <f t="shared" si="1"/>
        <v>46121</v>
      </c>
      <c r="B26" s="8"/>
      <c r="C26" s="8"/>
      <c r="D26" s="8"/>
      <c r="E26" s="8"/>
      <c r="F26" s="8"/>
      <c r="G26" s="21">
        <f t="shared" si="0"/>
        <v>0</v>
      </c>
    </row>
    <row r="27" spans="1:7" x14ac:dyDescent="0.25">
      <c r="A27" s="6">
        <f t="shared" si="1"/>
        <v>46122</v>
      </c>
      <c r="B27" s="8"/>
      <c r="C27" s="8"/>
      <c r="D27" s="8"/>
      <c r="E27" s="8"/>
      <c r="F27" s="8"/>
      <c r="G27" s="21">
        <f t="shared" si="0"/>
        <v>0</v>
      </c>
    </row>
    <row r="28" spans="1:7" x14ac:dyDescent="0.25">
      <c r="A28" s="6">
        <f t="shared" si="1"/>
        <v>46123</v>
      </c>
      <c r="B28" s="8"/>
      <c r="C28" s="8"/>
      <c r="D28" s="8"/>
      <c r="E28" s="8"/>
      <c r="F28" s="8"/>
      <c r="G28" s="21">
        <f t="shared" si="0"/>
        <v>0</v>
      </c>
    </row>
    <row r="29" spans="1:7" x14ac:dyDescent="0.25">
      <c r="A29" s="6">
        <f t="shared" si="1"/>
        <v>46124</v>
      </c>
      <c r="B29" s="8"/>
      <c r="C29" s="8"/>
      <c r="D29" s="8"/>
      <c r="E29" s="8"/>
      <c r="F29" s="8"/>
      <c r="G29" s="21">
        <f t="shared" si="0"/>
        <v>0</v>
      </c>
    </row>
    <row r="30" spans="1:7" x14ac:dyDescent="0.25">
      <c r="A30" s="6">
        <f t="shared" si="1"/>
        <v>46125</v>
      </c>
      <c r="B30" s="8"/>
      <c r="C30" s="8"/>
      <c r="D30" s="8"/>
      <c r="E30" s="8"/>
      <c r="F30" s="8"/>
      <c r="G30" s="21">
        <f t="shared" si="0"/>
        <v>0</v>
      </c>
    </row>
    <row r="31" spans="1:7" x14ac:dyDescent="0.25">
      <c r="A31" s="6">
        <f t="shared" si="1"/>
        <v>46126</v>
      </c>
      <c r="B31" s="8"/>
      <c r="C31" s="8"/>
      <c r="D31" s="8"/>
      <c r="E31" s="8"/>
      <c r="F31" s="8"/>
      <c r="G31" s="21">
        <f t="shared" si="0"/>
        <v>0</v>
      </c>
    </row>
    <row r="32" spans="1:7" x14ac:dyDescent="0.25">
      <c r="A32" s="6">
        <f t="shared" si="1"/>
        <v>46127</v>
      </c>
      <c r="B32" s="8"/>
      <c r="C32" s="8"/>
      <c r="D32" s="8"/>
      <c r="E32" s="8"/>
      <c r="F32" s="8"/>
      <c r="G32" s="21">
        <f t="shared" si="0"/>
        <v>0</v>
      </c>
    </row>
    <row r="33" spans="1:7" x14ac:dyDescent="0.25">
      <c r="A33" s="6">
        <f t="shared" si="1"/>
        <v>46128</v>
      </c>
      <c r="B33" s="8"/>
      <c r="C33" s="8"/>
      <c r="D33" s="8"/>
      <c r="E33" s="8"/>
      <c r="F33" s="8"/>
      <c r="G33" s="21">
        <f t="shared" si="0"/>
        <v>0</v>
      </c>
    </row>
    <row r="34" spans="1:7" x14ac:dyDescent="0.25">
      <c r="A34" s="6">
        <f t="shared" si="1"/>
        <v>46129</v>
      </c>
      <c r="B34" s="8"/>
      <c r="C34" s="8"/>
      <c r="D34" s="8"/>
      <c r="E34" s="8"/>
      <c r="F34" s="8"/>
      <c r="G34" s="21">
        <f t="shared" si="0"/>
        <v>0</v>
      </c>
    </row>
  </sheetData>
  <mergeCells count="2">
    <mergeCell ref="D1:G1"/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5836-F70E-4164-BD3B-BF2772B80A9D}">
  <dimension ref="B1:E6"/>
  <sheetViews>
    <sheetView workbookViewId="0">
      <selection activeCell="D14" sqref="D14"/>
    </sheetView>
  </sheetViews>
  <sheetFormatPr defaultRowHeight="15" x14ac:dyDescent="0.25"/>
  <cols>
    <col min="3" max="3" width="14.28515625" bestFit="1" customWidth="1"/>
    <col min="5" max="5" width="14.28515625" bestFit="1" customWidth="1"/>
    <col min="6" max="6" width="12.42578125" bestFit="1" customWidth="1"/>
    <col min="7" max="7" width="12.7109375" bestFit="1" customWidth="1"/>
  </cols>
  <sheetData>
    <row r="1" spans="2:5" x14ac:dyDescent="0.25">
      <c r="B1" s="22"/>
      <c r="C1" s="23" t="s">
        <v>8</v>
      </c>
      <c r="D1" s="24" t="s">
        <v>0</v>
      </c>
      <c r="E1" s="25" t="s">
        <v>1</v>
      </c>
    </row>
    <row r="2" spans="2:5" x14ac:dyDescent="0.25">
      <c r="B2" s="26" t="s">
        <v>9</v>
      </c>
      <c r="C2" s="27">
        <v>46136</v>
      </c>
      <c r="D2" s="28">
        <v>150000</v>
      </c>
      <c r="E2" s="28">
        <v>700000</v>
      </c>
    </row>
    <row r="3" spans="2:5" x14ac:dyDescent="0.25">
      <c r="B3" s="26" t="s">
        <v>10</v>
      </c>
      <c r="C3" s="29">
        <v>46155</v>
      </c>
      <c r="D3" s="30">
        <v>150000</v>
      </c>
      <c r="E3" s="30">
        <v>700000</v>
      </c>
    </row>
    <row r="4" spans="2:5" x14ac:dyDescent="0.25">
      <c r="B4" s="26" t="s">
        <v>11</v>
      </c>
      <c r="C4" s="29"/>
      <c r="D4" s="30"/>
      <c r="E4" s="30"/>
    </row>
    <row r="5" spans="2:5" x14ac:dyDescent="0.25">
      <c r="B5" s="26" t="s">
        <v>12</v>
      </c>
      <c r="C5" s="29"/>
      <c r="D5" s="30"/>
      <c r="E5" s="30"/>
    </row>
    <row r="6" spans="2:5" x14ac:dyDescent="0.25">
      <c r="B6" s="26" t="s">
        <v>13</v>
      </c>
      <c r="C6" s="29"/>
      <c r="D6" s="30"/>
      <c r="E6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07FC-DD24-4574-BEC9-14F6D02DFADD}">
  <dimension ref="B1:F6"/>
  <sheetViews>
    <sheetView tabSelected="1" workbookViewId="0">
      <selection activeCell="F10" sqref="F10"/>
    </sheetView>
  </sheetViews>
  <sheetFormatPr defaultRowHeight="15" x14ac:dyDescent="0.25"/>
  <cols>
    <col min="3" max="3" width="13.7109375" bestFit="1" customWidth="1"/>
    <col min="4" max="4" width="12.42578125" bestFit="1" customWidth="1"/>
  </cols>
  <sheetData>
    <row r="1" spans="2:6" x14ac:dyDescent="0.25">
      <c r="B1" s="22"/>
      <c r="C1" s="23" t="s">
        <v>8</v>
      </c>
      <c r="D1" s="24" t="s">
        <v>0</v>
      </c>
      <c r="E1" s="24" t="s">
        <v>1</v>
      </c>
      <c r="F1" s="25" t="s">
        <v>14</v>
      </c>
    </row>
    <row r="2" spans="2:6" x14ac:dyDescent="0.25">
      <c r="B2" s="26" t="s">
        <v>9</v>
      </c>
      <c r="C2" s="27">
        <v>46107</v>
      </c>
      <c r="D2" s="28">
        <v>807300</v>
      </c>
      <c r="E2" s="28">
        <v>384000</v>
      </c>
      <c r="F2" s="30">
        <v>177800</v>
      </c>
    </row>
    <row r="3" spans="2:6" x14ac:dyDescent="0.25">
      <c r="B3" s="26" t="s">
        <v>10</v>
      </c>
      <c r="C3" s="29">
        <v>46118</v>
      </c>
      <c r="D3" s="28">
        <v>807300</v>
      </c>
      <c r="E3" s="28">
        <v>396000</v>
      </c>
      <c r="F3" s="30">
        <v>292100</v>
      </c>
    </row>
    <row r="4" spans="2:6" x14ac:dyDescent="0.25">
      <c r="B4" s="26" t="s">
        <v>11</v>
      </c>
      <c r="C4" s="29">
        <v>46134</v>
      </c>
      <c r="D4" s="28">
        <v>759000</v>
      </c>
      <c r="E4" s="28">
        <v>556600</v>
      </c>
      <c r="F4" s="30">
        <v>254000</v>
      </c>
    </row>
    <row r="5" spans="2:6" x14ac:dyDescent="0.25">
      <c r="B5" s="26" t="s">
        <v>12</v>
      </c>
      <c r="C5" s="29">
        <v>46145</v>
      </c>
      <c r="D5" s="28">
        <v>772800</v>
      </c>
      <c r="E5" s="28">
        <v>411400</v>
      </c>
      <c r="F5" s="30">
        <v>190500</v>
      </c>
    </row>
    <row r="6" spans="2:6" x14ac:dyDescent="0.25">
      <c r="B6" s="26" t="s">
        <v>13</v>
      </c>
      <c r="C6" s="29">
        <v>46158</v>
      </c>
      <c r="D6" s="28">
        <v>841800</v>
      </c>
      <c r="E6" s="28">
        <v>496100</v>
      </c>
      <c r="F6" s="30">
        <v>228600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947B-697B-448E-AAA7-801BC556FEC4}">
  <dimension ref="B1:E6"/>
  <sheetViews>
    <sheetView workbookViewId="0">
      <selection activeCell="D10" sqref="D10"/>
    </sheetView>
  </sheetViews>
  <sheetFormatPr defaultRowHeight="15" x14ac:dyDescent="0.25"/>
  <cols>
    <col min="3" max="3" width="14.28515625" bestFit="1" customWidth="1"/>
    <col min="4" max="4" width="12" bestFit="1" customWidth="1"/>
  </cols>
  <sheetData>
    <row r="1" spans="2:5" x14ac:dyDescent="0.25">
      <c r="B1" s="22"/>
      <c r="C1" s="23" t="s">
        <v>8</v>
      </c>
      <c r="D1" s="24" t="s">
        <v>0</v>
      </c>
      <c r="E1" s="25" t="s">
        <v>1</v>
      </c>
    </row>
    <row r="2" spans="2:5" x14ac:dyDescent="0.25">
      <c r="B2" s="26" t="s">
        <v>9</v>
      </c>
      <c r="C2" s="27">
        <v>46115</v>
      </c>
      <c r="D2" s="28">
        <v>303600</v>
      </c>
      <c r="E2" s="28">
        <v>132000</v>
      </c>
    </row>
    <row r="3" spans="2:5" x14ac:dyDescent="0.25">
      <c r="B3" s="26" t="s">
        <v>10</v>
      </c>
      <c r="C3" s="29">
        <v>46144</v>
      </c>
      <c r="D3" s="28">
        <v>220800</v>
      </c>
      <c r="E3" s="28">
        <v>169400</v>
      </c>
    </row>
    <row r="4" spans="2:5" x14ac:dyDescent="0.25">
      <c r="B4" s="26" t="s">
        <v>11</v>
      </c>
      <c r="C4" s="29">
        <v>46169</v>
      </c>
      <c r="D4" s="28">
        <v>234600</v>
      </c>
      <c r="E4" s="28">
        <v>181500</v>
      </c>
    </row>
    <row r="5" spans="2:5" x14ac:dyDescent="0.25">
      <c r="B5" s="26" t="s">
        <v>12</v>
      </c>
      <c r="C5" s="29"/>
      <c r="D5" s="28"/>
      <c r="E5" s="28"/>
    </row>
    <row r="6" spans="2:5" x14ac:dyDescent="0.25">
      <c r="B6" s="26" t="s">
        <v>13</v>
      </c>
      <c r="C6" s="29"/>
      <c r="D6" s="28"/>
      <c r="E6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9F18-14E6-45F7-B048-208F6E641529}">
  <dimension ref="C1:G5"/>
  <sheetViews>
    <sheetView workbookViewId="0">
      <selection activeCell="K15" sqref="K15"/>
    </sheetView>
  </sheetViews>
  <sheetFormatPr defaultRowHeight="15" x14ac:dyDescent="0.25"/>
  <cols>
    <col min="5" max="5" width="9.5703125" bestFit="1" customWidth="1"/>
    <col min="6" max="6" width="8" bestFit="1" customWidth="1"/>
    <col min="7" max="7" width="15.7109375" bestFit="1" customWidth="1"/>
  </cols>
  <sheetData>
    <row r="1" spans="3:7" x14ac:dyDescent="0.25">
      <c r="C1" s="22"/>
      <c r="D1" s="26"/>
      <c r="E1" s="38" t="s">
        <v>15</v>
      </c>
      <c r="F1" s="39"/>
      <c r="G1" s="40"/>
    </row>
    <row r="2" spans="3:7" x14ac:dyDescent="0.25">
      <c r="C2" s="31"/>
      <c r="D2" s="32"/>
      <c r="E2" s="33" t="s">
        <v>16</v>
      </c>
      <c r="F2" s="3" t="s">
        <v>17</v>
      </c>
      <c r="G2" s="5" t="s">
        <v>18</v>
      </c>
    </row>
    <row r="3" spans="3:7" x14ac:dyDescent="0.25">
      <c r="C3" s="26" t="s">
        <v>19</v>
      </c>
      <c r="D3" s="32" t="s">
        <v>20</v>
      </c>
      <c r="E3" s="34">
        <v>1223106</v>
      </c>
      <c r="F3" s="34">
        <v>858361</v>
      </c>
      <c r="G3" s="34">
        <v>589571</v>
      </c>
    </row>
    <row r="4" spans="3:7" x14ac:dyDescent="0.25">
      <c r="C4" s="26" t="s">
        <v>21</v>
      </c>
      <c r="D4" s="32" t="s">
        <v>20</v>
      </c>
      <c r="E4" s="35">
        <v>47000</v>
      </c>
      <c r="F4" s="35">
        <v>45000</v>
      </c>
      <c r="G4" s="35">
        <v>24500</v>
      </c>
    </row>
    <row r="5" spans="3:7" x14ac:dyDescent="0.25">
      <c r="C5" s="26" t="s">
        <v>22</v>
      </c>
      <c r="D5" s="32" t="s">
        <v>20</v>
      </c>
      <c r="E5" s="36">
        <f>E3-E4</f>
        <v>1176106</v>
      </c>
      <c r="F5" s="36">
        <f>F3-F4</f>
        <v>813361</v>
      </c>
      <c r="G5" s="36">
        <f>G3-G4</f>
        <v>565071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ABB4-F518-4B74-A6C6-ADF25F998425}">
  <dimension ref="C1:F5"/>
  <sheetViews>
    <sheetView workbookViewId="0">
      <selection activeCell="F9" sqref="F9"/>
    </sheetView>
  </sheetViews>
  <sheetFormatPr defaultRowHeight="15" x14ac:dyDescent="0.25"/>
  <sheetData>
    <row r="1" spans="3:6" x14ac:dyDescent="0.25">
      <c r="C1" s="22"/>
      <c r="D1" s="26"/>
      <c r="E1" s="11" t="s">
        <v>23</v>
      </c>
      <c r="F1" s="13"/>
    </row>
    <row r="2" spans="3:6" x14ac:dyDescent="0.25">
      <c r="C2" s="31"/>
      <c r="D2" s="32"/>
      <c r="E2" s="37" t="s">
        <v>16</v>
      </c>
      <c r="F2" s="17" t="s">
        <v>17</v>
      </c>
    </row>
    <row r="3" spans="3:6" x14ac:dyDescent="0.25">
      <c r="C3" s="26" t="s">
        <v>19</v>
      </c>
      <c r="D3" s="32" t="s">
        <v>20</v>
      </c>
      <c r="E3" s="35">
        <v>357582</v>
      </c>
      <c r="F3" s="35">
        <v>289500</v>
      </c>
    </row>
    <row r="4" spans="3:6" x14ac:dyDescent="0.25">
      <c r="C4" s="26" t="s">
        <v>21</v>
      </c>
      <c r="D4" s="32" t="s">
        <v>20</v>
      </c>
      <c r="E4" s="35">
        <v>26800</v>
      </c>
      <c r="F4" s="35">
        <v>16165</v>
      </c>
    </row>
    <row r="5" spans="3:6" x14ac:dyDescent="0.25">
      <c r="C5" s="26" t="s">
        <v>22</v>
      </c>
      <c r="D5" s="32" t="s">
        <v>20</v>
      </c>
      <c r="E5" s="36">
        <f>E3-E4</f>
        <v>330782</v>
      </c>
      <c r="F5" s="36">
        <f>F3-F4</f>
        <v>273335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2F6-16B7-4F1D-8F82-495493094246}">
  <dimension ref="A1:H7"/>
  <sheetViews>
    <sheetView workbookViewId="0">
      <selection activeCell="E8" sqref="E8"/>
    </sheetView>
  </sheetViews>
  <sheetFormatPr defaultRowHeight="15" x14ac:dyDescent="0.25"/>
  <cols>
    <col min="5" max="5" width="25" bestFit="1" customWidth="1"/>
    <col min="6" max="6" width="6.85546875" bestFit="1" customWidth="1"/>
    <col min="7" max="7" width="8" bestFit="1" customWidth="1"/>
    <col min="8" max="8" width="9.5703125" bestFit="1" customWidth="1"/>
  </cols>
  <sheetData>
    <row r="1" spans="1:8" x14ac:dyDescent="0.25">
      <c r="A1" s="22"/>
      <c r="B1" s="26"/>
      <c r="C1" s="45" t="s">
        <v>15</v>
      </c>
      <c r="D1" s="46"/>
    </row>
    <row r="2" spans="1:8" x14ac:dyDescent="0.25">
      <c r="A2" s="31"/>
      <c r="B2" s="32"/>
      <c r="C2" s="37" t="s">
        <v>16</v>
      </c>
      <c r="D2" s="17" t="s">
        <v>17</v>
      </c>
    </row>
    <row r="3" spans="1:8" x14ac:dyDescent="0.25">
      <c r="A3" s="26" t="s">
        <v>19</v>
      </c>
      <c r="B3" s="32" t="s">
        <v>20</v>
      </c>
      <c r="C3" s="35">
        <v>325936</v>
      </c>
      <c r="D3" s="35">
        <v>1832778</v>
      </c>
      <c r="E3" s="22"/>
      <c r="F3" s="26"/>
      <c r="G3" s="44"/>
      <c r="H3" s="44"/>
    </row>
    <row r="4" spans="1:8" x14ac:dyDescent="0.25">
      <c r="A4" s="26" t="s">
        <v>21</v>
      </c>
      <c r="B4" s="32" t="s">
        <v>20</v>
      </c>
      <c r="C4" s="35">
        <v>16085</v>
      </c>
      <c r="D4" s="35">
        <f>46571+26000</f>
        <v>72571</v>
      </c>
      <c r="E4" s="31"/>
      <c r="F4" s="32"/>
      <c r="G4" s="41"/>
      <c r="H4" s="41"/>
    </row>
    <row r="5" spans="1:8" x14ac:dyDescent="0.25">
      <c r="A5" s="26" t="s">
        <v>22</v>
      </c>
      <c r="B5" s="32" t="s">
        <v>20</v>
      </c>
      <c r="C5" s="36">
        <f>C3-C4</f>
        <v>309851</v>
      </c>
      <c r="D5" s="36">
        <f>D3-D4</f>
        <v>1760207</v>
      </c>
      <c r="E5" s="26"/>
      <c r="F5" s="32"/>
      <c r="G5" s="42"/>
      <c r="H5" s="42"/>
    </row>
    <row r="6" spans="1:8" x14ac:dyDescent="0.25">
      <c r="E6" s="26"/>
      <c r="F6" s="32"/>
      <c r="G6" s="42"/>
      <c r="H6" s="42"/>
    </row>
    <row r="7" spans="1:8" x14ac:dyDescent="0.25">
      <c r="E7" s="26"/>
      <c r="F7" s="32"/>
      <c r="G7" s="43"/>
      <c r="H7" s="43"/>
    </row>
  </sheetData>
  <mergeCells count="2">
    <mergeCell ref="G3:H3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Actual_Company2 Tongatapu</vt:lpstr>
      <vt:lpstr>Actual_Company2 Vava'u</vt:lpstr>
      <vt:lpstr>Actual_Company1 Tongatapu</vt:lpstr>
      <vt:lpstr>Resupply_Company1</vt:lpstr>
      <vt:lpstr>Resupply_Company2 Tongatapu</vt:lpstr>
      <vt:lpstr>Resupply_Company2 Vava'u</vt:lpstr>
      <vt:lpstr>Terminal_Company2 Tongatapu</vt:lpstr>
      <vt:lpstr>Terminal_Company2 Vava'u</vt:lpstr>
      <vt:lpstr>Terminal_Company1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Sione 'Akau</dc:creator>
  <cp:lastModifiedBy>Sione 'Akau</cp:lastModifiedBy>
  <dcterms:created xsi:type="dcterms:W3CDTF">2026-04-07T21:09:10Z</dcterms:created>
  <dcterms:modified xsi:type="dcterms:W3CDTF">2026-04-14T02:53:07Z</dcterms:modified>
</cp:coreProperties>
</file>