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tplfs01\users$\fmataele\My Documents\"/>
    </mc:Choice>
  </mc:AlternateContent>
  <bookViews>
    <workbookView xWindow="0" yWindow="0" windowWidth="23040" windowHeight="8784"/>
  </bookViews>
  <sheets>
    <sheet name="tariff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23" i="1" l="1"/>
  <c r="AG23" i="1"/>
  <c r="AE15" i="1"/>
  <c r="P15" i="1"/>
  <c r="M15" i="1"/>
  <c r="J15" i="1"/>
  <c r="G15" i="1"/>
  <c r="D15" i="1"/>
  <c r="AE14" i="1"/>
  <c r="P14" i="1"/>
  <c r="M14" i="1"/>
  <c r="J14" i="1"/>
  <c r="G14" i="1"/>
  <c r="D14" i="1"/>
  <c r="AE13" i="1"/>
  <c r="AB13" i="1"/>
  <c r="Y13" i="1"/>
  <c r="P13" i="1"/>
  <c r="M13" i="1"/>
  <c r="J13" i="1"/>
  <c r="G13" i="1"/>
  <c r="D13" i="1"/>
  <c r="AH12" i="1"/>
  <c r="AE12" i="1"/>
  <c r="P12" i="1"/>
  <c r="M12" i="1"/>
  <c r="J12" i="1"/>
  <c r="G12" i="1"/>
  <c r="D12" i="1"/>
  <c r="AH11" i="1"/>
  <c r="AE11" i="1"/>
  <c r="P11" i="1"/>
  <c r="M11" i="1"/>
  <c r="J11" i="1"/>
  <c r="G11" i="1"/>
  <c r="D11" i="1"/>
  <c r="AH10" i="1"/>
  <c r="AE10" i="1"/>
  <c r="X25" i="1" s="1"/>
  <c r="AB10" i="1"/>
  <c r="S10" i="1"/>
  <c r="P10" i="1"/>
  <c r="M10" i="1"/>
  <c r="J10" i="1"/>
  <c r="G10" i="1"/>
  <c r="D10" i="1"/>
  <c r="AH9" i="1"/>
  <c r="AE9" i="1"/>
  <c r="S9" i="1"/>
  <c r="P9" i="1"/>
  <c r="M9" i="1"/>
  <c r="J9" i="1"/>
  <c r="G9" i="1"/>
  <c r="D9" i="1"/>
  <c r="AH8" i="1"/>
  <c r="AE8" i="1"/>
  <c r="S8" i="1"/>
  <c r="P8" i="1"/>
  <c r="M8" i="1"/>
  <c r="J8" i="1"/>
  <c r="G8" i="1"/>
  <c r="D8" i="1"/>
  <c r="AH7" i="1"/>
  <c r="AE7" i="1"/>
  <c r="AB7" i="1"/>
  <c r="P7" i="1"/>
  <c r="M7" i="1"/>
  <c r="J7" i="1"/>
  <c r="G7" i="1"/>
  <c r="D7" i="1"/>
  <c r="AH6" i="1"/>
  <c r="AD6" i="1"/>
  <c r="AC6" i="1"/>
  <c r="AE6" i="1" s="1"/>
  <c r="AB6" i="1"/>
  <c r="Y6" i="1"/>
  <c r="P6" i="1"/>
  <c r="M6" i="1"/>
  <c r="J6" i="1"/>
  <c r="G6" i="1"/>
  <c r="D6" i="1"/>
  <c r="AH5" i="1"/>
  <c r="AE5" i="1"/>
  <c r="AB5" i="1"/>
  <c r="Y5" i="1"/>
  <c r="P5" i="1"/>
  <c r="M5" i="1"/>
  <c r="J5" i="1"/>
  <c r="G5" i="1"/>
  <c r="D5" i="1"/>
  <c r="AH4" i="1"/>
  <c r="AE4" i="1"/>
  <c r="AB4" i="1"/>
  <c r="Y4" i="1"/>
  <c r="P4" i="1"/>
  <c r="M4" i="1"/>
  <c r="J4" i="1"/>
  <c r="G4" i="1"/>
  <c r="D4" i="1"/>
</calcChain>
</file>

<file path=xl/comments1.xml><?xml version="1.0" encoding="utf-8"?>
<comments xmlns="http://schemas.openxmlformats.org/spreadsheetml/2006/main">
  <authors>
    <author>Fekita Imuli Mataele</author>
  </authors>
  <commentList>
    <comment ref="I4" authorId="0" shapeId="0">
      <text>
        <r>
          <rPr>
            <b/>
            <sz val="9"/>
            <color indexed="81"/>
            <rFont val="Tahoma"/>
            <family val="2"/>
          </rPr>
          <t>Fekita Imuli Mataele:</t>
        </r>
        <r>
          <rPr>
            <sz val="9"/>
            <color indexed="81"/>
            <rFont val="Tahoma"/>
            <family val="2"/>
          </rPr>
          <t xml:space="preserve">
approved NFT increase of 2.65 seniti on 6/7/2017 </t>
        </r>
      </text>
    </comment>
    <comment ref="S4" authorId="0" shapeId="0">
      <text>
        <r>
          <rPr>
            <b/>
            <sz val="9"/>
            <color indexed="81"/>
            <rFont val="Tahoma"/>
            <family val="2"/>
          </rPr>
          <t>Fekita Imuli Mataele:</t>
        </r>
        <r>
          <rPr>
            <sz val="9"/>
            <color indexed="81"/>
            <rFont val="Tahoma"/>
            <family val="2"/>
          </rPr>
          <t xml:space="preserve">
approved on 26/6/20 effective 1/7/20
</t>
        </r>
      </text>
    </comment>
    <comment ref="V4" authorId="0" shapeId="0">
      <text>
        <r>
          <rPr>
            <b/>
            <sz val="9"/>
            <color indexed="81"/>
            <rFont val="Tahoma"/>
            <family val="2"/>
          </rPr>
          <t>Fekita Imuli Mataele:</t>
        </r>
        <r>
          <rPr>
            <sz val="9"/>
            <color indexed="81"/>
            <rFont val="Tahoma"/>
            <family val="2"/>
          </rPr>
          <t xml:space="preserve">
approved 30/6/21 effective 1/7/21.
9/7/21 EC approval- lifelinr discount of 7.67 seniti as lifeline subsidy
</t>
        </r>
      </text>
    </comment>
    <comment ref="Y4" authorId="0" shapeId="0">
      <text>
        <r>
          <rPr>
            <b/>
            <sz val="9"/>
            <color indexed="81"/>
            <rFont val="Tahoma"/>
            <family val="2"/>
          </rPr>
          <t>Fekita Imuli Mataele:</t>
        </r>
        <r>
          <rPr>
            <sz val="9"/>
            <color indexed="81"/>
            <rFont val="Tahoma"/>
            <family val="2"/>
          </rPr>
          <t xml:space="preserve">
Letter dated 30/6/22 effective 1/7/22
</t>
        </r>
      </text>
    </comment>
    <comment ref="AB4" authorId="0" shapeId="0">
      <text>
        <r>
          <rPr>
            <b/>
            <sz val="9"/>
            <color indexed="81"/>
            <rFont val="Tahoma"/>
            <family val="2"/>
          </rPr>
          <t>Fekita Imuli Mataele:</t>
        </r>
        <r>
          <rPr>
            <sz val="9"/>
            <color indexed="81"/>
            <rFont val="Tahoma"/>
            <family val="2"/>
          </rPr>
          <t xml:space="preserve">
approved 30/6/23 to be effective 1/7/23</t>
        </r>
      </text>
    </comment>
    <comment ref="AH4" authorId="0" shapeId="0">
      <text>
        <r>
          <rPr>
            <b/>
            <sz val="9"/>
            <color indexed="81"/>
            <rFont val="Tahoma"/>
            <family val="2"/>
          </rPr>
          <t>Fekita Imuli Mataele:</t>
        </r>
        <r>
          <rPr>
            <sz val="9"/>
            <color indexed="81"/>
            <rFont val="Tahoma"/>
            <family val="2"/>
          </rPr>
          <t xml:space="preserve">
new tariff effective 1/7/25
</t>
        </r>
      </text>
    </comment>
    <comment ref="V7" authorId="0" shapeId="0">
      <text>
        <r>
          <rPr>
            <b/>
            <sz val="9"/>
            <color indexed="81"/>
            <rFont val="Tahoma"/>
            <family val="2"/>
          </rPr>
          <t>Fekita Imuli Mataele:</t>
        </r>
        <r>
          <rPr>
            <sz val="9"/>
            <color indexed="81"/>
            <rFont val="Tahoma"/>
            <family val="2"/>
          </rPr>
          <t xml:space="preserve">
effective 1/10/21 approved o
n 30/9/21</t>
        </r>
      </text>
    </comment>
    <comment ref="Y7" authorId="0" shapeId="0">
      <text>
        <r>
          <rPr>
            <b/>
            <sz val="9"/>
            <color indexed="81"/>
            <rFont val="Tahoma"/>
            <family val="2"/>
          </rPr>
          <t>Fekita Imuli Mataele:</t>
        </r>
        <r>
          <rPr>
            <sz val="9"/>
            <color indexed="81"/>
            <rFont val="Tahoma"/>
            <family val="2"/>
          </rPr>
          <t xml:space="preserve">
approved 29/9/22 effective 1/10/22</t>
        </r>
      </text>
    </comment>
    <comment ref="AB7" authorId="0" shapeId="0">
      <text>
        <r>
          <rPr>
            <b/>
            <sz val="9"/>
            <color indexed="81"/>
            <rFont val="Tahoma"/>
            <family val="2"/>
          </rPr>
          <t>Fekita Imuli Mataele:</t>
        </r>
        <r>
          <rPr>
            <sz val="9"/>
            <color indexed="81"/>
            <rFont val="Tahoma"/>
            <family val="2"/>
          </rPr>
          <t xml:space="preserve">
approved 28/9/23 effective 1/10/23
</t>
        </r>
      </text>
    </comment>
    <comment ref="AE7" authorId="0" shapeId="0">
      <text>
        <r>
          <rPr>
            <b/>
            <sz val="9"/>
            <color indexed="81"/>
            <rFont val="Tahoma"/>
            <family val="2"/>
          </rPr>
          <t>Fekita Imuli Mataele:</t>
        </r>
        <r>
          <rPr>
            <sz val="9"/>
            <color indexed="81"/>
            <rFont val="Tahoma"/>
            <family val="2"/>
          </rPr>
          <t xml:space="preserve">
approved 27/9/24 effective 1/10/24
</t>
        </r>
      </text>
    </comment>
    <comment ref="AH7" authorId="0" shapeId="0">
      <text>
        <r>
          <rPr>
            <b/>
            <sz val="9"/>
            <color indexed="81"/>
            <rFont val="Tahoma"/>
            <family val="2"/>
          </rPr>
          <t>Fekita Imuli Mataele:</t>
        </r>
        <r>
          <rPr>
            <sz val="9"/>
            <color indexed="81"/>
            <rFont val="Tahoma"/>
            <family val="2"/>
          </rPr>
          <t xml:space="preserve">
tariff approved to be maintained at 84.90 (7 seniti as GPO for all customers above 150 units. Customers below 150 units will provided GPO of 30 seniti per unit
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Fekita Imuli Mataele:</t>
        </r>
        <r>
          <rPr>
            <sz val="9"/>
            <color indexed="81"/>
            <rFont val="Tahoma"/>
            <family val="2"/>
          </rPr>
          <t xml:space="preserve">
change in NFT increase of 10 seniti approved on 23/11/2015 to be effective 1Dec 2025 t</t>
        </r>
      </text>
    </comment>
    <comment ref="S10" authorId="0" shapeId="0">
      <text>
        <r>
          <rPr>
            <b/>
            <sz val="9"/>
            <color indexed="81"/>
            <rFont val="Tahoma"/>
            <family val="2"/>
          </rPr>
          <t>Fekita Imuli Mataele:</t>
        </r>
        <r>
          <rPr>
            <sz val="9"/>
            <color indexed="81"/>
            <rFont val="Tahoma"/>
            <family val="2"/>
          </rPr>
          <t xml:space="preserve">
approved on 18/12/20 effective on 1/1/21
</t>
        </r>
      </text>
    </comment>
    <comment ref="V10" authorId="0" shapeId="0">
      <text>
        <r>
          <rPr>
            <b/>
            <sz val="9"/>
            <color indexed="81"/>
            <rFont val="Tahoma"/>
            <family val="2"/>
          </rPr>
          <t>Fekita Imuli Mataele:</t>
        </r>
        <r>
          <rPr>
            <sz val="9"/>
            <color indexed="81"/>
            <rFont val="Tahoma"/>
            <family val="2"/>
          </rPr>
          <t xml:space="preserve">
approved on 21/12/21 to be effective on 1/1/22</t>
        </r>
      </text>
    </comment>
    <comment ref="Y10" authorId="0" shapeId="0">
      <text>
        <r>
          <rPr>
            <b/>
            <sz val="9"/>
            <color indexed="81"/>
            <rFont val="Tahoma"/>
            <family val="2"/>
          </rPr>
          <t>Fekita Imuli Mataele:</t>
        </r>
        <r>
          <rPr>
            <sz val="9"/>
            <color indexed="81"/>
            <rFont val="Tahoma"/>
            <family val="2"/>
          </rPr>
          <t xml:space="preserve">
approve 19/12/22 effective 1/1/23
</t>
        </r>
      </text>
    </comment>
    <comment ref="AB10" authorId="0" shapeId="0">
      <text>
        <r>
          <rPr>
            <b/>
            <sz val="9"/>
            <color indexed="81"/>
            <rFont val="Tahoma"/>
            <family val="2"/>
          </rPr>
          <t>Fekita Imuli Mataele:</t>
        </r>
        <r>
          <rPr>
            <sz val="9"/>
            <color indexed="81"/>
            <rFont val="Tahoma"/>
            <family val="2"/>
          </rPr>
          <t xml:space="preserve">
effective 1/1/24
</t>
        </r>
      </text>
    </comment>
    <comment ref="AE10" authorId="0" shapeId="0">
      <text>
        <r>
          <rPr>
            <b/>
            <sz val="9"/>
            <color indexed="81"/>
            <rFont val="Tahoma"/>
            <family val="2"/>
          </rPr>
          <t>Fekita Imuli Mataele:</t>
        </r>
        <r>
          <rPr>
            <sz val="9"/>
            <color indexed="81"/>
            <rFont val="Tahoma"/>
            <family val="2"/>
          </rPr>
          <t xml:space="preserve">
approved L16/1/25 of a decrease of 3.52seniti/kWh
</t>
        </r>
      </text>
    </comment>
    <comment ref="AG10" authorId="0" shapeId="0">
      <text>
        <r>
          <rPr>
            <b/>
            <sz val="9"/>
            <color indexed="81"/>
            <rFont val="Tahoma"/>
            <family val="2"/>
          </rPr>
          <t>Fekita Imuli Mataele:</t>
        </r>
        <r>
          <rPr>
            <sz val="9"/>
            <color indexed="81"/>
            <rFont val="Tahoma"/>
            <family val="2"/>
          </rPr>
          <t xml:space="preserve">
CPI
</t>
        </r>
      </text>
    </comment>
    <comment ref="AH10" authorId="0" shapeId="0">
      <text>
        <r>
          <rPr>
            <b/>
            <sz val="9"/>
            <color indexed="81"/>
            <rFont val="Tahoma"/>
            <family val="2"/>
          </rPr>
          <t>Fekita Imuli Mataele:</t>
        </r>
        <r>
          <rPr>
            <sz val="9"/>
            <color indexed="81"/>
            <rFont val="Tahoma"/>
            <family val="2"/>
          </rPr>
          <t xml:space="preserve">
TEC approval dtd 19/1/26
</t>
        </r>
      </text>
    </comment>
    <comment ref="P13" authorId="0" shapeId="0">
      <text>
        <r>
          <rPr>
            <b/>
            <sz val="9"/>
            <color indexed="81"/>
            <rFont val="Tahoma"/>
            <family val="2"/>
          </rPr>
          <t>Fekita Imuli Mataele:</t>
        </r>
        <r>
          <rPr>
            <sz val="9"/>
            <color indexed="81"/>
            <rFont val="Tahoma"/>
            <family val="2"/>
          </rPr>
          <t xml:space="preserve">
approved 26/3/20 effective on 1/4/20
</t>
        </r>
      </text>
    </comment>
    <comment ref="S13" authorId="0" shapeId="0">
      <text>
        <r>
          <rPr>
            <b/>
            <sz val="9"/>
            <color indexed="81"/>
            <rFont val="Tahoma"/>
            <family val="2"/>
          </rPr>
          <t>Fekita Imuli Mataele:</t>
        </r>
        <r>
          <rPr>
            <sz val="9"/>
            <color indexed="81"/>
            <rFont val="Tahoma"/>
            <family val="2"/>
          </rPr>
          <t xml:space="preserve">
effective 1/4/21
</t>
        </r>
      </text>
    </comment>
    <comment ref="V13" authorId="0" shapeId="0">
      <text>
        <r>
          <rPr>
            <b/>
            <sz val="9"/>
            <color indexed="81"/>
            <rFont val="Tahoma"/>
            <family val="2"/>
          </rPr>
          <t>Fekita Imuli Mataele:</t>
        </r>
        <r>
          <rPr>
            <sz val="9"/>
            <color indexed="81"/>
            <rFont val="Tahoma"/>
            <family val="2"/>
          </rPr>
          <t xml:space="preserve">
approved 30/3/22 to be effective 1/4/22
TPL submission was 98.79 seniti
</t>
        </r>
      </text>
    </comment>
    <comment ref="Y13" authorId="0" shapeId="0">
      <text>
        <r>
          <rPr>
            <b/>
            <sz val="9"/>
            <color indexed="81"/>
            <rFont val="Tahoma"/>
            <family val="2"/>
          </rPr>
          <t>Fekita Imuli Mataele:</t>
        </r>
        <r>
          <rPr>
            <sz val="9"/>
            <color indexed="81"/>
            <rFont val="Tahoma"/>
            <family val="2"/>
          </rPr>
          <t xml:space="preserve">
approved 24/3/23 to be effective 1/4/23
</t>
        </r>
      </text>
    </comment>
    <comment ref="AB13" authorId="0" shapeId="0">
      <text>
        <r>
          <rPr>
            <b/>
            <sz val="9"/>
            <color indexed="81"/>
            <rFont val="Tahoma"/>
            <family val="2"/>
          </rPr>
          <t>Fekita Imuli Mataele:</t>
        </r>
        <r>
          <rPr>
            <sz val="9"/>
            <color indexed="81"/>
            <rFont val="Tahoma"/>
            <family val="2"/>
          </rPr>
          <t xml:space="preserve">
approved 28/3/24 effective 1/4/24
</t>
        </r>
      </text>
    </comment>
    <comment ref="AE13" authorId="0" shapeId="0">
      <text>
        <r>
          <rPr>
            <b/>
            <sz val="9"/>
            <color indexed="81"/>
            <rFont val="Tahoma"/>
            <family val="2"/>
          </rPr>
          <t>Fekita Imuli Mataele:</t>
        </r>
        <r>
          <rPr>
            <sz val="9"/>
            <color indexed="81"/>
            <rFont val="Tahoma"/>
            <family val="2"/>
          </rPr>
          <t xml:space="preserve">
approved L3/4/25 for increase of 8.31seniti/kWh
</t>
        </r>
      </text>
    </comment>
    <comment ref="X25" authorId="0" shapeId="0">
      <text>
        <r>
          <rPr>
            <b/>
            <sz val="9"/>
            <color indexed="81"/>
            <rFont val="Tahoma"/>
            <family val="2"/>
          </rPr>
          <t>Fekita Imuli Mataele:</t>
        </r>
        <r>
          <rPr>
            <sz val="9"/>
            <color indexed="81"/>
            <rFont val="Tahoma"/>
            <family val="2"/>
          </rPr>
          <t xml:space="preserve">
approved 19/1/26
</t>
        </r>
      </text>
    </comment>
  </commentList>
</comments>
</file>

<file path=xl/sharedStrings.xml><?xml version="1.0" encoding="utf-8"?>
<sst xmlns="http://schemas.openxmlformats.org/spreadsheetml/2006/main" count="78" uniqueCount="40">
  <si>
    <t>Month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</si>
  <si>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</si>
  <si>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</si>
  <si>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</si>
  <si>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</si>
  <si>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</si>
  <si>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</si>
  <si>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</si>
  <si>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</si>
  <si>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</si>
  <si>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</si>
  <si>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</si>
  <si>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Fuel Component</t>
  </si>
  <si>
    <t xml:space="preserve">Non Fuel component </t>
  </si>
  <si>
    <t>Total Tariff</t>
  </si>
  <si>
    <t>FC</t>
  </si>
  <si>
    <t>NFT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</si>
  <si>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</si>
  <si>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</si>
  <si>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</si>
  <si>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</si>
  <si>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</si>
  <si>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</si>
  <si>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</si>
  <si>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</si>
  <si>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</si>
  <si>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</si>
  <si>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</si>
  <si>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</si>
  <si>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Quarterly</t>
  </si>
  <si>
    <t>Effective month</t>
  </si>
  <si>
    <t>June Qtr</t>
  </si>
  <si>
    <t>July</t>
  </si>
  <si>
    <t>Sept Qtr</t>
  </si>
  <si>
    <t>no change</t>
  </si>
  <si>
    <t>Dec Qtr</t>
  </si>
  <si>
    <t>Mar Qtr</t>
  </si>
  <si>
    <t>April</t>
  </si>
  <si>
    <t xml:space="preserve">May </t>
  </si>
  <si>
    <t>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</si>
</sst>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0" xfId="0" applyFont="1" applyFill="1"/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3" borderId="6" xfId="0" applyFont="1" applyFill="1" applyBorder="1"/>
    <xf numFmtId="0" fontId="1" fillId="3" borderId="8" xfId="0" applyFont="1" applyFill="1" applyBorder="1"/>
    <xf numFmtId="0" fontId="2" fillId="3" borderId="9" xfId="0" applyFont="1" applyFill="1" applyBorder="1"/>
    <xf numFmtId="164" fontId="1" fillId="3" borderId="8" xfId="0" applyNumberFormat="1" applyFont="1" applyFill="1" applyBorder="1"/>
    <xf numFmtId="164" fontId="1" fillId="3" borderId="6" xfId="0" applyNumberFormat="1" applyFont="1" applyFill="1" applyBorder="1"/>
    <xf numFmtId="164" fontId="2" fillId="3" borderId="9" xfId="0" applyNumberFormat="1" applyFont="1" applyFill="1" applyBorder="1"/>
    <xf numFmtId="164" fontId="2" fillId="3" borderId="7" xfId="0" applyNumberFormat="1" applyFont="1" applyFill="1" applyBorder="1"/>
    <xf numFmtId="0" fontId="2" fillId="3" borderId="7" xfId="0" applyFont="1" applyFill="1" applyBorder="1"/>
    <xf numFmtId="0" fontId="1" fillId="3" borderId="10" xfId="0" applyFont="1" applyFill="1" applyBorder="1"/>
    <xf numFmtId="0" fontId="1" fillId="0" borderId="6" xfId="0" applyFont="1" applyBorder="1"/>
    <xf numFmtId="0" fontId="1" fillId="0" borderId="8" xfId="0" applyFont="1" applyBorder="1"/>
    <xf numFmtId="0" fontId="2" fillId="4" borderId="9" xfId="0" applyFont="1" applyFill="1" applyBorder="1"/>
    <xf numFmtId="164" fontId="1" fillId="0" borderId="8" xfId="0" applyNumberFormat="1" applyFont="1" applyBorder="1"/>
    <xf numFmtId="164" fontId="1" fillId="0" borderId="6" xfId="0" applyNumberFormat="1" applyFont="1" applyBorder="1"/>
    <xf numFmtId="164" fontId="2" fillId="4" borderId="9" xfId="0" applyNumberFormat="1" applyFont="1" applyFill="1" applyBorder="1"/>
    <xf numFmtId="164" fontId="2" fillId="4" borderId="7" xfId="0" applyNumberFormat="1" applyFont="1" applyFill="1" applyBorder="1"/>
    <xf numFmtId="0" fontId="2" fillId="4" borderId="7" xfId="0" applyFont="1" applyFill="1" applyBorder="1"/>
    <xf numFmtId="0" fontId="1" fillId="0" borderId="10" xfId="0" applyFont="1" applyFill="1" applyBorder="1"/>
    <xf numFmtId="0" fontId="1" fillId="0" borderId="6" xfId="0" applyFont="1" applyFill="1" applyBorder="1"/>
    <xf numFmtId="0" fontId="1" fillId="0" borderId="8" xfId="0" applyFont="1" applyFill="1" applyBorder="1"/>
    <xf numFmtId="164" fontId="1" fillId="0" borderId="8" xfId="0" applyNumberFormat="1" applyFont="1" applyFill="1" applyBorder="1"/>
    <xf numFmtId="164" fontId="1" fillId="0" borderId="6" xfId="0" applyNumberFormat="1" applyFont="1" applyFill="1" applyBorder="1"/>
    <xf numFmtId="0" fontId="1" fillId="0" borderId="10" xfId="0" applyFont="1" applyBorder="1"/>
    <xf numFmtId="0" fontId="2" fillId="5" borderId="9" xfId="0" applyFont="1" applyFill="1" applyBorder="1"/>
    <xf numFmtId="0" fontId="1" fillId="0" borderId="11" xfId="0" applyFont="1" applyBorder="1"/>
    <xf numFmtId="0" fontId="1" fillId="0" borderId="12" xfId="0" applyFont="1" applyBorder="1"/>
    <xf numFmtId="0" fontId="2" fillId="4" borderId="13" xfId="0" applyFont="1" applyFill="1" applyBorder="1"/>
    <xf numFmtId="164" fontId="1" fillId="0" borderId="11" xfId="0" applyNumberFormat="1" applyFont="1" applyBorder="1"/>
    <xf numFmtId="164" fontId="1" fillId="0" borderId="12" xfId="0" applyNumberFormat="1" applyFont="1" applyBorder="1"/>
    <xf numFmtId="164" fontId="2" fillId="4" borderId="13" xfId="0" applyNumberFormat="1" applyFont="1" applyFill="1" applyBorder="1"/>
    <xf numFmtId="164" fontId="2" fillId="4" borderId="14" xfId="0" applyNumberFormat="1" applyFont="1" applyFill="1" applyBorder="1"/>
    <xf numFmtId="0" fontId="2" fillId="4" borderId="14" xfId="0" applyFont="1" applyFill="1" applyBorder="1"/>
    <xf numFmtId="0" fontId="1" fillId="0" borderId="15" xfId="0" applyFont="1" applyBorder="1"/>
    <xf numFmtId="17" fontId="2" fillId="0" borderId="0" xfId="0" applyNumberFormat="1" applyFont="1"/>
    <xf numFmtId="17" fontId="1" fillId="0" borderId="0" xfId="0" applyNumberFormat="1" applyFont="1"/>
    <xf numFmtId="0" fontId="2" fillId="6" borderId="16" xfId="0" applyFont="1" applyFill="1" applyBorder="1"/>
    <xf numFmtId="0" fontId="2" fillId="6" borderId="17" xfId="0" applyFont="1" applyFill="1" applyBorder="1" applyAlignment="1">
      <alignment wrapText="1"/>
    </xf>
    <xf numFmtId="0" fontId="2" fillId="6" borderId="17" xfId="0" applyFont="1" applyFill="1" applyBorder="1"/>
    <xf numFmtId="0" fontId="2" fillId="6" borderId="18" xfId="0" applyFont="1" applyFill="1" applyBorder="1"/>
    <xf numFmtId="0" fontId="2" fillId="6" borderId="6" xfId="0" applyFont="1" applyFill="1" applyBorder="1"/>
    <xf numFmtId="0" fontId="2" fillId="0" borderId="0" xfId="0" applyFont="1"/>
    <xf numFmtId="0" fontId="2" fillId="0" borderId="8" xfId="0" applyFont="1" applyBorder="1"/>
    <xf numFmtId="0" fontId="3" fillId="0" borderId="6" xfId="0" applyFont="1" applyBorder="1" applyAlignment="1">
      <alignment horizontal="center"/>
    </xf>
    <xf numFmtId="164" fontId="1" fillId="0" borderId="7" xfId="0" applyNumberFormat="1" applyFont="1" applyFill="1" applyBorder="1"/>
    <xf numFmtId="164" fontId="1" fillId="0" borderId="6" xfId="0" applyNumberFormat="1" applyFont="1" applyBorder="1" applyAlignment="1">
      <alignment horizontal="center" wrapText="1"/>
    </xf>
    <xf numFmtId="164" fontId="1" fillId="0" borderId="7" xfId="0" applyNumberFormat="1" applyFont="1" applyBorder="1"/>
    <xf numFmtId="0" fontId="2" fillId="7" borderId="8" xfId="0" applyFont="1" applyFill="1" applyBorder="1"/>
    <xf numFmtId="164" fontId="1" fillId="7" borderId="6" xfId="0" applyNumberFormat="1" applyFont="1" applyFill="1" applyBorder="1"/>
    <xf numFmtId="0" fontId="2" fillId="7" borderId="11" xfId="0" applyFont="1" applyFill="1" applyBorder="1"/>
    <xf numFmtId="0" fontId="3" fillId="0" borderId="12" xfId="0" applyFont="1" applyBorder="1" applyAlignment="1">
      <alignment horizontal="center"/>
    </xf>
    <xf numFmtId="164" fontId="1" fillId="7" borderId="12" xfId="0" applyNumberFormat="1" applyFont="1" applyFill="1" applyBorder="1"/>
    <xf numFmtId="164" fontId="1" fillId="0" borderId="14" xfId="0" applyNumberFormat="1" applyFont="1" applyBorder="1"/>
    <xf numFmtId="17" fontId="2" fillId="3" borderId="7" xfId="0" applyNumberFormat="1" applyFont="1" applyFill="1" applyBorder="1"/>
    <xf numFmtId="17" fontId="2" fillId="0" borderId="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059327"/>
        <c:axId val="289064735"/>
      </c:lineChart>
      <c:catAx>
        <c:axId val="289059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064735"/>
        <c:crosses val="autoZero"/>
        <c:auto val="1"/>
        <c:lblAlgn val="ctr"/>
        <c:lblOffset val="100"/>
        <c:noMultiLvlLbl val="0"/>
      </c:catAx>
      <c:valAx>
        <c:axId val="28906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059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750570</xdr:colOff>
      <xdr:row>19</xdr:row>
      <xdr:rowOff>53340</xdr:rowOff>
    </xdr:from>
    <xdr:to>
      <xdr:col>34</xdr:col>
      <xdr:colOff>598170</xdr:colOff>
      <xdr:row>27</xdr:row>
      <xdr:rowOff>167640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3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21" sqref="E21"/>
    </sheetView>
  </sheetViews>
  <sheetFormatPr defaultRowHeight="15.6" x14ac:dyDescent="0.3"/>
  <cols>
    <col min="1" max="1" width="8.88671875" style="1"/>
    <col min="2" max="2" width="12.21875" style="1" customWidth="1"/>
    <col min="3" max="3" width="12.33203125" style="1" customWidth="1"/>
    <col min="4" max="4" width="8.88671875" style="1" customWidth="1"/>
    <col min="5" max="5" width="13" style="1" customWidth="1"/>
    <col min="6" max="6" width="11.44140625" style="1" customWidth="1"/>
    <col min="7" max="7" width="8.88671875" style="1" customWidth="1"/>
    <col min="8" max="8" width="12.21875" style="1" customWidth="1"/>
    <col min="9" max="9" width="11.77734375" style="1" customWidth="1"/>
    <col min="10" max="10" width="8.88671875" style="1" customWidth="1"/>
    <col min="11" max="11" width="11.88671875" style="1" customWidth="1"/>
    <col min="12" max="12" width="11.44140625" style="1" customWidth="1"/>
    <col min="13" max="13" width="8.88671875" style="1" customWidth="1"/>
    <col min="14" max="14" width="12.44140625" style="1" customWidth="1"/>
    <col min="15" max="15" width="11.6640625" style="1" customWidth="1"/>
    <col min="16" max="16" width="8.88671875" style="1" customWidth="1"/>
    <col min="17" max="17" width="11.77734375" style="1" customWidth="1"/>
    <col min="18" max="18" width="12.21875" style="1" customWidth="1"/>
    <col min="19" max="19" width="8.88671875" style="1"/>
    <col min="20" max="21" width="12" style="1" customWidth="1"/>
    <col min="22" max="22" width="8.88671875" style="1"/>
    <col min="23" max="23" width="12.33203125" style="1" customWidth="1"/>
    <col min="24" max="24" width="11.77734375" style="1" customWidth="1"/>
    <col min="25" max="25" width="8.88671875" style="1"/>
    <col min="26" max="26" width="12.109375" style="1" customWidth="1"/>
    <col min="27" max="27" width="14.21875" style="1" customWidth="1"/>
    <col min="28" max="28" width="8.88671875" style="1"/>
    <col min="29" max="29" width="11.77734375" style="1" customWidth="1"/>
    <col min="30" max="30" width="11.5546875" style="1" customWidth="1"/>
    <col min="31" max="31" width="8.88671875" style="1"/>
    <col min="32" max="32" width="13.77734375" style="1" bestFit="1" customWidth="1"/>
    <col min="33" max="16384" width="8.88671875" style="1"/>
  </cols>
  <sheetData>
    <row r="1" spans="1:35" ht="16.2" thickBot="1" x14ac:dyDescent="0.35"/>
    <row r="2" spans="1:35" s="6" customFormat="1" x14ac:dyDescent="0.3">
      <c r="A2" s="2" t="s">
        <v>0</v>
      </c>
      <c r="B2" s="4" t="s">
        <v>1</v>
      </c>
      <c r="C2" s="4"/>
      <c r="D2" s="5"/>
      <c r="E2" s="3" t="s">
        <v>2</v>
      </c>
      <c r="F2" s="4"/>
      <c r="G2" s="5"/>
      <c r="H2" s="3" t="s">
        <v>3</v>
      </c>
      <c r="I2" s="4"/>
      <c r="J2" s="5"/>
      <c r="K2" s="3" t="s">
        <v>4</v>
      </c>
      <c r="L2" s="4"/>
      <c r="M2" s="5"/>
      <c r="N2" s="3" t="s">
        <v>5</v>
      </c>
      <c r="O2" s="4"/>
      <c r="P2" s="4"/>
      <c r="Q2" s="3" t="s">
        <v>6</v>
      </c>
      <c r="R2" s="4"/>
      <c r="S2" s="4"/>
      <c r="T2" s="3" t="s">
        <v>7</v>
      </c>
      <c r="U2" s="4"/>
      <c r="V2" s="5"/>
      <c r="W2" s="4" t="s">
        <v>8</v>
      </c>
      <c r="X2" s="4"/>
      <c r="Y2" s="5"/>
      <c r="Z2" s="3" t="s">
        <v>9</v>
      </c>
      <c r="AA2" s="4"/>
      <c r="AB2" s="5"/>
      <c r="AC2" s="3" t="s">
        <v>10</v>
      </c>
      <c r="AD2" s="4"/>
      <c r="AE2" s="5"/>
      <c r="AF2" s="3" t="s">
        <v>11</v>
      </c>
      <c r="AG2" s="4"/>
      <c r="AH2" s="5"/>
    </row>
    <row r="3" spans="1:35" s="7" customFormat="1" ht="46.8" x14ac:dyDescent="0.3">
      <c r="B3" s="9" t="s">
        <v>12</v>
      </c>
      <c r="C3" s="9" t="s">
        <v>13</v>
      </c>
      <c r="D3" s="10" t="s">
        <v>14</v>
      </c>
      <c r="E3" s="8" t="s">
        <v>12</v>
      </c>
      <c r="F3" s="9" t="s">
        <v>13</v>
      </c>
      <c r="G3" s="10" t="s">
        <v>14</v>
      </c>
      <c r="H3" s="8" t="s">
        <v>12</v>
      </c>
      <c r="I3" s="9" t="s">
        <v>13</v>
      </c>
      <c r="J3" s="10" t="s">
        <v>14</v>
      </c>
      <c r="K3" s="8" t="s">
        <v>12</v>
      </c>
      <c r="L3" s="9" t="s">
        <v>13</v>
      </c>
      <c r="M3" s="10" t="s">
        <v>14</v>
      </c>
      <c r="N3" s="8" t="s">
        <v>12</v>
      </c>
      <c r="O3" s="9" t="s">
        <v>13</v>
      </c>
      <c r="P3" s="9" t="s">
        <v>14</v>
      </c>
      <c r="Q3" s="8" t="s">
        <v>12</v>
      </c>
      <c r="R3" s="9" t="s">
        <v>13</v>
      </c>
      <c r="S3" s="9" t="s">
        <v>14</v>
      </c>
      <c r="T3" s="8" t="s">
        <v>12</v>
      </c>
      <c r="U3" s="9" t="s">
        <v>13</v>
      </c>
      <c r="V3" s="10" t="s">
        <v>14</v>
      </c>
      <c r="W3" s="8" t="s">
        <v>12</v>
      </c>
      <c r="X3" s="9" t="s">
        <v>13</v>
      </c>
      <c r="Y3" s="10" t="s">
        <v>14</v>
      </c>
      <c r="Z3" s="8" t="s">
        <v>12</v>
      </c>
      <c r="AA3" s="9" t="s">
        <v>13</v>
      </c>
      <c r="AB3" s="10" t="s">
        <v>14</v>
      </c>
      <c r="AC3" s="8" t="s">
        <v>12</v>
      </c>
      <c r="AD3" s="9" t="s">
        <v>13</v>
      </c>
      <c r="AE3" s="10" t="s">
        <v>14</v>
      </c>
      <c r="AF3" s="11" t="s">
        <v>15</v>
      </c>
      <c r="AG3" s="12" t="s">
        <v>16</v>
      </c>
      <c r="AH3" s="10" t="s">
        <v>14</v>
      </c>
    </row>
    <row r="4" spans="1:35" s="13" customFormat="1" x14ac:dyDescent="0.3">
      <c r="A4" s="65" t="s">
        <v>17</v>
      </c>
      <c r="B4" s="21">
        <v>0.3886</v>
      </c>
      <c r="C4" s="13">
        <v>0.4425</v>
      </c>
      <c r="D4" s="15">
        <f>B4+C4</f>
        <v>0.83109999999999995</v>
      </c>
      <c r="E4" s="14">
        <v>0.27760000000000001</v>
      </c>
      <c r="F4" s="13">
        <v>0.44350000000000001</v>
      </c>
      <c r="G4" s="15">
        <f>E4+F4</f>
        <v>0.72110000000000007</v>
      </c>
      <c r="H4" s="16">
        <v>0.34200000000000003</v>
      </c>
      <c r="I4" s="17">
        <v>0.47</v>
      </c>
      <c r="J4" s="18">
        <f>H4+I4</f>
        <v>0.81200000000000006</v>
      </c>
      <c r="K4" s="14">
        <v>0.38529999999999998</v>
      </c>
      <c r="L4" s="13">
        <v>0.42670000000000002</v>
      </c>
      <c r="M4" s="18">
        <f>K4+L4</f>
        <v>0.81200000000000006</v>
      </c>
      <c r="N4" s="14">
        <v>0.4123</v>
      </c>
      <c r="O4" s="13">
        <v>0.38669999999999999</v>
      </c>
      <c r="P4" s="19">
        <f>N4+O4</f>
        <v>0.79899999999999993</v>
      </c>
      <c r="Q4" s="14">
        <v>0.2235</v>
      </c>
      <c r="R4" s="13">
        <v>0.38669999999999999</v>
      </c>
      <c r="S4" s="20">
        <v>0.61019999999999996</v>
      </c>
      <c r="T4" s="14">
        <v>0.40039999999999998</v>
      </c>
      <c r="U4" s="13">
        <v>0.40670000000000001</v>
      </c>
      <c r="V4" s="15">
        <v>0.80709999999999993</v>
      </c>
      <c r="W4" s="21">
        <v>0.86050000000000004</v>
      </c>
      <c r="X4" s="13">
        <v>0.40670000000000001</v>
      </c>
      <c r="Y4" s="15">
        <f>W4+X4</f>
        <v>1.2672000000000001</v>
      </c>
      <c r="Z4" s="14">
        <v>0.46910000000000002</v>
      </c>
      <c r="AA4" s="13">
        <v>0.40670000000000001</v>
      </c>
      <c r="AB4" s="15">
        <f>Z4+AA4</f>
        <v>0.87580000000000002</v>
      </c>
      <c r="AC4" s="14">
        <v>0.51370000000000005</v>
      </c>
      <c r="AD4" s="13">
        <v>0.43109999999999998</v>
      </c>
      <c r="AE4" s="15">
        <f>AC4+AD4</f>
        <v>0.94480000000000008</v>
      </c>
      <c r="AF4" s="16">
        <v>0.40500000000000003</v>
      </c>
      <c r="AG4" s="17">
        <v>0.44400000000000001</v>
      </c>
      <c r="AH4" s="18">
        <f>AF4+AG4</f>
        <v>0.84899999999999998</v>
      </c>
      <c r="AI4" s="21"/>
    </row>
    <row r="5" spans="1:35" s="22" customFormat="1" x14ac:dyDescent="0.3">
      <c r="A5" s="66" t="s">
        <v>18</v>
      </c>
      <c r="B5" s="35">
        <v>0.3886</v>
      </c>
      <c r="C5" s="22">
        <v>0.4425</v>
      </c>
      <c r="D5" s="24">
        <f t="shared" ref="D5:D15" si="0">B5+C5</f>
        <v>0.83109999999999995</v>
      </c>
      <c r="E5" s="23">
        <v>0.27760000000000001</v>
      </c>
      <c r="F5" s="22">
        <v>0.44350000000000001</v>
      </c>
      <c r="G5" s="24">
        <f t="shared" ref="G5:G15" si="1">E5+F5</f>
        <v>0.72110000000000007</v>
      </c>
      <c r="H5" s="25">
        <v>0.34200000000000003</v>
      </c>
      <c r="I5" s="26">
        <v>0.47</v>
      </c>
      <c r="J5" s="27">
        <f t="shared" ref="J5:J15" si="2">H5+I5</f>
        <v>0.81200000000000006</v>
      </c>
      <c r="K5" s="23">
        <v>0.38529999999999998</v>
      </c>
      <c r="L5" s="22">
        <v>0.42670000000000002</v>
      </c>
      <c r="M5" s="27">
        <f t="shared" ref="M5:M15" si="3">K5+L5</f>
        <v>0.81200000000000006</v>
      </c>
      <c r="N5" s="23">
        <v>0.4123</v>
      </c>
      <c r="O5" s="22">
        <v>0.38669999999999999</v>
      </c>
      <c r="P5" s="28">
        <f t="shared" ref="P5:P15" si="4">N5+O5</f>
        <v>0.79899999999999993</v>
      </c>
      <c r="Q5" s="23">
        <v>0.2235</v>
      </c>
      <c r="R5" s="22">
        <v>0.38669999999999999</v>
      </c>
      <c r="S5" s="29">
        <v>0.61019999999999996</v>
      </c>
      <c r="T5" s="23">
        <v>0.40039999999999998</v>
      </c>
      <c r="U5" s="22">
        <v>0.40670000000000001</v>
      </c>
      <c r="V5" s="24">
        <v>0.80709999999999993</v>
      </c>
      <c r="W5" s="30">
        <v>0.86050000000000004</v>
      </c>
      <c r="X5" s="31">
        <v>0.40670000000000001</v>
      </c>
      <c r="Y5" s="24">
        <f t="shared" ref="Y5:Y6" si="5">W5+X5</f>
        <v>1.2672000000000001</v>
      </c>
      <c r="Z5" s="32">
        <v>0.46910000000000002</v>
      </c>
      <c r="AA5" s="31">
        <v>0.40670000000000001</v>
      </c>
      <c r="AB5" s="24">
        <f t="shared" ref="AB5:AB6" si="6">Z5+AA5</f>
        <v>0.87580000000000002</v>
      </c>
      <c r="AC5" s="23">
        <v>0.5292</v>
      </c>
      <c r="AD5" s="22">
        <v>0.43109999999999998</v>
      </c>
      <c r="AE5" s="24">
        <f t="shared" ref="AE5:AE15" si="7">AC5+AD5</f>
        <v>0.96029999999999993</v>
      </c>
      <c r="AF5" s="33">
        <v>0.40500000000000003</v>
      </c>
      <c r="AG5" s="34">
        <v>0.44400000000000001</v>
      </c>
      <c r="AH5" s="27">
        <f>AF5+AG5</f>
        <v>0.84899999999999998</v>
      </c>
      <c r="AI5" s="35"/>
    </row>
    <row r="6" spans="1:35" s="22" customFormat="1" x14ac:dyDescent="0.3">
      <c r="A6" s="66" t="s">
        <v>19</v>
      </c>
      <c r="B6" s="35">
        <v>0.37119999999999997</v>
      </c>
      <c r="C6" s="22">
        <v>0.4425</v>
      </c>
      <c r="D6" s="24">
        <f t="shared" si="0"/>
        <v>0.81369999999999998</v>
      </c>
      <c r="E6" s="23">
        <v>0.27760000000000001</v>
      </c>
      <c r="F6" s="22">
        <v>0.44350000000000001</v>
      </c>
      <c r="G6" s="24">
        <f t="shared" si="1"/>
        <v>0.72110000000000007</v>
      </c>
      <c r="H6" s="25">
        <v>0.34200000000000003</v>
      </c>
      <c r="I6" s="26">
        <v>0.47</v>
      </c>
      <c r="J6" s="27">
        <f t="shared" si="2"/>
        <v>0.81200000000000006</v>
      </c>
      <c r="K6" s="23">
        <v>0.38529999999999998</v>
      </c>
      <c r="L6" s="22">
        <v>0.42670000000000002</v>
      </c>
      <c r="M6" s="27">
        <f t="shared" si="3"/>
        <v>0.81200000000000006</v>
      </c>
      <c r="N6" s="23">
        <v>0.4123</v>
      </c>
      <c r="O6" s="22">
        <v>0.38669999999999999</v>
      </c>
      <c r="P6" s="28">
        <f t="shared" si="4"/>
        <v>0.79899999999999993</v>
      </c>
      <c r="Q6" s="23">
        <v>0.2235</v>
      </c>
      <c r="R6" s="22">
        <v>0.38669999999999999</v>
      </c>
      <c r="S6" s="29">
        <v>0.61019999999999996</v>
      </c>
      <c r="T6" s="23">
        <v>0.40039999999999998</v>
      </c>
      <c r="U6" s="22">
        <v>0.40670000000000001</v>
      </c>
      <c r="V6" s="24">
        <v>0.80709999999999993</v>
      </c>
      <c r="W6" s="30">
        <v>0.86050000000000004</v>
      </c>
      <c r="X6" s="31">
        <v>0.40670000000000001</v>
      </c>
      <c r="Y6" s="24">
        <f t="shared" si="5"/>
        <v>1.2672000000000001</v>
      </c>
      <c r="Z6" s="23">
        <v>0.46910000000000002</v>
      </c>
      <c r="AA6" s="22">
        <v>0.40670000000000001</v>
      </c>
      <c r="AB6" s="27">
        <f t="shared" si="6"/>
        <v>0.87580000000000002</v>
      </c>
      <c r="AC6" s="23">
        <f>AC5</f>
        <v>0.5292</v>
      </c>
      <c r="AD6" s="22">
        <f>AD5</f>
        <v>0.43109999999999998</v>
      </c>
      <c r="AE6" s="24">
        <f t="shared" si="7"/>
        <v>0.96029999999999993</v>
      </c>
      <c r="AF6" s="33">
        <v>0.40500000000000003</v>
      </c>
      <c r="AG6" s="34">
        <v>0.44400000000000001</v>
      </c>
      <c r="AH6" s="27">
        <f>AF6+AG6</f>
        <v>0.84899999999999998</v>
      </c>
      <c r="AI6" s="35"/>
    </row>
    <row r="7" spans="1:35" s="13" customFormat="1" x14ac:dyDescent="0.3">
      <c r="A7" s="65" t="s">
        <v>20</v>
      </c>
      <c r="B7" s="21">
        <v>0.37119999999999997</v>
      </c>
      <c r="C7" s="13">
        <v>0.4425</v>
      </c>
      <c r="D7" s="15">
        <f t="shared" si="0"/>
        <v>0.81369999999999998</v>
      </c>
      <c r="E7" s="14">
        <v>0.29635</v>
      </c>
      <c r="F7" s="13">
        <v>0.44350000000000001</v>
      </c>
      <c r="G7" s="15">
        <f t="shared" si="1"/>
        <v>0.73985000000000001</v>
      </c>
      <c r="H7" s="16">
        <v>0.34200000000000003</v>
      </c>
      <c r="I7" s="17">
        <v>0.47</v>
      </c>
      <c r="J7" s="18">
        <f t="shared" si="2"/>
        <v>0.81200000000000006</v>
      </c>
      <c r="K7" s="14">
        <v>0.38529999999999998</v>
      </c>
      <c r="L7" s="13">
        <v>0.42670000000000002</v>
      </c>
      <c r="M7" s="18">
        <f t="shared" si="3"/>
        <v>0.81200000000000006</v>
      </c>
      <c r="N7" s="14">
        <v>0.4123</v>
      </c>
      <c r="O7" s="13">
        <v>0.38669999999999999</v>
      </c>
      <c r="P7" s="19">
        <f t="shared" si="4"/>
        <v>0.79899999999999993</v>
      </c>
      <c r="Q7" s="14">
        <v>0.2235</v>
      </c>
      <c r="R7" s="13">
        <v>0.38669999999999999</v>
      </c>
      <c r="S7" s="20">
        <v>0.61019999999999996</v>
      </c>
      <c r="T7" s="14">
        <v>0.4345</v>
      </c>
      <c r="U7" s="13">
        <v>0.40670000000000001</v>
      </c>
      <c r="V7" s="15">
        <v>0.84119999999999995</v>
      </c>
      <c r="W7" s="21">
        <v>0.79190000000000005</v>
      </c>
      <c r="X7" s="13">
        <v>0.40670000000000001</v>
      </c>
      <c r="Y7" s="15">
        <v>1.1986000000000001</v>
      </c>
      <c r="Z7" s="16">
        <v>0.58340000000000003</v>
      </c>
      <c r="AA7" s="13">
        <v>0.40670000000000001</v>
      </c>
      <c r="AB7" s="18">
        <f>Z7+AA7</f>
        <v>0.99009999999999998</v>
      </c>
      <c r="AC7" s="14">
        <v>0.48580000000000001</v>
      </c>
      <c r="AD7" s="13">
        <v>0.43109999999999998</v>
      </c>
      <c r="AE7" s="15">
        <f t="shared" si="7"/>
        <v>0.91690000000000005</v>
      </c>
      <c r="AF7" s="14">
        <v>0.47760000000000002</v>
      </c>
      <c r="AG7" s="17">
        <v>0.44400000000000001</v>
      </c>
      <c r="AH7" s="18">
        <f>AF7+AG7</f>
        <v>0.92159999999999997</v>
      </c>
      <c r="AI7" s="21"/>
    </row>
    <row r="8" spans="1:35" s="22" customFormat="1" x14ac:dyDescent="0.3">
      <c r="A8" s="66" t="s">
        <v>21</v>
      </c>
      <c r="B8" s="35">
        <v>0.37119999999999997</v>
      </c>
      <c r="C8" s="22">
        <v>0.4425</v>
      </c>
      <c r="D8" s="24">
        <f t="shared" si="0"/>
        <v>0.81369999999999998</v>
      </c>
      <c r="E8" s="23">
        <v>0.29635</v>
      </c>
      <c r="F8" s="22">
        <v>0.44350000000000001</v>
      </c>
      <c r="G8" s="24">
        <f t="shared" si="1"/>
        <v>0.73985000000000001</v>
      </c>
      <c r="H8" s="25">
        <v>0.34200000000000003</v>
      </c>
      <c r="I8" s="26">
        <v>0.47</v>
      </c>
      <c r="J8" s="27">
        <f t="shared" si="2"/>
        <v>0.81200000000000006</v>
      </c>
      <c r="K8" s="23">
        <v>0.38529999999999998</v>
      </c>
      <c r="L8" s="22">
        <v>0.42670000000000002</v>
      </c>
      <c r="M8" s="27">
        <f t="shared" si="3"/>
        <v>0.81200000000000006</v>
      </c>
      <c r="N8" s="23">
        <v>0.4123</v>
      </c>
      <c r="O8" s="22">
        <v>0.38669999999999999</v>
      </c>
      <c r="P8" s="28">
        <f t="shared" si="4"/>
        <v>0.79899999999999993</v>
      </c>
      <c r="Q8" s="23">
        <v>0.2515</v>
      </c>
      <c r="R8" s="22">
        <v>0.38669999999999999</v>
      </c>
      <c r="S8" s="29">
        <f>Q8+R8</f>
        <v>0.63819999999999999</v>
      </c>
      <c r="T8" s="23">
        <v>0.4345</v>
      </c>
      <c r="U8" s="22">
        <v>0.40670000000000001</v>
      </c>
      <c r="V8" s="24">
        <v>0.84119999999999995</v>
      </c>
      <c r="W8" s="35">
        <v>0.79190000000000005</v>
      </c>
      <c r="X8" s="22">
        <v>0.40670000000000001</v>
      </c>
      <c r="Y8" s="24">
        <v>1.1986000000000001</v>
      </c>
      <c r="Z8" s="32">
        <v>0.58340000000000003</v>
      </c>
      <c r="AA8" s="31">
        <v>0.40670000000000001</v>
      </c>
      <c r="AB8" s="24">
        <v>0.99009999999999998</v>
      </c>
      <c r="AC8" s="23">
        <v>0.48580000000000001</v>
      </c>
      <c r="AD8" s="22">
        <v>0.43109999999999998</v>
      </c>
      <c r="AE8" s="36">
        <f t="shared" si="7"/>
        <v>0.91690000000000005</v>
      </c>
      <c r="AF8" s="23">
        <v>0.47760000000000002</v>
      </c>
      <c r="AG8" s="26">
        <v>0.44400000000000001</v>
      </c>
      <c r="AH8" s="27">
        <f t="shared" ref="AH8:AH9" si="8">AF8+AG8</f>
        <v>0.92159999999999997</v>
      </c>
      <c r="AI8" s="35"/>
    </row>
    <row r="9" spans="1:35" s="22" customFormat="1" x14ac:dyDescent="0.3">
      <c r="A9" s="66" t="s">
        <v>22</v>
      </c>
      <c r="B9" s="35">
        <v>0.37119999999999997</v>
      </c>
      <c r="C9" s="22">
        <v>0.4425</v>
      </c>
      <c r="D9" s="24">
        <f t="shared" si="0"/>
        <v>0.81369999999999998</v>
      </c>
      <c r="E9" s="23">
        <v>0.29635</v>
      </c>
      <c r="F9" s="22">
        <v>0.44350000000000001</v>
      </c>
      <c r="G9" s="24">
        <f t="shared" si="1"/>
        <v>0.73985000000000001</v>
      </c>
      <c r="H9" s="25">
        <v>0.34200000000000003</v>
      </c>
      <c r="I9" s="26">
        <v>0.47</v>
      </c>
      <c r="J9" s="27">
        <f t="shared" si="2"/>
        <v>0.81200000000000006</v>
      </c>
      <c r="K9" s="23">
        <v>0.38529999999999998</v>
      </c>
      <c r="L9" s="22">
        <v>0.42670000000000002</v>
      </c>
      <c r="M9" s="27">
        <f t="shared" si="3"/>
        <v>0.81200000000000006</v>
      </c>
      <c r="N9" s="23">
        <v>0.4123</v>
      </c>
      <c r="O9" s="22">
        <v>0.38669999999999999</v>
      </c>
      <c r="P9" s="28">
        <f t="shared" si="4"/>
        <v>0.79899999999999993</v>
      </c>
      <c r="Q9" s="23">
        <v>0.2515</v>
      </c>
      <c r="R9" s="22">
        <v>0.38669999999999999</v>
      </c>
      <c r="S9" s="29">
        <f>Q9+R9</f>
        <v>0.63819999999999999</v>
      </c>
      <c r="T9" s="23">
        <v>0.4345</v>
      </c>
      <c r="U9" s="22">
        <v>0.40670000000000001</v>
      </c>
      <c r="V9" s="24">
        <v>0.84119999999999995</v>
      </c>
      <c r="W9" s="35">
        <v>0.79190000000000005</v>
      </c>
      <c r="X9" s="22">
        <v>0.40670000000000001</v>
      </c>
      <c r="Y9" s="24">
        <v>1.1986000000000001</v>
      </c>
      <c r="Z9" s="23">
        <v>0.58340000000000003</v>
      </c>
      <c r="AA9" s="22">
        <v>0.40670000000000001</v>
      </c>
      <c r="AB9" s="24">
        <v>0.99009999999999998</v>
      </c>
      <c r="AC9" s="23">
        <v>0.48580000000000001</v>
      </c>
      <c r="AD9" s="22">
        <v>0.43109999999999998</v>
      </c>
      <c r="AE9" s="36">
        <f t="shared" si="7"/>
        <v>0.91690000000000005</v>
      </c>
      <c r="AF9" s="23">
        <v>0.47760000000000002</v>
      </c>
      <c r="AG9" s="26">
        <v>0.44400000000000001</v>
      </c>
      <c r="AH9" s="27">
        <f t="shared" si="8"/>
        <v>0.92159999999999997</v>
      </c>
      <c r="AI9" s="35"/>
    </row>
    <row r="10" spans="1:35" s="13" customFormat="1" x14ac:dyDescent="0.3">
      <c r="A10" s="65" t="s">
        <v>23</v>
      </c>
      <c r="B10" s="21">
        <v>0.34329999999999999</v>
      </c>
      <c r="C10" s="13">
        <v>0.44350000000000001</v>
      </c>
      <c r="D10" s="15">
        <f t="shared" si="0"/>
        <v>0.78679999999999994</v>
      </c>
      <c r="E10" s="14">
        <v>0.29635</v>
      </c>
      <c r="F10" s="13">
        <v>0.44350000000000001</v>
      </c>
      <c r="G10" s="15">
        <f t="shared" si="1"/>
        <v>0.73985000000000001</v>
      </c>
      <c r="H10" s="16">
        <v>0.34200000000000003</v>
      </c>
      <c r="I10" s="17">
        <v>0.47</v>
      </c>
      <c r="J10" s="18">
        <f t="shared" si="2"/>
        <v>0.81200000000000006</v>
      </c>
      <c r="K10" s="14">
        <v>0.38529999999999998</v>
      </c>
      <c r="L10" s="13">
        <v>0.42670000000000002</v>
      </c>
      <c r="M10" s="18">
        <f t="shared" si="3"/>
        <v>0.81200000000000006</v>
      </c>
      <c r="N10" s="14">
        <v>0.4123</v>
      </c>
      <c r="O10" s="13">
        <v>0.38669999999999999</v>
      </c>
      <c r="P10" s="19">
        <f t="shared" si="4"/>
        <v>0.79899999999999993</v>
      </c>
      <c r="Q10" s="14">
        <v>0.28260000000000002</v>
      </c>
      <c r="R10" s="13">
        <v>0.43140000000000001</v>
      </c>
      <c r="S10" s="19">
        <f>Q10+R10</f>
        <v>0.71399999999999997</v>
      </c>
      <c r="T10" s="14">
        <v>0.50339999999999996</v>
      </c>
      <c r="U10" s="13">
        <v>0.40670000000000001</v>
      </c>
      <c r="V10" s="15">
        <v>0.91009999999999991</v>
      </c>
      <c r="W10" s="21">
        <v>0.61060000000000003</v>
      </c>
      <c r="X10" s="13">
        <v>0.40670000000000001</v>
      </c>
      <c r="Y10" s="15">
        <v>1.0173000000000001</v>
      </c>
      <c r="Z10" s="14">
        <v>0.63070000000000004</v>
      </c>
      <c r="AA10" s="13">
        <v>0.43109999999999998</v>
      </c>
      <c r="AB10" s="15">
        <f>Z10+AA10</f>
        <v>1.0618000000000001</v>
      </c>
      <c r="AC10" s="14">
        <v>0.45069999999999999</v>
      </c>
      <c r="AD10" s="13">
        <v>0.44400000000000001</v>
      </c>
      <c r="AE10" s="15">
        <f t="shared" si="7"/>
        <v>0.89470000000000005</v>
      </c>
      <c r="AF10" s="17">
        <v>0.439</v>
      </c>
      <c r="AG10" s="14">
        <v>0.45679999999999998</v>
      </c>
      <c r="AH10" s="15">
        <f>AG10+AF10</f>
        <v>0.89579999999999993</v>
      </c>
      <c r="AI10" s="21"/>
    </row>
    <row r="11" spans="1:35" s="22" customFormat="1" x14ac:dyDescent="0.3">
      <c r="A11" s="66" t="s">
        <v>24</v>
      </c>
      <c r="B11" s="35">
        <v>0.34329999999999999</v>
      </c>
      <c r="C11" s="22">
        <v>0.44350000000000001</v>
      </c>
      <c r="D11" s="24">
        <f t="shared" si="0"/>
        <v>0.78679999999999994</v>
      </c>
      <c r="E11" s="23">
        <v>0.38664999999999999</v>
      </c>
      <c r="F11" s="22">
        <v>0.44350000000000001</v>
      </c>
      <c r="G11" s="24">
        <f t="shared" si="1"/>
        <v>0.83014999999999994</v>
      </c>
      <c r="H11" s="25">
        <v>0.34200000000000003</v>
      </c>
      <c r="I11" s="26">
        <v>0.47</v>
      </c>
      <c r="J11" s="27">
        <f t="shared" si="2"/>
        <v>0.81200000000000006</v>
      </c>
      <c r="K11" s="23">
        <v>0.38529999999999998</v>
      </c>
      <c r="L11" s="22">
        <v>0.42670000000000002</v>
      </c>
      <c r="M11" s="27">
        <f t="shared" si="3"/>
        <v>0.81200000000000006</v>
      </c>
      <c r="N11" s="23">
        <v>0.4123</v>
      </c>
      <c r="O11" s="22">
        <v>0.38669999999999999</v>
      </c>
      <c r="P11" s="28">
        <f t="shared" si="4"/>
        <v>0.79899999999999993</v>
      </c>
      <c r="Q11" s="23">
        <v>0.28260000000000002</v>
      </c>
      <c r="R11" s="22">
        <v>0.43140000000000001</v>
      </c>
      <c r="S11" s="29">
        <v>0.68930000000000002</v>
      </c>
      <c r="T11" s="23">
        <v>0.50339999999999996</v>
      </c>
      <c r="U11" s="22">
        <v>0.40670000000000001</v>
      </c>
      <c r="V11" s="24">
        <v>0.91009999999999991</v>
      </c>
      <c r="W11" s="35">
        <v>0.61060000000000003</v>
      </c>
      <c r="X11" s="22">
        <v>0.40670000000000001</v>
      </c>
      <c r="Y11" s="24">
        <v>1.0173000000000001</v>
      </c>
      <c r="Z11" s="32">
        <v>0.63070000000000004</v>
      </c>
      <c r="AA11" s="31">
        <v>0.43109999999999998</v>
      </c>
      <c r="AB11" s="24">
        <v>1.0618000000000001</v>
      </c>
      <c r="AC11" s="23">
        <v>0.45069999999999999</v>
      </c>
      <c r="AD11" s="22">
        <v>0.44400000000000001</v>
      </c>
      <c r="AE11" s="24">
        <f t="shared" si="7"/>
        <v>0.89470000000000005</v>
      </c>
      <c r="AF11" s="26">
        <v>0.439</v>
      </c>
      <c r="AG11" s="26">
        <v>0.45679999999999998</v>
      </c>
      <c r="AH11" s="24">
        <f>AG11+AF11</f>
        <v>0.89579999999999993</v>
      </c>
      <c r="AI11" s="35"/>
    </row>
    <row r="12" spans="1:35" s="22" customFormat="1" x14ac:dyDescent="0.3">
      <c r="A12" s="66" t="s">
        <v>25</v>
      </c>
      <c r="B12" s="35">
        <v>0.25640000000000002</v>
      </c>
      <c r="C12" s="22">
        <v>0.44350000000000001</v>
      </c>
      <c r="D12" s="24">
        <f t="shared" si="0"/>
        <v>0.69989999999999997</v>
      </c>
      <c r="E12" s="23">
        <v>0.38664999999999999</v>
      </c>
      <c r="F12" s="22">
        <v>0.44350000000000001</v>
      </c>
      <c r="G12" s="24">
        <f t="shared" si="1"/>
        <v>0.83014999999999994</v>
      </c>
      <c r="H12" s="25">
        <v>0.34200000000000003</v>
      </c>
      <c r="I12" s="26">
        <v>0.47</v>
      </c>
      <c r="J12" s="27">
        <f t="shared" si="2"/>
        <v>0.81200000000000006</v>
      </c>
      <c r="K12" s="23">
        <v>0.37230000000000002</v>
      </c>
      <c r="L12" s="22">
        <v>0.42670000000000002</v>
      </c>
      <c r="M12" s="27">
        <f t="shared" si="3"/>
        <v>0.79900000000000004</v>
      </c>
      <c r="N12" s="23">
        <v>0.4123</v>
      </c>
      <c r="O12" s="22">
        <v>0.38669999999999999</v>
      </c>
      <c r="P12" s="28">
        <f t="shared" si="4"/>
        <v>0.79899999999999993</v>
      </c>
      <c r="Q12" s="23">
        <v>0.28260000000000002</v>
      </c>
      <c r="R12" s="22">
        <v>0.43140000000000001</v>
      </c>
      <c r="S12" s="29">
        <v>0.68930000000000002</v>
      </c>
      <c r="T12" s="23">
        <v>0.50339999999999996</v>
      </c>
      <c r="U12" s="22">
        <v>0.40670000000000001</v>
      </c>
      <c r="V12" s="24">
        <v>0.91009999999999991</v>
      </c>
      <c r="W12" s="35">
        <v>0.61060000000000003</v>
      </c>
      <c r="X12" s="22">
        <v>0.40670000000000001</v>
      </c>
      <c r="Y12" s="24">
        <v>1.0173000000000001</v>
      </c>
      <c r="Z12" s="32">
        <v>0.63070000000000004</v>
      </c>
      <c r="AA12" s="31">
        <v>0.43109999999999998</v>
      </c>
      <c r="AB12" s="24">
        <v>1.0618000000000001</v>
      </c>
      <c r="AC12" s="23">
        <v>0.45069999999999999</v>
      </c>
      <c r="AD12" s="22">
        <v>0.44400000000000001</v>
      </c>
      <c r="AE12" s="24">
        <f t="shared" si="7"/>
        <v>0.89470000000000005</v>
      </c>
      <c r="AF12" s="25">
        <v>0.439</v>
      </c>
      <c r="AG12" s="26">
        <v>0.45679999999999998</v>
      </c>
      <c r="AH12" s="24">
        <f>AG12+AF12</f>
        <v>0.89579999999999993</v>
      </c>
      <c r="AI12" s="35"/>
    </row>
    <row r="13" spans="1:35" s="13" customFormat="1" x14ac:dyDescent="0.3">
      <c r="A13" s="65" t="s">
        <v>26</v>
      </c>
      <c r="B13" s="21">
        <v>0.25640000000000002</v>
      </c>
      <c r="C13" s="13">
        <v>0.44350000000000001</v>
      </c>
      <c r="D13" s="15">
        <f t="shared" si="0"/>
        <v>0.69989999999999997</v>
      </c>
      <c r="E13" s="14">
        <v>0.41510000000000002</v>
      </c>
      <c r="F13" s="13">
        <v>0.44350000000000001</v>
      </c>
      <c r="G13" s="15">
        <f t="shared" si="1"/>
        <v>0.85860000000000003</v>
      </c>
      <c r="H13" s="16">
        <v>0.34200000000000003</v>
      </c>
      <c r="I13" s="17">
        <v>0.47</v>
      </c>
      <c r="J13" s="18">
        <f t="shared" si="2"/>
        <v>0.81200000000000006</v>
      </c>
      <c r="K13" s="14">
        <v>0.37230000000000002</v>
      </c>
      <c r="L13" s="13">
        <v>0.42670000000000002</v>
      </c>
      <c r="M13" s="18">
        <f t="shared" si="3"/>
        <v>0.79900000000000004</v>
      </c>
      <c r="N13" s="14">
        <v>0.34329999999999999</v>
      </c>
      <c r="O13" s="13">
        <v>0.38669999999999999</v>
      </c>
      <c r="P13" s="19">
        <f t="shared" si="4"/>
        <v>0.73</v>
      </c>
      <c r="Q13" s="14">
        <v>0.32369999999999999</v>
      </c>
      <c r="R13" s="13">
        <v>0.40670000000000001</v>
      </c>
      <c r="S13" s="20">
        <v>0.73039999999999994</v>
      </c>
      <c r="T13" s="14">
        <v>0.57240000000000002</v>
      </c>
      <c r="U13" s="13">
        <v>0.40670000000000001</v>
      </c>
      <c r="V13" s="15">
        <v>0.97910000000000008</v>
      </c>
      <c r="W13" s="21">
        <v>0.51190000000000002</v>
      </c>
      <c r="X13" s="13">
        <v>0.40670000000000001</v>
      </c>
      <c r="Y13" s="15">
        <f>W13+X13</f>
        <v>0.91860000000000008</v>
      </c>
      <c r="Z13" s="14">
        <v>0.46920000000000001</v>
      </c>
      <c r="AA13" s="13">
        <v>0.43109999999999998</v>
      </c>
      <c r="AB13" s="15">
        <f>Z13+AA13</f>
        <v>0.90029999999999999</v>
      </c>
      <c r="AC13" s="14">
        <v>0.53380000000000005</v>
      </c>
      <c r="AD13" s="13">
        <v>0.44400000000000001</v>
      </c>
      <c r="AE13" s="15">
        <f t="shared" si="7"/>
        <v>0.9778</v>
      </c>
      <c r="AF13" s="14"/>
      <c r="AG13" s="17"/>
      <c r="AH13" s="15"/>
      <c r="AI13" s="21"/>
    </row>
    <row r="14" spans="1:35" s="22" customFormat="1" x14ac:dyDescent="0.3">
      <c r="A14" s="66" t="s">
        <v>27</v>
      </c>
      <c r="B14" s="35">
        <v>0.25640000000000002</v>
      </c>
      <c r="C14" s="22">
        <v>0.44350000000000001</v>
      </c>
      <c r="D14" s="24">
        <f t="shared" si="0"/>
        <v>0.69989999999999997</v>
      </c>
      <c r="E14" s="23">
        <v>0.41510000000000002</v>
      </c>
      <c r="F14" s="22">
        <v>0.44350000000000001</v>
      </c>
      <c r="G14" s="24">
        <f t="shared" si="1"/>
        <v>0.85860000000000003</v>
      </c>
      <c r="H14" s="25">
        <v>0.34200000000000003</v>
      </c>
      <c r="I14" s="26">
        <v>0.47</v>
      </c>
      <c r="J14" s="27">
        <f t="shared" si="2"/>
        <v>0.81200000000000006</v>
      </c>
      <c r="K14" s="23">
        <v>0.37230000000000002</v>
      </c>
      <c r="L14" s="22">
        <v>0.42670000000000002</v>
      </c>
      <c r="M14" s="27">
        <f t="shared" si="3"/>
        <v>0.79900000000000004</v>
      </c>
      <c r="N14" s="23">
        <v>0.34329999999999999</v>
      </c>
      <c r="O14" s="22">
        <v>0.38669999999999999</v>
      </c>
      <c r="P14" s="28">
        <f t="shared" si="4"/>
        <v>0.73</v>
      </c>
      <c r="Q14" s="23">
        <v>0.32369999999999999</v>
      </c>
      <c r="R14" s="22">
        <v>0.40670000000000001</v>
      </c>
      <c r="S14" s="29">
        <v>0.73039999999999994</v>
      </c>
      <c r="T14" s="23">
        <v>0.57240000000000002</v>
      </c>
      <c r="U14" s="22">
        <v>0.40670000000000001</v>
      </c>
      <c r="V14" s="24">
        <v>0.97910000000000008</v>
      </c>
      <c r="W14" s="30">
        <v>0.51190000000000002</v>
      </c>
      <c r="X14" s="31">
        <v>0.40670000000000001</v>
      </c>
      <c r="Y14" s="24">
        <v>0.91860000000000008</v>
      </c>
      <c r="Z14" s="32">
        <v>0.46920000000000001</v>
      </c>
      <c r="AA14" s="31">
        <v>0.43109999999999998</v>
      </c>
      <c r="AB14" s="36">
        <v>0.90029999999999999</v>
      </c>
      <c r="AC14" s="23">
        <v>0.53380000000000005</v>
      </c>
      <c r="AD14" s="22">
        <v>0.44400000000000001</v>
      </c>
      <c r="AE14" s="24">
        <f t="shared" si="7"/>
        <v>0.9778</v>
      </c>
      <c r="AF14" s="23"/>
      <c r="AG14" s="26"/>
      <c r="AH14" s="24"/>
      <c r="AI14" s="35"/>
    </row>
    <row r="15" spans="1:35" s="22" customFormat="1" ht="16.2" thickBot="1" x14ac:dyDescent="0.35">
      <c r="A15" s="66" t="s">
        <v>28</v>
      </c>
      <c r="B15" s="45">
        <v>0.25640000000000002</v>
      </c>
      <c r="C15" s="38">
        <v>0.44350000000000001</v>
      </c>
      <c r="D15" s="39">
        <f t="shared" si="0"/>
        <v>0.69989999999999997</v>
      </c>
      <c r="E15" s="37">
        <v>0.41510000000000002</v>
      </c>
      <c r="F15" s="38">
        <v>0.44350000000000001</v>
      </c>
      <c r="G15" s="39">
        <f t="shared" si="1"/>
        <v>0.85860000000000003</v>
      </c>
      <c r="H15" s="40">
        <v>0.34200000000000003</v>
      </c>
      <c r="I15" s="41">
        <v>0.47</v>
      </c>
      <c r="J15" s="42">
        <f t="shared" si="2"/>
        <v>0.81200000000000006</v>
      </c>
      <c r="K15" s="37">
        <v>0.37230000000000002</v>
      </c>
      <c r="L15" s="38">
        <v>0.42670000000000002</v>
      </c>
      <c r="M15" s="42">
        <f t="shared" si="3"/>
        <v>0.79900000000000004</v>
      </c>
      <c r="N15" s="37">
        <v>0.34329999999999999</v>
      </c>
      <c r="O15" s="38">
        <v>0.38669999999999999</v>
      </c>
      <c r="P15" s="43">
        <f t="shared" si="4"/>
        <v>0.73</v>
      </c>
      <c r="Q15" s="37">
        <v>0.32369999999999999</v>
      </c>
      <c r="R15" s="38">
        <v>0.40670000000000001</v>
      </c>
      <c r="S15" s="44">
        <v>0.73039999999999994</v>
      </c>
      <c r="T15" s="37">
        <v>0.57240000000000002</v>
      </c>
      <c r="U15" s="38">
        <v>0.40670000000000001</v>
      </c>
      <c r="V15" s="39">
        <v>0.97910000000000008</v>
      </c>
      <c r="W15" s="45">
        <v>0.51190000000000002</v>
      </c>
      <c r="X15" s="38">
        <v>0.40670000000000001</v>
      </c>
      <c r="Y15" s="39">
        <v>0.91860000000000008</v>
      </c>
      <c r="Z15" s="37">
        <v>0.46920000000000001</v>
      </c>
      <c r="AA15" s="38">
        <v>0.43109999999999998</v>
      </c>
      <c r="AB15" s="39">
        <v>0.90029999999999999</v>
      </c>
      <c r="AC15" s="37">
        <v>0.53380000000000005</v>
      </c>
      <c r="AD15" s="38">
        <v>0.44400000000000001</v>
      </c>
      <c r="AE15" s="39">
        <f t="shared" si="7"/>
        <v>0.9778</v>
      </c>
      <c r="AF15" s="37"/>
      <c r="AG15" s="41"/>
      <c r="AH15" s="39"/>
      <c r="AI15" s="35"/>
    </row>
    <row r="16" spans="1:35" x14ac:dyDescent="0.3">
      <c r="AG16" s="46"/>
      <c r="AI16" s="47"/>
    </row>
    <row r="21" spans="17:35" ht="16.2" thickBot="1" x14ac:dyDescent="0.35"/>
    <row r="22" spans="17:35" s="53" customFormat="1" ht="31.2" x14ac:dyDescent="0.3">
      <c r="Q22" s="48" t="s">
        <v>29</v>
      </c>
      <c r="R22" s="49" t="s">
        <v>30</v>
      </c>
      <c r="S22" s="50" t="s">
        <v>5</v>
      </c>
      <c r="T22" s="50" t="s">
        <v>6</v>
      </c>
      <c r="U22" s="50" t="s">
        <v>7</v>
      </c>
      <c r="V22" s="50" t="s">
        <v>8</v>
      </c>
      <c r="W22" s="51" t="s">
        <v>9</v>
      </c>
      <c r="X22" s="52" t="s">
        <v>10</v>
      </c>
    </row>
    <row r="23" spans="17:35" ht="27.6" customHeight="1" x14ac:dyDescent="0.3">
      <c r="Q23" s="54" t="s">
        <v>31</v>
      </c>
      <c r="R23" s="55" t="s">
        <v>32</v>
      </c>
      <c r="S23" s="26">
        <v>0.79900000000000004</v>
      </c>
      <c r="T23" s="26">
        <v>0.61019999999999996</v>
      </c>
      <c r="U23" s="34">
        <v>0.80710000000000004</v>
      </c>
      <c r="V23" s="34">
        <v>1.2672000000000001</v>
      </c>
      <c r="W23" s="56">
        <v>0.87580000000000002</v>
      </c>
      <c r="X23" s="22">
        <v>0.94479999999999997</v>
      </c>
      <c r="AG23" s="1">
        <f>AG22*AF20</f>
        <v>0</v>
      </c>
      <c r="AI23" s="1">
        <f>AI22*AF20</f>
        <v>0</v>
      </c>
    </row>
    <row r="24" spans="17:35" ht="31.2" x14ac:dyDescent="0.3">
      <c r="Q24" s="54" t="s">
        <v>33</v>
      </c>
      <c r="R24" s="55" t="s">
        <v>20</v>
      </c>
      <c r="S24" s="57" t="s">
        <v>34</v>
      </c>
      <c r="T24" s="26">
        <v>0.63839999999999997</v>
      </c>
      <c r="U24" s="34">
        <v>0.84119999999999995</v>
      </c>
      <c r="V24" s="34">
        <v>1.1986000000000001</v>
      </c>
      <c r="W24" s="56">
        <v>0.99009999999999998</v>
      </c>
      <c r="X24" s="22">
        <v>0.91690000000000005</v>
      </c>
    </row>
    <row r="25" spans="17:35" ht="31.2" x14ac:dyDescent="0.3">
      <c r="Q25" s="54" t="s">
        <v>35</v>
      </c>
      <c r="R25" s="55" t="s">
        <v>23</v>
      </c>
      <c r="S25" s="57" t="s">
        <v>34</v>
      </c>
      <c r="T25" s="26">
        <v>0.71399999999999997</v>
      </c>
      <c r="U25" s="34">
        <v>0.91010000000000002</v>
      </c>
      <c r="V25" s="26">
        <v>1.0173000000000001</v>
      </c>
      <c r="W25" s="58">
        <v>1.0409999999999999</v>
      </c>
      <c r="X25" s="22">
        <f>AE10</f>
        <v>0.89470000000000005</v>
      </c>
    </row>
    <row r="26" spans="17:35" ht="27" customHeight="1" x14ac:dyDescent="0.3">
      <c r="Q26" s="59"/>
      <c r="R26" s="55" t="s">
        <v>24</v>
      </c>
      <c r="S26" s="60"/>
      <c r="T26" s="60"/>
      <c r="U26" s="60"/>
      <c r="V26" s="60"/>
      <c r="W26" s="58">
        <v>1.0618000000000001</v>
      </c>
      <c r="X26" s="22"/>
    </row>
    <row r="27" spans="17:35" ht="27" customHeight="1" x14ac:dyDescent="0.3">
      <c r="Q27" s="54" t="s">
        <v>36</v>
      </c>
      <c r="R27" s="55" t="s">
        <v>37</v>
      </c>
      <c r="S27" s="26">
        <v>0.73</v>
      </c>
      <c r="T27" s="26">
        <v>0.73040000000000005</v>
      </c>
      <c r="U27" s="34">
        <v>0.97909999999999997</v>
      </c>
      <c r="V27" s="34">
        <v>0.91859999999999997</v>
      </c>
      <c r="W27" s="58">
        <v>0.95750000000000002</v>
      </c>
      <c r="X27" s="22"/>
    </row>
    <row r="28" spans="17:35" ht="29.4" customHeight="1" thickBot="1" x14ac:dyDescent="0.35">
      <c r="Q28" s="61"/>
      <c r="R28" s="62" t="s">
        <v>38</v>
      </c>
      <c r="S28" s="63"/>
      <c r="T28" s="63"/>
      <c r="U28" s="63"/>
      <c r="V28" s="63"/>
      <c r="W28" s="64">
        <v>0.90029999999999999</v>
      </c>
      <c r="X28" s="22"/>
    </row>
    <row r="31" spans="17:35" x14ac:dyDescent="0.3">
      <c r="AF31" s="1" t="s">
        <v>39</v>
      </c>
    </row>
  </sheetData>
  <mergeCells count="11">
    <mergeCell ref="T2:V2"/>
    <mergeCell ref="W2:Y2"/>
    <mergeCell ref="Z2:AB2"/>
    <mergeCell ref="AC2:AE2"/>
    <mergeCell ref="AF2:AH2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Fekita Imuli Mataele</dc:creator>
  <cp:lastModifiedBy>Fekita Imuli Mataele</cp:lastModifiedBy>
  <dcterms:created xsi:type="dcterms:W3CDTF">2026-04-12T22:19:32Z</dcterms:created>
  <dcterms:modified xsi:type="dcterms:W3CDTF">2026-04-12T22:21:33Z</dcterms:modified>
</cp:coreProperties>
</file>